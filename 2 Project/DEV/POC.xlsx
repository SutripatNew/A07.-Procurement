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EV/"/>
    </mc:Choice>
  </mc:AlternateContent>
  <xr:revisionPtr revIDLastSave="5" documentId="8_{65D49F38-225D-48FF-B626-610C5B1188C0}" xr6:coauthVersionLast="47" xr6:coauthVersionMax="47" xr10:uidLastSave="{148BBD98-7D89-4E9C-9AD4-A1A8E06DF206}"/>
  <bookViews>
    <workbookView xWindow="-110" yWindow="-110" windowWidth="19420" windowHeight="10300" xr2:uid="{3B6B71CE-B94F-40EC-A5D8-5CBE50B95C40}"/>
  </bookViews>
  <sheets>
    <sheet name="RAW-AGILE" sheetId="1" r:id="rId1"/>
    <sheet name="POC-AGILE" sheetId="2" r:id="rId2"/>
  </sheets>
  <calcPr calcId="191029"/>
  <pivotCaches>
    <pivotCache cacheId="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2" l="1"/>
  <c r="Z6" i="2"/>
  <c r="Z7" i="2"/>
  <c r="Z8" i="2"/>
  <c r="Z9" i="2"/>
  <c r="Z10" i="2"/>
  <c r="Z11" i="2"/>
  <c r="Z12" i="2"/>
  <c r="Y5" i="2"/>
  <c r="Y6" i="2"/>
  <c r="Y7" i="2"/>
  <c r="Y8" i="2"/>
  <c r="Y9" i="2"/>
  <c r="Y10" i="2"/>
  <c r="Y11" i="2"/>
  <c r="Y12" i="2"/>
  <c r="V3" i="1"/>
  <c r="W3" i="1"/>
  <c r="X3" i="1"/>
  <c r="Y3" i="1"/>
  <c r="Z3" i="1"/>
  <c r="AA3" i="1"/>
  <c r="AB3" i="1"/>
  <c r="AC3" i="1"/>
  <c r="AD3" i="1"/>
  <c r="AE3" i="1"/>
  <c r="AF3" i="1"/>
  <c r="V4" i="1"/>
  <c r="W4" i="1"/>
  <c r="X4" i="1"/>
  <c r="Y4" i="1"/>
  <c r="Z4" i="1"/>
  <c r="AA4" i="1"/>
  <c r="AB4" i="1"/>
  <c r="AC4" i="1"/>
  <c r="AD4" i="1"/>
  <c r="AE4" i="1"/>
  <c r="AF4" i="1"/>
  <c r="V5" i="1"/>
  <c r="W5" i="1"/>
  <c r="X5" i="1"/>
  <c r="Y5" i="1"/>
  <c r="Z5" i="1"/>
  <c r="AA5" i="1"/>
  <c r="AB5" i="1"/>
  <c r="AC5" i="1"/>
  <c r="AD5" i="1"/>
  <c r="AE5" i="1"/>
  <c r="AF5" i="1"/>
  <c r="V6" i="1"/>
  <c r="W6" i="1"/>
  <c r="X6" i="1"/>
  <c r="Y6" i="1"/>
  <c r="Z6" i="1"/>
  <c r="AA6" i="1"/>
  <c r="AB6" i="1"/>
  <c r="AC6" i="1"/>
  <c r="AD6" i="1"/>
  <c r="AE6" i="1"/>
  <c r="AF6" i="1"/>
  <c r="V7" i="1"/>
  <c r="W7" i="1"/>
  <c r="X7" i="1"/>
  <c r="Y7" i="1"/>
  <c r="Z7" i="1"/>
  <c r="AA7" i="1"/>
  <c r="AB7" i="1"/>
  <c r="AC7" i="1"/>
  <c r="AD7" i="1"/>
  <c r="AE7" i="1"/>
  <c r="AF7" i="1"/>
  <c r="V8" i="1"/>
  <c r="W8" i="1"/>
  <c r="X8" i="1"/>
  <c r="Y8" i="1"/>
  <c r="Z8" i="1"/>
  <c r="AA8" i="1"/>
  <c r="AB8" i="1"/>
  <c r="AC8" i="1"/>
  <c r="AD8" i="1"/>
  <c r="AE8" i="1"/>
  <c r="AF8" i="1"/>
  <c r="V9" i="1"/>
  <c r="W9" i="1"/>
  <c r="X9" i="1"/>
  <c r="Y9" i="1"/>
  <c r="Z9" i="1"/>
  <c r="AA9" i="1"/>
  <c r="AB9" i="1"/>
  <c r="AC9" i="1"/>
  <c r="AD9" i="1"/>
  <c r="AE9" i="1"/>
  <c r="AF9" i="1"/>
  <c r="V10" i="1"/>
  <c r="W10" i="1"/>
  <c r="X10" i="1"/>
  <c r="Y10" i="1"/>
  <c r="Z10" i="1"/>
  <c r="AA10" i="1"/>
  <c r="AB10" i="1"/>
  <c r="AC10" i="1"/>
  <c r="AD10" i="1"/>
  <c r="AE10" i="1"/>
  <c r="AF10" i="1"/>
  <c r="V11" i="1"/>
  <c r="W11" i="1"/>
  <c r="X11" i="1"/>
  <c r="Y11" i="1"/>
  <c r="Z11" i="1"/>
  <c r="AA11" i="1"/>
  <c r="AB11" i="1"/>
  <c r="AC11" i="1"/>
  <c r="AD11" i="1"/>
  <c r="AE11" i="1"/>
  <c r="AF11" i="1"/>
  <c r="V12" i="1"/>
  <c r="W12" i="1"/>
  <c r="X12" i="1"/>
  <c r="Y12" i="1"/>
  <c r="Z12" i="1"/>
  <c r="AA12" i="1"/>
  <c r="AB12" i="1"/>
  <c r="AC12" i="1"/>
  <c r="AD12" i="1"/>
  <c r="AE12" i="1"/>
  <c r="AF12" i="1"/>
  <c r="V13" i="1"/>
  <c r="W13" i="1"/>
  <c r="X13" i="1"/>
  <c r="Y13" i="1"/>
  <c r="Z13" i="1"/>
  <c r="AA13" i="1"/>
  <c r="AB13" i="1"/>
  <c r="AC13" i="1"/>
  <c r="AD13" i="1"/>
  <c r="AE13" i="1"/>
  <c r="AF13" i="1"/>
  <c r="V14" i="1"/>
  <c r="W14" i="1"/>
  <c r="X14" i="1"/>
  <c r="Y14" i="1"/>
  <c r="Z14" i="1"/>
  <c r="AA14" i="1"/>
  <c r="AB14" i="1"/>
  <c r="AC14" i="1"/>
  <c r="AD14" i="1"/>
  <c r="AE14" i="1"/>
  <c r="AF14" i="1"/>
  <c r="V15" i="1"/>
  <c r="W15" i="1"/>
  <c r="X15" i="1"/>
  <c r="Y15" i="1"/>
  <c r="Z15" i="1"/>
  <c r="AA15" i="1"/>
  <c r="AB15" i="1"/>
  <c r="AC15" i="1"/>
  <c r="AD15" i="1"/>
  <c r="AE15" i="1"/>
  <c r="AF15" i="1"/>
  <c r="V16" i="1"/>
  <c r="W16" i="1"/>
  <c r="X16" i="1"/>
  <c r="Y16" i="1"/>
  <c r="Z16" i="1"/>
  <c r="AA16" i="1"/>
  <c r="AB16" i="1"/>
  <c r="AC16" i="1"/>
  <c r="AD16" i="1"/>
  <c r="AE16" i="1"/>
  <c r="AF16" i="1"/>
  <c r="V17" i="1"/>
  <c r="W17" i="1"/>
  <c r="X17" i="1"/>
  <c r="Y17" i="1"/>
  <c r="Z17" i="1"/>
  <c r="AA17" i="1"/>
  <c r="AB17" i="1"/>
  <c r="AC17" i="1"/>
  <c r="AD17" i="1"/>
  <c r="AE17" i="1"/>
  <c r="AF17" i="1"/>
  <c r="V18" i="1"/>
  <c r="W18" i="1"/>
  <c r="X18" i="1"/>
  <c r="Y18" i="1"/>
  <c r="Z18" i="1"/>
  <c r="AA18" i="1"/>
  <c r="AB18" i="1"/>
  <c r="AC18" i="1"/>
  <c r="AD18" i="1"/>
  <c r="AE18" i="1"/>
  <c r="AF18" i="1"/>
  <c r="V19" i="1"/>
  <c r="W19" i="1"/>
  <c r="X19" i="1"/>
  <c r="Y19" i="1"/>
  <c r="Z19" i="1"/>
  <c r="AA19" i="1"/>
  <c r="AB19" i="1"/>
  <c r="AC19" i="1"/>
  <c r="AD19" i="1"/>
  <c r="AE19" i="1"/>
  <c r="AF19" i="1"/>
  <c r="V20" i="1"/>
  <c r="W20" i="1"/>
  <c r="X20" i="1"/>
  <c r="Y20" i="1"/>
  <c r="Z20" i="1"/>
  <c r="AA20" i="1"/>
  <c r="AB20" i="1"/>
  <c r="AC20" i="1"/>
  <c r="AD20" i="1"/>
  <c r="AE20" i="1"/>
  <c r="AF20" i="1"/>
  <c r="V2" i="1"/>
  <c r="W2" i="1"/>
  <c r="X2" i="1"/>
  <c r="Y2" i="1"/>
  <c r="Z2" i="1"/>
  <c r="AA2" i="1"/>
  <c r="AB2" i="1"/>
  <c r="AC2" i="1"/>
  <c r="AD2" i="1"/>
  <c r="AE2" i="1"/>
  <c r="AF2" i="1"/>
</calcChain>
</file>

<file path=xl/sharedStrings.xml><?xml version="1.0" encoding="utf-8"?>
<sst xmlns="http://schemas.openxmlformats.org/spreadsheetml/2006/main" count="401" uniqueCount="133">
  <si>
    <t>Title</t>
  </si>
  <si>
    <t>ปีที่ประเมิน</t>
  </si>
  <si>
    <t>รอบการประเมิน</t>
  </si>
  <si>
    <t>Level1</t>
  </si>
  <si>
    <t>Level2</t>
  </si>
  <si>
    <t>ผู้รับการประเมิน ALL</t>
  </si>
  <si>
    <t>Pur_Grp</t>
  </si>
  <si>
    <t>ข้อเสนอแนะเพื่อการปรับปรุง</t>
  </si>
  <si>
    <t>Responder Email</t>
  </si>
  <si>
    <t>Submission Time</t>
  </si>
  <si>
    <t>Y1999</t>
  </si>
  <si>
    <t>Safety</t>
  </si>
  <si>
    <t>9000100208 บริษัท เมธาวี มาร์เก็ตติ้ง จำกัด</t>
  </si>
  <si>
    <t>USER</t>
  </si>
  <si>
    <t>remark</t>
  </si>
  <si>
    <t>Power.Bi@thainamthip.co.th</t>
  </si>
  <si>
    <t>5/18/2025 8:47 PM</t>
  </si>
  <si>
    <t>9000102330 บริษัท เจริญทรัพย์อินฟินิตี้ จำกัด</t>
  </si>
  <si>
    <t>PURCHASING</t>
  </si>
  <si>
    <t>Sutripat.Ng@thainamthip.co.th</t>
  </si>
  <si>
    <t>5/18/2025 8:50 PM</t>
  </si>
  <si>
    <t>9000103322 บริษัท นิวแอนด์เซฟ ควอลิตี้โปรดักส์จำกัด</t>
  </si>
  <si>
    <t>Test</t>
  </si>
  <si>
    <t>5/18/2025 8:51 PM</t>
  </si>
  <si>
    <t>Office Supply</t>
  </si>
  <si>
    <t>9000100857 บริษัท สินสยาม พลัส จำกัด</t>
  </si>
  <si>
    <t>Test2</t>
  </si>
  <si>
    <t>Misscellaneous</t>
  </si>
  <si>
    <t>9000102251 บริษัท เค.เอส.ดี.เอนเตอร์ไพรส์ จำกัด</t>
  </si>
  <si>
    <t>5/18/2025 8:52 PM</t>
  </si>
  <si>
    <t>Uniform</t>
  </si>
  <si>
    <t>9000100064 ห้างหุ้นส่วนจำกัด พียู 29</t>
  </si>
  <si>
    <t>5/18/2025 8:53 PM</t>
  </si>
  <si>
    <t>5/18/2025 8:54 PM</t>
  </si>
  <si>
    <t>5/18/2025 8:55 PM</t>
  </si>
  <si>
    <t>5/18/2025 8:56 PM</t>
  </si>
  <si>
    <t>5/18/2025 8:57 PM</t>
  </si>
  <si>
    <t>(All)</t>
  </si>
  <si>
    <t>Grand Total</t>
  </si>
  <si>
    <t>YEAR</t>
  </si>
  <si>
    <t>FUNCTION_NAME</t>
  </si>
  <si>
    <t>LEVEL1</t>
  </si>
  <si>
    <t>LEVEL2</t>
  </si>
  <si>
    <t>GROUP_QUESTION</t>
  </si>
  <si>
    <t>WEIGHT</t>
  </si>
  <si>
    <t>FORM_NAME</t>
  </si>
  <si>
    <t>QUESTION_CODE</t>
  </si>
  <si>
    <t>QUESTION_DISPLAY</t>
  </si>
  <si>
    <t>Agile</t>
  </si>
  <si>
    <t>Quality</t>
  </si>
  <si>
    <t>แบบประเมินคุณภาพการส่งมอบสินค้า/บริการ (Agile)</t>
  </si>
  <si>
    <t>AG01</t>
  </si>
  <si>
    <t>1.1 ชิ้นงานหรือตัวสินค้าตรงตามความต้องการ</t>
  </si>
  <si>
    <t>AG02</t>
  </si>
  <si>
    <t>1.2 ผลิตภัณฑ์ได้มาตรฐานและมีคุณภาพ</t>
  </si>
  <si>
    <t>AG03</t>
  </si>
  <si>
    <t>1.3 ชิ้นงานบรรจุตามจำนวนที่กำหนด</t>
  </si>
  <si>
    <t>Delivery</t>
  </si>
  <si>
    <t>AG04</t>
  </si>
  <si>
    <t>2.1 การขนส่งสินค้าได้ตามวันและเวลาตามข้อตกลง</t>
  </si>
  <si>
    <t>AG05</t>
  </si>
  <si>
    <t>2.2 ความถูกต้องของจำนวนสินค้าตรงตามเอกสารส่งมอบสินค้า</t>
  </si>
  <si>
    <t>AG06</t>
  </si>
  <si>
    <t>2.3 ความเรียบร้อยของผลิตภัณฑ์/บรรจุภัณฑ์ระหว่างการขนส่ง</t>
  </si>
  <si>
    <t>Price</t>
  </si>
  <si>
    <t>AG07</t>
  </si>
  <si>
    <t>3.1 ราคาซื้อเมื่อเปรียบเทียบกับงบประมาณที่แจ้งมา</t>
  </si>
  <si>
    <t>Service</t>
  </si>
  <si>
    <t>AG08</t>
  </si>
  <si>
    <t>4.1 มีการให้ข้อมูลได้ถูกต้องตามความต้องการเข้าระบบขั้นตอนจัดซื้อลดการทุจริต</t>
  </si>
  <si>
    <t>AG09</t>
  </si>
  <si>
    <t>4.2 ให้บริการหลังการขาย/ติดตาม/แก้ไขปัญหาเป็นอย่างดี และรวดเร็ว</t>
  </si>
  <si>
    <t>AG10</t>
  </si>
  <si>
    <t>4.3 ความรวดเร็วในการช่วยแก้ปัญหา</t>
  </si>
  <si>
    <t>ESG</t>
  </si>
  <si>
    <t>AG11</t>
  </si>
  <si>
    <t>5.1 การจัดการด้านสิ่งแวดล้อม</t>
  </si>
  <si>
    <t>Q</t>
  </si>
  <si>
    <t>S</t>
  </si>
  <si>
    <t>(blank)</t>
  </si>
  <si>
    <t>Q_</t>
  </si>
  <si>
    <t>S_</t>
  </si>
  <si>
    <t>S_AG01</t>
  </si>
  <si>
    <t>S_AG02</t>
  </si>
  <si>
    <t>S_AG03</t>
  </si>
  <si>
    <t>S_AG04</t>
  </si>
  <si>
    <t>S_AG05</t>
  </si>
  <si>
    <t>S_AG06</t>
  </si>
  <si>
    <t>S_AG07</t>
  </si>
  <si>
    <t>S_AG08</t>
  </si>
  <si>
    <t>S_AG09</t>
  </si>
  <si>
    <t>S_AG10</t>
  </si>
  <si>
    <t>S_AG11</t>
  </si>
  <si>
    <t>Q_AG01</t>
  </si>
  <si>
    <t>Q_AG02</t>
  </si>
  <si>
    <t>Q_AG03</t>
  </si>
  <si>
    <t>Q_AG04</t>
  </si>
  <si>
    <t>Q_AG05</t>
  </si>
  <si>
    <t>Q_AG06</t>
  </si>
  <si>
    <t>Q_AG07</t>
  </si>
  <si>
    <t>Q_AG08</t>
  </si>
  <si>
    <t>Q_AG09</t>
  </si>
  <si>
    <t>Q_AG10</t>
  </si>
  <si>
    <t>Q_AG11</t>
  </si>
  <si>
    <t>Average of Q_AG01</t>
  </si>
  <si>
    <t>Average of Q_AG02</t>
  </si>
  <si>
    <t>Average of Q_AG03</t>
  </si>
  <si>
    <t>Average of Q_AG04</t>
  </si>
  <si>
    <t>Average of Q_AG05</t>
  </si>
  <si>
    <t>Average of Q_AG06</t>
  </si>
  <si>
    <t>Average of Q_AG07</t>
  </si>
  <si>
    <t>Average of Q_AG08</t>
  </si>
  <si>
    <t>Average of Q_AG09</t>
  </si>
  <si>
    <t>Average of Q_AG10</t>
  </si>
  <si>
    <t>Average of Q_AG11</t>
  </si>
  <si>
    <t>Average of S_AG01</t>
  </si>
  <si>
    <t>Average of S_AG02</t>
  </si>
  <si>
    <t>Average of S_AG03</t>
  </si>
  <si>
    <t>Average of S_AG04</t>
  </si>
  <si>
    <t>Average of S_AG05</t>
  </si>
  <si>
    <t>Average of S_AG06</t>
  </si>
  <si>
    <t>Average of S_AG07</t>
  </si>
  <si>
    <t>Average of S_AG08</t>
  </si>
  <si>
    <t>Average of S_AG09</t>
  </si>
  <si>
    <t>Average of S_AG10</t>
  </si>
  <si>
    <t>Average of S_AG11</t>
  </si>
  <si>
    <t>Q_Total</t>
  </si>
  <si>
    <t>S_Total</t>
  </si>
  <si>
    <t>5/19/2025 9:13 PM</t>
  </si>
  <si>
    <t>5/19/2025 9:14 PM</t>
  </si>
  <si>
    <t>9000102298 บริษัท เอ็น เอส บี ออฟฟิศ จำกัด</t>
  </si>
  <si>
    <t>5/19/2025 11:33 PM</t>
  </si>
  <si>
    <t>5/19/2025 11:34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</si>
</sst>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pivotButton="1"/>
    <xf numFmtId="0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2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2" xfId="0" applyBorder="1" applyAlignment="1">
      <alignment vertical="center"/>
    </xf>
    <xf numFmtId="43" fontId="0" fillId="0" borderId="8" xfId="1" applyFont="1" applyBorder="1"/>
    <xf numFmtId="43" fontId="0" fillId="0" borderId="9" xfId="1" applyFont="1" applyBorder="1"/>
    <xf numFmtId="43" fontId="0" fillId="0" borderId="10" xfId="1" applyFont="1" applyBorder="1"/>
    <xf numFmtId="43" fontId="0" fillId="0" borderId="0" xfId="1" applyFont="1"/>
    <xf numFmtId="43" fontId="0" fillId="0" borderId="11" xfId="1" applyFont="1" applyBorder="1"/>
    <xf numFmtId="43" fontId="0" fillId="0" borderId="0" xfId="1" applyFont="1" applyBorder="1"/>
    <xf numFmtId="43" fontId="0" fillId="0" borderId="12" xfId="1" applyFont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3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209550</xdr:colOff>
          <xdr:row>23</xdr:row>
          <xdr:rowOff>57150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F1B2AC6-F6E1-4FE3-B067-5FC9CA7824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209550</xdr:colOff>
          <xdr:row>44</xdr:row>
          <xdr:rowOff>57150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67A165F-3E6C-426C-BB94-9956572855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209550</xdr:colOff>
          <xdr:row>55</xdr:row>
          <xdr:rowOff>57150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FB745CF-D988-44BC-9291-9EA9C4EF5D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209550</xdr:colOff>
          <xdr:row>76</xdr:row>
          <xdr:rowOff>57150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4A7692CA-9E94-48EA-B8AE-4878F8C9D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209550</xdr:colOff>
          <xdr:row>97</xdr:row>
          <xdr:rowOff>57150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76D1AE9-BBBD-4E48-89ED-27D3EF9942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209550</xdr:colOff>
          <xdr:row>109</xdr:row>
          <xdr:rowOff>57150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D95349F-C549-429A-BE85-DED2B2FB0E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209550</xdr:colOff>
          <xdr:row>130</xdr:row>
          <xdr:rowOff>57150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445172E3-0FF1-41CB-B8F6-D9FBB8DD5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209550</xdr:colOff>
          <xdr:row>150</xdr:row>
          <xdr:rowOff>57150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B39C3A90-9892-4F30-BBF8-D27C3B7678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</xdr:row>
          <xdr:rowOff>0</xdr:rowOff>
        </xdr:from>
        <xdr:to>
          <xdr:col>0</xdr:col>
          <xdr:colOff>209550</xdr:colOff>
          <xdr:row>170</xdr:row>
          <xdr:rowOff>57150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F78C0949-F7F0-49DA-89A7-8CC1AAEDDD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209550</xdr:colOff>
          <xdr:row>181</xdr:row>
          <xdr:rowOff>57150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89EBA8C1-4D73-4DD5-9408-75C75216C1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209550</xdr:colOff>
          <xdr:row>202</xdr:row>
          <xdr:rowOff>57150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7180DB02-FCEB-4ED1-80A6-F33E4D1CE8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ripat Ngamjittrong" refreshedDate="45797.574898263891" createdVersion="7" refreshedVersion="7" minRefreshableVersion="3" recordCount="29" xr:uid="{833D8093-72B6-42E1-8B64-78967C10B210}">
  <cacheSource type="worksheet">
    <worksheetSource ref="A1:AF1048576" sheet="RAW-AGILE"/>
  </cacheSource>
  <cacheFields count="32">
    <cacheField name="Title" numFmtId="0">
      <sharedItems containsString="0" containsBlank="1" containsNumber="1" containsInteger="1" minValue="158" maxValue="176"/>
    </cacheField>
    <cacheField name="ปีที่ประเมิน" numFmtId="0">
      <sharedItems containsBlank="1" count="2">
        <s v="Y1999"/>
        <m/>
      </sharedItems>
    </cacheField>
    <cacheField name="รอบการประเมิน" numFmtId="0">
      <sharedItems containsString="0" containsBlank="1" containsNumber="1" containsInteger="1" minValue="1" maxValue="1"/>
    </cacheField>
    <cacheField name="Level1" numFmtId="0">
      <sharedItems containsBlank="1" count="5">
        <s v="Safety"/>
        <s v="Office Supply"/>
        <s v="Misscellaneous"/>
        <s v="Uniform"/>
        <m/>
      </sharedItems>
    </cacheField>
    <cacheField name="Level2" numFmtId="0">
      <sharedItems containsNonDate="0" containsString="0" containsBlank="1"/>
    </cacheField>
    <cacheField name="ผู้รับการประเมิน ALL" numFmtId="0">
      <sharedItems containsBlank="1" count="8">
        <s v="9000100208 บริษัท เมธาวี มาร์เก็ตติ้ง จำกัด"/>
        <s v="9000102330 บริษัท เจริญทรัพย์อินฟินิตี้ จำกัด"/>
        <s v="9000103322 บริษัท นิวแอนด์เซฟ ควอลิตี้โปรดักส์จำกัด"/>
        <s v="9000100857 บริษัท สินสยาม พลัส จำกัด"/>
        <s v="9000102251 บริษัท เค.เอส.ดี.เอนเตอร์ไพรส์ จำกัด"/>
        <s v="9000100064 ห้างหุ้นส่วนจำกัด พียู 29"/>
        <s v="9000102298 บริษัท เอ็น เอส บี ออฟฟิศ จำกัด"/>
        <m/>
      </sharedItems>
    </cacheField>
    <cacheField name="Pur_Grp" numFmtId="0">
      <sharedItems containsBlank="1"/>
    </cacheField>
    <cacheField name="Q_AG01" numFmtId="0">
      <sharedItems containsString="0" containsBlank="1" containsNumber="1" containsInteger="1" minValue="1" maxValue="4"/>
    </cacheField>
    <cacheField name="Q_AG02" numFmtId="0">
      <sharedItems containsString="0" containsBlank="1" containsNumber="1" containsInteger="1" minValue="2" maxValue="4"/>
    </cacheField>
    <cacheField name="Q_AG03" numFmtId="0">
      <sharedItems containsString="0" containsBlank="1" containsNumber="1" containsInteger="1" minValue="1" maxValue="4"/>
    </cacheField>
    <cacheField name="Q_AG04" numFmtId="0">
      <sharedItems containsString="0" containsBlank="1" containsNumber="1" containsInteger="1" minValue="1" maxValue="4"/>
    </cacheField>
    <cacheField name="Q_AG05" numFmtId="0">
      <sharedItems containsString="0" containsBlank="1" containsNumber="1" containsInteger="1" minValue="1" maxValue="4"/>
    </cacheField>
    <cacheField name="Q_AG06" numFmtId="0">
      <sharedItems containsString="0" containsBlank="1" containsNumber="1" containsInteger="1" minValue="1" maxValue="4"/>
    </cacheField>
    <cacheField name="Q_AG07" numFmtId="0">
      <sharedItems containsString="0" containsBlank="1" containsNumber="1" containsInteger="1" minValue="2" maxValue="4"/>
    </cacheField>
    <cacheField name="Q_AG08" numFmtId="0">
      <sharedItems containsString="0" containsBlank="1" containsNumber="1" containsInteger="1" minValue="1" maxValue="4"/>
    </cacheField>
    <cacheField name="Q_AG09" numFmtId="0">
      <sharedItems containsString="0" containsBlank="1" containsNumber="1" containsInteger="1" minValue="2" maxValue="4"/>
    </cacheField>
    <cacheField name="Q_AG10" numFmtId="0">
      <sharedItems containsString="0" containsBlank="1" containsNumber="1" containsInteger="1" minValue="1" maxValue="4"/>
    </cacheField>
    <cacheField name="Q_AG11" numFmtId="0">
      <sharedItems containsString="0" containsBlank="1" containsNumber="1" containsInteger="1" minValue="2" maxValue="4"/>
    </cacheField>
    <cacheField name="ข้อเสนอแนะเพื่อการปรับปรุง" numFmtId="0">
      <sharedItems containsBlank="1"/>
    </cacheField>
    <cacheField name="Responder Email" numFmtId="0">
      <sharedItems containsBlank="1"/>
    </cacheField>
    <cacheField name="Submission Time" numFmtId="0">
      <sharedItems containsBlank="1"/>
    </cacheField>
    <cacheField name="S_AG01" numFmtId="0">
      <sharedItems containsBlank="1" containsMixedTypes="1" containsNumber="1" minValue="2.5" maxValue="10"/>
    </cacheField>
    <cacheField name="S_AG02" numFmtId="0">
      <sharedItems containsBlank="1" containsMixedTypes="1" containsNumber="1" minValue="5" maxValue="10"/>
    </cacheField>
    <cacheField name="S_AG03" numFmtId="0">
      <sharedItems containsBlank="1" containsMixedTypes="1" containsNumber="1" minValue="2.5" maxValue="10"/>
    </cacheField>
    <cacheField name="S_AG04" numFmtId="0">
      <sharedItems containsBlank="1" containsMixedTypes="1" containsNumber="1" minValue="2.5" maxValue="10"/>
    </cacheField>
    <cacheField name="S_AG05" numFmtId="0">
      <sharedItems containsBlank="1" containsMixedTypes="1" containsNumber="1" minValue="2.5" maxValue="10"/>
    </cacheField>
    <cacheField name="S_AG06" numFmtId="0">
      <sharedItems containsBlank="1" containsMixedTypes="1" containsNumber="1" minValue="2.5" maxValue="10"/>
    </cacheField>
    <cacheField name="S_AG07" numFmtId="0">
      <sharedItems containsBlank="1" containsMixedTypes="1" containsNumber="1" minValue="5" maxValue="10"/>
    </cacheField>
    <cacheField name="S_AG08" numFmtId="0">
      <sharedItems containsBlank="1" containsMixedTypes="1" containsNumber="1" minValue="1.25" maxValue="5"/>
    </cacheField>
    <cacheField name="S_AG09" numFmtId="0">
      <sharedItems containsBlank="1" containsMixedTypes="1" containsNumber="1" minValue="2.5" maxValue="5"/>
    </cacheField>
    <cacheField name="S_AG10" numFmtId="0">
      <sharedItems containsBlank="1" containsMixedTypes="1" containsNumber="1" minValue="1.25" maxValue="5"/>
    </cacheField>
    <cacheField name="S_AG11" numFmtId="0">
      <sharedItems containsBlank="1" containsMixedTypes="1" containsNumber="1" minValue="7.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58"/>
    <x v="0"/>
    <n v="1"/>
    <x v="0"/>
    <m/>
    <x v="0"/>
    <s v="USER"/>
    <n v="4"/>
    <n v="3"/>
    <n v="2"/>
    <n v="1"/>
    <n v="2"/>
    <n v="3"/>
    <n v="4"/>
    <n v="3"/>
    <n v="2"/>
    <n v="1"/>
    <m/>
    <s v="remark"/>
    <s v="Power.Bi@thainamthip.co.th"/>
    <s v="5/18/2025 8:47 PM"/>
    <n v="10"/>
    <n v="7.5"/>
    <n v="5"/>
    <n v="2.5"/>
    <n v="5"/>
    <n v="7.5"/>
    <n v="10"/>
    <n v="3.75"/>
    <n v="2.5"/>
    <n v="1.25"/>
    <s v=""/>
  </r>
  <r>
    <n v="159"/>
    <x v="0"/>
    <n v="1"/>
    <x v="0"/>
    <m/>
    <x v="1"/>
    <s v="PURCHASING"/>
    <m/>
    <m/>
    <m/>
    <m/>
    <m/>
    <m/>
    <m/>
    <m/>
    <m/>
    <m/>
    <n v="3"/>
    <m/>
    <s v="Sutripat.Ng@thainamthip.co.th"/>
    <s v="5/18/2025 8:50 PM"/>
    <s v=""/>
    <s v=""/>
    <s v=""/>
    <s v=""/>
    <s v=""/>
    <s v=""/>
    <s v=""/>
    <s v=""/>
    <s v=""/>
    <s v=""/>
    <n v="11.25"/>
  </r>
  <r>
    <n v="160"/>
    <x v="0"/>
    <n v="1"/>
    <x v="0"/>
    <m/>
    <x v="2"/>
    <s v="USER"/>
    <n v="1"/>
    <n v="2"/>
    <n v="2"/>
    <n v="3"/>
    <n v="3"/>
    <n v="4"/>
    <n v="4"/>
    <n v="3"/>
    <n v="2"/>
    <n v="3"/>
    <m/>
    <s v="Test"/>
    <s v="Sutripat.Ng@thainamthip.co.th"/>
    <s v="5/18/2025 8:51 PM"/>
    <n v="2.5"/>
    <n v="5"/>
    <n v="5"/>
    <n v="7.5"/>
    <n v="7.5"/>
    <n v="10"/>
    <n v="10"/>
    <n v="3.75"/>
    <n v="2.5"/>
    <n v="3.75"/>
    <s v=""/>
  </r>
  <r>
    <n v="161"/>
    <x v="0"/>
    <n v="1"/>
    <x v="1"/>
    <m/>
    <x v="3"/>
    <s v="USER"/>
    <n v="4"/>
    <n v="3"/>
    <n v="4"/>
    <n v="4"/>
    <n v="1"/>
    <n v="3"/>
    <n v="2"/>
    <n v="1"/>
    <n v="3"/>
    <n v="4"/>
    <m/>
    <s v="Test2"/>
    <s v="Sutripat.Ng@thainamthip.co.th"/>
    <s v="5/18/2025 8:51 PM"/>
    <n v="10"/>
    <n v="7.5"/>
    <n v="10"/>
    <n v="10"/>
    <n v="2.5"/>
    <n v="7.5"/>
    <n v="5"/>
    <n v="1.25"/>
    <n v="3.75"/>
    <n v="5"/>
    <s v=""/>
  </r>
  <r>
    <n v="162"/>
    <x v="0"/>
    <n v="1"/>
    <x v="2"/>
    <m/>
    <x v="4"/>
    <s v="PURCHASING"/>
    <m/>
    <m/>
    <m/>
    <m/>
    <m/>
    <m/>
    <m/>
    <m/>
    <m/>
    <m/>
    <n v="4"/>
    <s v="Test"/>
    <s v="Sutripat.Ng@thainamthip.co.th"/>
    <s v="5/18/2025 8:52 PM"/>
    <s v=""/>
    <s v=""/>
    <s v=""/>
    <s v=""/>
    <s v=""/>
    <s v=""/>
    <s v=""/>
    <s v=""/>
    <s v=""/>
    <s v=""/>
    <n v="15"/>
  </r>
  <r>
    <n v="163"/>
    <x v="0"/>
    <n v="1"/>
    <x v="3"/>
    <m/>
    <x v="5"/>
    <s v="USER"/>
    <n v="4"/>
    <n v="4"/>
    <n v="3"/>
    <n v="4"/>
    <n v="4"/>
    <n v="2"/>
    <n v="2"/>
    <n v="3"/>
    <n v="3"/>
    <n v="1"/>
    <m/>
    <s v="Test"/>
    <s v="Sutripat.Ng@thainamthip.co.th"/>
    <s v="5/18/2025 8:53 PM"/>
    <n v="10"/>
    <n v="10"/>
    <n v="7.5"/>
    <n v="10"/>
    <n v="10"/>
    <n v="5"/>
    <n v="5"/>
    <n v="3.75"/>
    <n v="3.75"/>
    <n v="1.25"/>
    <s v=""/>
  </r>
  <r>
    <n v="164"/>
    <x v="0"/>
    <n v="1"/>
    <x v="3"/>
    <m/>
    <x v="5"/>
    <s v="USER"/>
    <n v="4"/>
    <n v="3"/>
    <n v="3"/>
    <n v="4"/>
    <n v="4"/>
    <n v="4"/>
    <n v="2"/>
    <n v="2"/>
    <n v="3"/>
    <n v="3"/>
    <m/>
    <m/>
    <s v="Sutripat.Ng@thainamthip.co.th"/>
    <s v="5/18/2025 8:54 PM"/>
    <n v="10"/>
    <n v="7.5"/>
    <n v="7.5"/>
    <n v="10"/>
    <n v="10"/>
    <n v="10"/>
    <n v="5"/>
    <n v="2.5"/>
    <n v="3.75"/>
    <n v="3.75"/>
    <s v=""/>
  </r>
  <r>
    <n v="165"/>
    <x v="0"/>
    <n v="1"/>
    <x v="3"/>
    <m/>
    <x v="5"/>
    <s v="USER"/>
    <n v="2"/>
    <n v="2"/>
    <n v="3"/>
    <n v="3"/>
    <n v="3"/>
    <n v="4"/>
    <n v="4"/>
    <n v="4"/>
    <n v="3"/>
    <n v="4"/>
    <m/>
    <m/>
    <s v="Sutripat.Ng@thainamthip.co.th"/>
    <s v="5/18/2025 8:55 PM"/>
    <n v="5"/>
    <n v="5"/>
    <n v="7.5"/>
    <n v="7.5"/>
    <n v="7.5"/>
    <n v="10"/>
    <n v="10"/>
    <n v="5"/>
    <n v="3.75"/>
    <n v="5"/>
    <s v=""/>
  </r>
  <r>
    <n v="166"/>
    <x v="0"/>
    <n v="1"/>
    <x v="2"/>
    <m/>
    <x v="4"/>
    <s v="PURCHASING"/>
    <m/>
    <m/>
    <m/>
    <m/>
    <m/>
    <m/>
    <m/>
    <m/>
    <m/>
    <m/>
    <n v="2"/>
    <m/>
    <s v="Sutripat.Ng@thainamthip.co.th"/>
    <s v="5/18/2025 8:56 PM"/>
    <s v=""/>
    <s v=""/>
    <s v=""/>
    <s v=""/>
    <s v=""/>
    <s v=""/>
    <s v=""/>
    <s v=""/>
    <s v=""/>
    <s v=""/>
    <n v="7.5"/>
  </r>
  <r>
    <n v="167"/>
    <x v="0"/>
    <n v="1"/>
    <x v="0"/>
    <m/>
    <x v="1"/>
    <s v="USER"/>
    <n v="4"/>
    <n v="3"/>
    <n v="4"/>
    <n v="4"/>
    <n v="2"/>
    <n v="2"/>
    <n v="2"/>
    <n v="2"/>
    <n v="3"/>
    <n v="3"/>
    <m/>
    <s v="Test"/>
    <s v="Sutripat.Ng@thainamthip.co.th"/>
    <s v="5/18/2025 8:57 PM"/>
    <n v="10"/>
    <n v="7.5"/>
    <n v="10"/>
    <n v="10"/>
    <n v="5"/>
    <n v="5"/>
    <n v="5"/>
    <n v="2.5"/>
    <n v="3.75"/>
    <n v="3.75"/>
    <s v=""/>
  </r>
  <r>
    <n v="168"/>
    <x v="0"/>
    <n v="1"/>
    <x v="2"/>
    <m/>
    <x v="4"/>
    <s v="PURCHASING"/>
    <m/>
    <m/>
    <m/>
    <m/>
    <m/>
    <m/>
    <m/>
    <m/>
    <m/>
    <m/>
    <n v="3"/>
    <m/>
    <s v="Sutripat.Ng@thainamthip.co.th"/>
    <s v="5/18/2025 8:57 PM"/>
    <s v=""/>
    <s v=""/>
    <s v=""/>
    <s v=""/>
    <s v=""/>
    <s v=""/>
    <s v=""/>
    <s v=""/>
    <s v=""/>
    <s v=""/>
    <n v="11.25"/>
  </r>
  <r>
    <n v="169"/>
    <x v="0"/>
    <n v="1"/>
    <x v="2"/>
    <m/>
    <x v="4"/>
    <s v="USER"/>
    <n v="4"/>
    <n v="3"/>
    <n v="4"/>
    <n v="4"/>
    <n v="4"/>
    <n v="3"/>
    <n v="4"/>
    <n v="2"/>
    <n v="3"/>
    <n v="3"/>
    <m/>
    <m/>
    <s v="Sutripat.Ng@thainamthip.co.th"/>
    <s v="5/19/2025 9:13 PM"/>
    <n v="10"/>
    <n v="7.5"/>
    <n v="10"/>
    <n v="10"/>
    <n v="10"/>
    <n v="7.5"/>
    <n v="10"/>
    <n v="2.5"/>
    <n v="3.75"/>
    <n v="3.75"/>
    <s v=""/>
  </r>
  <r>
    <n v="170"/>
    <x v="0"/>
    <n v="1"/>
    <x v="3"/>
    <m/>
    <x v="5"/>
    <s v="PURCHASING"/>
    <m/>
    <m/>
    <m/>
    <m/>
    <m/>
    <m/>
    <m/>
    <m/>
    <m/>
    <m/>
    <n v="3"/>
    <m/>
    <s v="Sutripat.Ng@thainamthip.co.th"/>
    <s v="5/19/2025 9:13 PM"/>
    <s v=""/>
    <s v=""/>
    <s v=""/>
    <s v=""/>
    <s v=""/>
    <s v=""/>
    <s v=""/>
    <s v=""/>
    <s v=""/>
    <s v=""/>
    <n v="11.25"/>
  </r>
  <r>
    <n v="171"/>
    <x v="0"/>
    <n v="1"/>
    <x v="0"/>
    <m/>
    <x v="0"/>
    <s v="PURCHASING"/>
    <m/>
    <m/>
    <m/>
    <m/>
    <m/>
    <m/>
    <m/>
    <m/>
    <m/>
    <m/>
    <n v="2"/>
    <m/>
    <s v="Sutripat.Ng@thainamthip.co.th"/>
    <s v="5/19/2025 9:13 PM"/>
    <s v=""/>
    <s v=""/>
    <s v=""/>
    <s v=""/>
    <s v=""/>
    <s v=""/>
    <s v=""/>
    <s v=""/>
    <s v=""/>
    <s v=""/>
    <n v="7.5"/>
  </r>
  <r>
    <n v="172"/>
    <x v="0"/>
    <n v="1"/>
    <x v="1"/>
    <m/>
    <x v="3"/>
    <s v="PURCHASING"/>
    <m/>
    <m/>
    <m/>
    <m/>
    <m/>
    <m/>
    <m/>
    <m/>
    <m/>
    <m/>
    <n v="3"/>
    <m/>
    <s v="Sutripat.Ng@thainamthip.co.th"/>
    <s v="5/19/2025 9:14 PM"/>
    <s v=""/>
    <s v=""/>
    <s v=""/>
    <s v=""/>
    <s v=""/>
    <s v=""/>
    <s v=""/>
    <s v=""/>
    <s v=""/>
    <s v=""/>
    <n v="11.25"/>
  </r>
  <r>
    <n v="173"/>
    <x v="0"/>
    <n v="1"/>
    <x v="0"/>
    <m/>
    <x v="2"/>
    <s v="PURCHASING"/>
    <m/>
    <m/>
    <m/>
    <m/>
    <m/>
    <m/>
    <m/>
    <m/>
    <m/>
    <m/>
    <n v="4"/>
    <m/>
    <s v="Sutripat.Ng@thainamthip.co.th"/>
    <s v="5/19/2025 9:14 PM"/>
    <s v=""/>
    <s v=""/>
    <s v=""/>
    <s v=""/>
    <s v=""/>
    <s v=""/>
    <s v=""/>
    <s v=""/>
    <s v=""/>
    <s v=""/>
    <n v="15"/>
  </r>
  <r>
    <n v="174"/>
    <x v="0"/>
    <n v="1"/>
    <x v="1"/>
    <m/>
    <x v="6"/>
    <s v="USER"/>
    <n v="4"/>
    <n v="3"/>
    <n v="2"/>
    <n v="1"/>
    <n v="3"/>
    <n v="4"/>
    <n v="4"/>
    <n v="4"/>
    <n v="4"/>
    <n v="3"/>
    <m/>
    <m/>
    <s v="Sutripat.Ng@thainamthip.co.th"/>
    <s v="5/19/2025 11:33 PM"/>
    <n v="10"/>
    <n v="7.5"/>
    <n v="5"/>
    <n v="2.5"/>
    <n v="7.5"/>
    <n v="10"/>
    <n v="10"/>
    <n v="5"/>
    <n v="5"/>
    <n v="3.75"/>
    <s v=""/>
  </r>
  <r>
    <n v="175"/>
    <x v="0"/>
    <n v="1"/>
    <x v="1"/>
    <m/>
    <x v="6"/>
    <s v="PURCHASING"/>
    <m/>
    <m/>
    <m/>
    <m/>
    <m/>
    <m/>
    <m/>
    <m/>
    <m/>
    <m/>
    <n v="4"/>
    <m/>
    <s v="Sutripat.Ng@thainamthip.co.th"/>
    <s v="5/19/2025 11:33 PM"/>
    <s v=""/>
    <s v=""/>
    <s v=""/>
    <s v=""/>
    <s v=""/>
    <s v=""/>
    <s v=""/>
    <s v=""/>
    <s v=""/>
    <s v=""/>
    <n v="15"/>
  </r>
  <r>
    <n v="176"/>
    <x v="0"/>
    <n v="1"/>
    <x v="1"/>
    <m/>
    <x v="6"/>
    <s v="USER"/>
    <n v="4"/>
    <n v="3"/>
    <n v="1"/>
    <n v="3"/>
    <n v="4"/>
    <n v="1"/>
    <n v="3"/>
    <n v="4"/>
    <n v="3"/>
    <n v="2"/>
    <m/>
    <m/>
    <s v="Sutripat.Ng@thainamthip.co.th"/>
    <s v="5/19/2025 11:34 PM"/>
    <n v="10"/>
    <n v="7.5"/>
    <n v="2.5"/>
    <n v="7.5"/>
    <n v="10"/>
    <n v="2.5"/>
    <n v="7.5"/>
    <n v="5"/>
    <n v="3.75"/>
    <n v="2.5"/>
    <s v=""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  <r>
    <m/>
    <x v="1"/>
    <m/>
    <x v="4"/>
    <m/>
    <x v="7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6B064-DB1D-422C-A54D-33287257AB34}" name="PivotTable1" cacheId="48" applyNumberFormats="0" applyBorderFormats="0" applyFontFormats="0" applyPatternFormats="0" applyAlignmentFormats="0" applyWidthHeightFormats="1" dataCaption="Values" showError="1" updatedVersion="7" minRefreshableVersion="3" useAutoFormatting="1" itemPrintTitles="1" createdVersion="7" indent="0" compact="0" compactData="0" multipleFieldFilters="0">
  <location ref="AO3:BL12" firstHeaderRow="0" firstDataRow="1" firstDataCol="2" rowPageCount="1" colPageCount="1"/>
  <pivotFields count="32">
    <pivotField compact="0" outline="0" showAll="0" defaultSubtotal="0"/>
    <pivotField axis="axisPage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5">
        <item x="2"/>
        <item x="1"/>
        <item x="0"/>
        <item x="3"/>
        <item x="4"/>
      </items>
    </pivotField>
    <pivotField compact="0" outline="0" showAll="0" defaultSubtotal="0"/>
    <pivotField axis="axisRow" compact="0" outline="0" showAll="0" defaultSubtotal="0">
      <items count="8">
        <item x="5"/>
        <item x="0"/>
        <item x="3"/>
        <item x="4"/>
        <item x="1"/>
        <item x="2"/>
        <item x="6"/>
        <item x="7"/>
      </items>
    </pivotField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5"/>
    <field x="3"/>
  </rowFields>
  <rowItems count="9">
    <i>
      <x/>
      <x v="3"/>
    </i>
    <i>
      <x v="1"/>
      <x v="2"/>
    </i>
    <i>
      <x v="2"/>
      <x v="1"/>
    </i>
    <i>
      <x v="3"/>
      <x/>
    </i>
    <i>
      <x v="4"/>
      <x v="2"/>
    </i>
    <i>
      <x v="5"/>
      <x v="2"/>
    </i>
    <i>
      <x v="6"/>
      <x v="1"/>
    </i>
    <i>
      <x v="7"/>
      <x v="4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pageFields count="1">
    <pageField fld="1" hier="-1"/>
  </pageFields>
  <dataFields count="22">
    <dataField name="Average of Q_AG01" fld="7" subtotal="average" baseField="5" baseItem="0"/>
    <dataField name="Average of Q_AG02" fld="8" subtotal="average" baseField="5" baseItem="0"/>
    <dataField name="Average of Q_AG03" fld="9" subtotal="average" baseField="5" baseItem="0"/>
    <dataField name="Average of Q_AG04" fld="10" subtotal="average" baseField="5" baseItem="0"/>
    <dataField name="Average of Q_AG05" fld="11" subtotal="average" baseField="5" baseItem="0"/>
    <dataField name="Average of Q_AG06" fld="12" subtotal="average" baseField="5" baseItem="0"/>
    <dataField name="Average of Q_AG07" fld="13" subtotal="average" baseField="5" baseItem="0"/>
    <dataField name="Average of Q_AG08" fld="14" subtotal="average" baseField="5" baseItem="0"/>
    <dataField name="Average of Q_AG09" fld="15" subtotal="average" baseField="5" baseItem="0"/>
    <dataField name="Average of Q_AG10" fld="16" subtotal="average" baseField="5" baseItem="0"/>
    <dataField name="Average of Q_AG11" fld="17" subtotal="average" baseField="5" baseItem="0"/>
    <dataField name="Average of S_AG01" fld="21" subtotal="average" baseField="5" baseItem="0"/>
    <dataField name="Average of S_AG02" fld="22" subtotal="average" baseField="5" baseItem="0"/>
    <dataField name="Average of S_AG03" fld="23" subtotal="average" baseField="5" baseItem="0"/>
    <dataField name="Average of S_AG04" fld="24" subtotal="average" baseField="5" baseItem="0"/>
    <dataField name="Average of S_AG05" fld="25" subtotal="average" baseField="5" baseItem="0"/>
    <dataField name="Average of S_AG06" fld="26" subtotal="average" baseField="5" baseItem="0"/>
    <dataField name="Average of S_AG07" fld="27" subtotal="average" baseField="5" baseItem="0"/>
    <dataField name="Average of S_AG08" fld="28" subtotal="average" baseField="5" baseItem="0"/>
    <dataField name="Average of S_AG09" fld="29" subtotal="average" baseField="5" baseItem="0"/>
    <dataField name="Average of S_AG10" fld="30" subtotal="average" baseField="5" baseItem="0"/>
    <dataField name="Average of S_AG11" fld="31" subtotal="average" baseField="5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988A-F072-45F8-83BB-C649B9B41925}">
  <sheetPr codeName="Sheet1"/>
  <dimension ref="A1:CC26"/>
  <sheetViews>
    <sheetView tabSelected="1" zoomScale="40" zoomScaleNormal="40" workbookViewId="0">
      <selection activeCell="A25" sqref="A25"/>
    </sheetView>
  </sheetViews>
  <sheetFormatPr defaultRowHeight="14" x14ac:dyDescent="0.3"/>
  <cols>
    <col min="1" max="1" width="4.25" bestFit="1" customWidth="1"/>
    <col min="2" max="2" width="9" bestFit="1" customWidth="1"/>
    <col min="3" max="3" width="12.25" bestFit="1" customWidth="1"/>
    <col min="4" max="4" width="12.83203125" bestFit="1" customWidth="1"/>
    <col min="5" max="5" width="6" bestFit="1" customWidth="1"/>
    <col min="6" max="6" width="43.58203125" bestFit="1" customWidth="1"/>
    <col min="7" max="7" width="12" bestFit="1" customWidth="1"/>
    <col min="21" max="21" width="8.6640625" customWidth="1"/>
    <col min="41" max="41" width="49.58203125" bestFit="1" customWidth="1"/>
    <col min="42" max="42" width="14.08203125" bestFit="1" customWidth="1"/>
    <col min="43" max="53" width="23.25" bestFit="1" customWidth="1"/>
    <col min="54" max="64" width="22.83203125" bestFit="1" customWidth="1"/>
    <col min="65" max="68" width="11.75" customWidth="1"/>
    <col min="72" max="72" width="11.83203125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7</v>
      </c>
      <c r="T1" t="s">
        <v>8</v>
      </c>
      <c r="U1" t="s">
        <v>9</v>
      </c>
      <c r="V1" s="5" t="s">
        <v>82</v>
      </c>
      <c r="W1" s="5" t="s">
        <v>83</v>
      </c>
      <c r="X1" s="5" t="s">
        <v>84</v>
      </c>
      <c r="Y1" s="5" t="s">
        <v>85</v>
      </c>
      <c r="Z1" s="5" t="s">
        <v>86</v>
      </c>
      <c r="AA1" s="5" t="s">
        <v>87</v>
      </c>
      <c r="AB1" s="5" t="s">
        <v>88</v>
      </c>
      <c r="AC1" s="5" t="s">
        <v>89</v>
      </c>
      <c r="AD1" s="5" t="s">
        <v>90</v>
      </c>
      <c r="AE1" s="5" t="s">
        <v>91</v>
      </c>
      <c r="AF1" s="5" t="s">
        <v>92</v>
      </c>
      <c r="AO1" s="1" t="s">
        <v>1</v>
      </c>
      <c r="AP1" t="s">
        <v>37</v>
      </c>
      <c r="BU1" s="3" t="s">
        <v>39</v>
      </c>
      <c r="BV1" s="3" t="s">
        <v>40</v>
      </c>
      <c r="BW1" s="3" t="s">
        <v>41</v>
      </c>
      <c r="BX1" s="3" t="s">
        <v>42</v>
      </c>
      <c r="BY1" s="3" t="s">
        <v>43</v>
      </c>
      <c r="BZ1" s="3" t="s">
        <v>44</v>
      </c>
      <c r="CA1" s="3" t="s">
        <v>45</v>
      </c>
      <c r="CB1" s="3" t="s">
        <v>46</v>
      </c>
      <c r="CC1" s="3" t="s">
        <v>47</v>
      </c>
    </row>
    <row r="2" spans="1:81" x14ac:dyDescent="0.3">
      <c r="A2">
        <v>158</v>
      </c>
      <c r="B2" t="s">
        <v>10</v>
      </c>
      <c r="C2">
        <v>1</v>
      </c>
      <c r="D2" t="s">
        <v>11</v>
      </c>
      <c r="F2" t="s">
        <v>12</v>
      </c>
      <c r="G2" t="s">
        <v>13</v>
      </c>
      <c r="H2">
        <v>4</v>
      </c>
      <c r="I2">
        <v>3</v>
      </c>
      <c r="J2">
        <v>2</v>
      </c>
      <c r="K2">
        <v>1</v>
      </c>
      <c r="L2">
        <v>2</v>
      </c>
      <c r="M2">
        <v>3</v>
      </c>
      <c r="N2">
        <v>4</v>
      </c>
      <c r="O2">
        <v>3</v>
      </c>
      <c r="P2">
        <v>2</v>
      </c>
      <c r="Q2">
        <v>1</v>
      </c>
      <c r="S2" t="s">
        <v>14</v>
      </c>
      <c r="T2" t="s">
        <v>15</v>
      </c>
      <c r="U2" t="s">
        <v>16</v>
      </c>
      <c r="V2">
        <f>IF(H2="","",H2/4*$BZ$2)</f>
        <v>10</v>
      </c>
      <c r="W2">
        <f>IF(I2="","",I2/4*$BZ$3)</f>
        <v>7.5</v>
      </c>
      <c r="X2">
        <f>IF(J2="","",J2/4*$BZ$4)</f>
        <v>5</v>
      </c>
      <c r="Y2">
        <f>IF(K2="","",K2/4*$BZ$5)</f>
        <v>2.5</v>
      </c>
      <c r="Z2">
        <f>IF(L2="","",L2/4*$BZ$6)</f>
        <v>5</v>
      </c>
      <c r="AA2">
        <f>IF(M2="","",M2/4*$BZ$7)</f>
        <v>7.5</v>
      </c>
      <c r="AB2">
        <f>IF(N2="","",N2/4*$BZ$8)</f>
        <v>10</v>
      </c>
      <c r="AC2">
        <f>IF(O2="","",O2/4*$BZ$9)</f>
        <v>3.75</v>
      </c>
      <c r="AD2">
        <f>IF(P2="","",P2/4*$BZ$10)</f>
        <v>2.5</v>
      </c>
      <c r="AE2">
        <f>IF(Q2="","",Q2/4*$BZ$11)</f>
        <v>1.25</v>
      </c>
      <c r="AF2" t="str">
        <f>IF(R2="","",R2/4*$BZ$12)</f>
        <v/>
      </c>
      <c r="BU2" s="4">
        <v>2025</v>
      </c>
      <c r="BV2" s="4" t="s">
        <v>48</v>
      </c>
      <c r="BW2" s="4" t="s">
        <v>48</v>
      </c>
      <c r="BX2" s="4" t="s">
        <v>48</v>
      </c>
      <c r="BY2" s="4" t="s">
        <v>49</v>
      </c>
      <c r="BZ2" s="4">
        <v>10</v>
      </c>
      <c r="CA2" s="4" t="s">
        <v>50</v>
      </c>
      <c r="CB2" s="4" t="s">
        <v>51</v>
      </c>
      <c r="CC2" s="4" t="s">
        <v>52</v>
      </c>
    </row>
    <row r="3" spans="1:81" x14ac:dyDescent="0.3">
      <c r="A3">
        <v>159</v>
      </c>
      <c r="B3" t="s">
        <v>10</v>
      </c>
      <c r="C3">
        <v>1</v>
      </c>
      <c r="D3" t="s">
        <v>11</v>
      </c>
      <c r="F3" t="s">
        <v>17</v>
      </c>
      <c r="G3" t="s">
        <v>18</v>
      </c>
      <c r="R3">
        <v>3</v>
      </c>
      <c r="T3" t="s">
        <v>19</v>
      </c>
      <c r="U3" t="s">
        <v>20</v>
      </c>
      <c r="V3" t="str">
        <f t="shared" ref="V3:V20" si="0">IF(H3="","",H3/4*$BZ$2)</f>
        <v/>
      </c>
      <c r="W3" t="str">
        <f t="shared" ref="W3:W20" si="1">IF(I3="","",I3/4*$BZ$3)</f>
        <v/>
      </c>
      <c r="X3" t="str">
        <f t="shared" ref="X3:X20" si="2">IF(J3="","",J3/4*$BZ$4)</f>
        <v/>
      </c>
      <c r="Y3" t="str">
        <f t="shared" ref="Y3:Y20" si="3">IF(K3="","",K3/4*$BZ$5)</f>
        <v/>
      </c>
      <c r="Z3" t="str">
        <f t="shared" ref="Z3:Z20" si="4">IF(L3="","",L3/4*$BZ$6)</f>
        <v/>
      </c>
      <c r="AA3" t="str">
        <f t="shared" ref="AA3:AA20" si="5">IF(M3="","",M3/4*$BZ$7)</f>
        <v/>
      </c>
      <c r="AB3" t="str">
        <f t="shared" ref="AB3:AB20" si="6">IF(N3="","",N3/4*$BZ$8)</f>
        <v/>
      </c>
      <c r="AC3" t="str">
        <f t="shared" ref="AC3:AC20" si="7">IF(O3="","",O3/4*$BZ$9)</f>
        <v/>
      </c>
      <c r="AD3" t="str">
        <f t="shared" ref="AD3:AD20" si="8">IF(P3="","",P3/4*$BZ$10)</f>
        <v/>
      </c>
      <c r="AE3" t="str">
        <f t="shared" ref="AE3:AE20" si="9">IF(Q3="","",Q3/4*$BZ$11)</f>
        <v/>
      </c>
      <c r="AF3">
        <f t="shared" ref="AF3:AF20" si="10">IF(R3="","",R3/4*$BZ$12)</f>
        <v>11.25</v>
      </c>
      <c r="AO3" s="1" t="s">
        <v>5</v>
      </c>
      <c r="AP3" s="1" t="s">
        <v>3</v>
      </c>
      <c r="AQ3" t="s">
        <v>104</v>
      </c>
      <c r="AR3" t="s">
        <v>105</v>
      </c>
      <c r="AS3" t="s">
        <v>106</v>
      </c>
      <c r="AT3" t="s">
        <v>107</v>
      </c>
      <c r="AU3" t="s">
        <v>108</v>
      </c>
      <c r="AV3" t="s">
        <v>109</v>
      </c>
      <c r="AW3" t="s">
        <v>110</v>
      </c>
      <c r="AX3" t="s">
        <v>111</v>
      </c>
      <c r="AY3" t="s">
        <v>112</v>
      </c>
      <c r="AZ3" t="s">
        <v>113</v>
      </c>
      <c r="BA3" t="s">
        <v>114</v>
      </c>
      <c r="BB3" t="s">
        <v>115</v>
      </c>
      <c r="BC3" t="s">
        <v>116</v>
      </c>
      <c r="BD3" t="s">
        <v>117</v>
      </c>
      <c r="BE3" t="s">
        <v>118</v>
      </c>
      <c r="BF3" t="s">
        <v>119</v>
      </c>
      <c r="BG3" t="s">
        <v>120</v>
      </c>
      <c r="BH3" t="s">
        <v>121</v>
      </c>
      <c r="BI3" t="s">
        <v>122</v>
      </c>
      <c r="BJ3" t="s">
        <v>123</v>
      </c>
      <c r="BK3" t="s">
        <v>124</v>
      </c>
      <c r="BL3" t="s">
        <v>125</v>
      </c>
      <c r="BU3" s="4">
        <v>2025</v>
      </c>
      <c r="BV3" s="4" t="s">
        <v>48</v>
      </c>
      <c r="BW3" s="4" t="s">
        <v>48</v>
      </c>
      <c r="BX3" s="4" t="s">
        <v>48</v>
      </c>
      <c r="BY3" s="4" t="s">
        <v>49</v>
      </c>
      <c r="BZ3" s="4">
        <v>10</v>
      </c>
      <c r="CA3" s="4" t="s">
        <v>50</v>
      </c>
      <c r="CB3" s="4" t="s">
        <v>53</v>
      </c>
      <c r="CC3" s="4" t="s">
        <v>54</v>
      </c>
    </row>
    <row r="4" spans="1:81" x14ac:dyDescent="0.3">
      <c r="A4">
        <v>160</v>
      </c>
      <c r="B4" t="s">
        <v>10</v>
      </c>
      <c r="C4">
        <v>1</v>
      </c>
      <c r="D4" t="s">
        <v>11</v>
      </c>
      <c r="F4" t="s">
        <v>21</v>
      </c>
      <c r="G4" t="s">
        <v>13</v>
      </c>
      <c r="H4">
        <v>1</v>
      </c>
      <c r="I4">
        <v>2</v>
      </c>
      <c r="J4">
        <v>2</v>
      </c>
      <c r="K4">
        <v>3</v>
      </c>
      <c r="L4">
        <v>3</v>
      </c>
      <c r="M4">
        <v>4</v>
      </c>
      <c r="N4">
        <v>4</v>
      </c>
      <c r="O4">
        <v>3</v>
      </c>
      <c r="P4">
        <v>2</v>
      </c>
      <c r="Q4">
        <v>3</v>
      </c>
      <c r="S4" t="s">
        <v>22</v>
      </c>
      <c r="T4" t="s">
        <v>19</v>
      </c>
      <c r="U4" t="s">
        <v>23</v>
      </c>
      <c r="V4">
        <f t="shared" si="0"/>
        <v>2.5</v>
      </c>
      <c r="W4">
        <f t="shared" si="1"/>
        <v>5</v>
      </c>
      <c r="X4">
        <f t="shared" si="2"/>
        <v>5</v>
      </c>
      <c r="Y4">
        <f t="shared" si="3"/>
        <v>7.5</v>
      </c>
      <c r="Z4">
        <f t="shared" si="4"/>
        <v>7.5</v>
      </c>
      <c r="AA4">
        <f t="shared" si="5"/>
        <v>10</v>
      </c>
      <c r="AB4">
        <f t="shared" si="6"/>
        <v>10</v>
      </c>
      <c r="AC4">
        <f t="shared" si="7"/>
        <v>3.75</v>
      </c>
      <c r="AD4">
        <f t="shared" si="8"/>
        <v>2.5</v>
      </c>
      <c r="AE4">
        <f t="shared" si="9"/>
        <v>3.75</v>
      </c>
      <c r="AF4" t="str">
        <f t="shared" si="10"/>
        <v/>
      </c>
      <c r="AO4" t="s">
        <v>31</v>
      </c>
      <c r="AP4" t="s">
        <v>30</v>
      </c>
      <c r="AQ4" s="25">
        <v>3.3333333333333335</v>
      </c>
      <c r="AR4" s="25">
        <v>3</v>
      </c>
      <c r="AS4" s="25">
        <v>3</v>
      </c>
      <c r="AT4" s="25">
        <v>3.6666666666666665</v>
      </c>
      <c r="AU4" s="25">
        <v>3.6666666666666665</v>
      </c>
      <c r="AV4" s="25">
        <v>3.3333333333333335</v>
      </c>
      <c r="AW4" s="25">
        <v>2.6666666666666665</v>
      </c>
      <c r="AX4" s="25">
        <v>3</v>
      </c>
      <c r="AY4" s="25">
        <v>3</v>
      </c>
      <c r="AZ4" s="25">
        <v>2.6666666666666665</v>
      </c>
      <c r="BA4" s="25">
        <v>3</v>
      </c>
      <c r="BB4" s="25">
        <v>8.3333333333333339</v>
      </c>
      <c r="BC4" s="25">
        <v>7.5</v>
      </c>
      <c r="BD4" s="25">
        <v>7.5</v>
      </c>
      <c r="BE4" s="25">
        <v>9.1666666666666661</v>
      </c>
      <c r="BF4" s="25">
        <v>9.1666666666666661</v>
      </c>
      <c r="BG4" s="25">
        <v>8.3333333333333339</v>
      </c>
      <c r="BH4" s="25">
        <v>6.666666666666667</v>
      </c>
      <c r="BI4" s="25">
        <v>3.75</v>
      </c>
      <c r="BJ4" s="25">
        <v>3.75</v>
      </c>
      <c r="BK4" s="25">
        <v>3.3333333333333335</v>
      </c>
      <c r="BL4" s="25">
        <v>11.25</v>
      </c>
      <c r="BM4" s="2"/>
      <c r="BN4" s="2"/>
      <c r="BO4" s="2"/>
      <c r="BP4" s="2"/>
      <c r="BU4" s="4">
        <v>2025</v>
      </c>
      <c r="BV4" s="4" t="s">
        <v>48</v>
      </c>
      <c r="BW4" s="4" t="s">
        <v>48</v>
      </c>
      <c r="BX4" s="4" t="s">
        <v>48</v>
      </c>
      <c r="BY4" s="4" t="s">
        <v>49</v>
      </c>
      <c r="BZ4" s="4">
        <v>10</v>
      </c>
      <c r="CA4" s="4" t="s">
        <v>50</v>
      </c>
      <c r="CB4" s="4" t="s">
        <v>55</v>
      </c>
      <c r="CC4" s="4" t="s">
        <v>56</v>
      </c>
    </row>
    <row r="5" spans="1:81" x14ac:dyDescent="0.3">
      <c r="A5">
        <v>161</v>
      </c>
      <c r="B5" t="s">
        <v>10</v>
      </c>
      <c r="C5">
        <v>1</v>
      </c>
      <c r="D5" t="s">
        <v>24</v>
      </c>
      <c r="F5" t="s">
        <v>25</v>
      </c>
      <c r="G5" t="s">
        <v>13</v>
      </c>
      <c r="H5">
        <v>4</v>
      </c>
      <c r="I5">
        <v>3</v>
      </c>
      <c r="J5">
        <v>4</v>
      </c>
      <c r="K5">
        <v>4</v>
      </c>
      <c r="L5">
        <v>1</v>
      </c>
      <c r="M5">
        <v>3</v>
      </c>
      <c r="N5">
        <v>2</v>
      </c>
      <c r="O5">
        <v>1</v>
      </c>
      <c r="P5">
        <v>3</v>
      </c>
      <c r="Q5">
        <v>4</v>
      </c>
      <c r="S5" t="s">
        <v>26</v>
      </c>
      <c r="T5" t="s">
        <v>19</v>
      </c>
      <c r="U5" t="s">
        <v>23</v>
      </c>
      <c r="V5">
        <f t="shared" si="0"/>
        <v>10</v>
      </c>
      <c r="W5">
        <f t="shared" si="1"/>
        <v>7.5</v>
      </c>
      <c r="X5">
        <f t="shared" si="2"/>
        <v>10</v>
      </c>
      <c r="Y5">
        <f t="shared" si="3"/>
        <v>10</v>
      </c>
      <c r="Z5">
        <f t="shared" si="4"/>
        <v>2.5</v>
      </c>
      <c r="AA5">
        <f t="shared" si="5"/>
        <v>7.5</v>
      </c>
      <c r="AB5">
        <f t="shared" si="6"/>
        <v>5</v>
      </c>
      <c r="AC5">
        <f t="shared" si="7"/>
        <v>1.25</v>
      </c>
      <c r="AD5">
        <f t="shared" si="8"/>
        <v>3.75</v>
      </c>
      <c r="AE5">
        <f t="shared" si="9"/>
        <v>5</v>
      </c>
      <c r="AF5" t="str">
        <f t="shared" si="10"/>
        <v/>
      </c>
      <c r="AO5" t="s">
        <v>12</v>
      </c>
      <c r="AP5" t="s">
        <v>11</v>
      </c>
      <c r="AQ5" s="25">
        <v>4</v>
      </c>
      <c r="AR5" s="25">
        <v>3</v>
      </c>
      <c r="AS5" s="25">
        <v>2</v>
      </c>
      <c r="AT5" s="25">
        <v>1</v>
      </c>
      <c r="AU5" s="25">
        <v>2</v>
      </c>
      <c r="AV5" s="25">
        <v>3</v>
      </c>
      <c r="AW5" s="25">
        <v>4</v>
      </c>
      <c r="AX5" s="25">
        <v>3</v>
      </c>
      <c r="AY5" s="25">
        <v>2</v>
      </c>
      <c r="AZ5" s="25">
        <v>1</v>
      </c>
      <c r="BA5" s="25">
        <v>2</v>
      </c>
      <c r="BB5" s="25">
        <v>10</v>
      </c>
      <c r="BC5" s="25">
        <v>7.5</v>
      </c>
      <c r="BD5" s="25">
        <v>5</v>
      </c>
      <c r="BE5" s="25">
        <v>2.5</v>
      </c>
      <c r="BF5" s="25">
        <v>5</v>
      </c>
      <c r="BG5" s="25">
        <v>7.5</v>
      </c>
      <c r="BH5" s="25">
        <v>10</v>
      </c>
      <c r="BI5" s="25">
        <v>3.75</v>
      </c>
      <c r="BJ5" s="25">
        <v>2.5</v>
      </c>
      <c r="BK5" s="25">
        <v>1.25</v>
      </c>
      <c r="BL5" s="25">
        <v>7.5</v>
      </c>
      <c r="BM5" s="2"/>
      <c r="BN5" s="2"/>
      <c r="BO5" s="2"/>
      <c r="BP5" s="2"/>
      <c r="BU5" s="4">
        <v>2025</v>
      </c>
      <c r="BV5" s="4" t="s">
        <v>48</v>
      </c>
      <c r="BW5" s="4" t="s">
        <v>48</v>
      </c>
      <c r="BX5" s="4" t="s">
        <v>48</v>
      </c>
      <c r="BY5" s="4" t="s">
        <v>57</v>
      </c>
      <c r="BZ5" s="4">
        <v>10</v>
      </c>
      <c r="CA5" s="4" t="s">
        <v>50</v>
      </c>
      <c r="CB5" s="4" t="s">
        <v>58</v>
      </c>
      <c r="CC5" s="4" t="s">
        <v>59</v>
      </c>
    </row>
    <row r="6" spans="1:81" x14ac:dyDescent="0.3">
      <c r="A6">
        <v>162</v>
      </c>
      <c r="B6" t="s">
        <v>10</v>
      </c>
      <c r="C6">
        <v>1</v>
      </c>
      <c r="D6" t="s">
        <v>27</v>
      </c>
      <c r="F6" t="s">
        <v>28</v>
      </c>
      <c r="G6" t="s">
        <v>18</v>
      </c>
      <c r="R6">
        <v>4</v>
      </c>
      <c r="S6" t="s">
        <v>22</v>
      </c>
      <c r="T6" t="s">
        <v>19</v>
      </c>
      <c r="U6" t="s">
        <v>29</v>
      </c>
      <c r="V6" t="str">
        <f t="shared" si="0"/>
        <v/>
      </c>
      <c r="W6" t="str">
        <f t="shared" si="1"/>
        <v/>
      </c>
      <c r="X6" t="str">
        <f t="shared" si="2"/>
        <v/>
      </c>
      <c r="Y6" t="str">
        <f t="shared" si="3"/>
        <v/>
      </c>
      <c r="Z6" t="str">
        <f t="shared" si="4"/>
        <v/>
      </c>
      <c r="AA6" t="str">
        <f t="shared" si="5"/>
        <v/>
      </c>
      <c r="AB6" t="str">
        <f t="shared" si="6"/>
        <v/>
      </c>
      <c r="AC6" t="str">
        <f t="shared" si="7"/>
        <v/>
      </c>
      <c r="AD6" t="str">
        <f t="shared" si="8"/>
        <v/>
      </c>
      <c r="AE6" t="str">
        <f t="shared" si="9"/>
        <v/>
      </c>
      <c r="AF6">
        <f t="shared" si="10"/>
        <v>15</v>
      </c>
      <c r="AO6" t="s">
        <v>25</v>
      </c>
      <c r="AP6" t="s">
        <v>24</v>
      </c>
      <c r="AQ6" s="25">
        <v>4</v>
      </c>
      <c r="AR6" s="25">
        <v>3</v>
      </c>
      <c r="AS6" s="25">
        <v>4</v>
      </c>
      <c r="AT6" s="25">
        <v>4</v>
      </c>
      <c r="AU6" s="25">
        <v>1</v>
      </c>
      <c r="AV6" s="25">
        <v>3</v>
      </c>
      <c r="AW6" s="25">
        <v>2</v>
      </c>
      <c r="AX6" s="25">
        <v>1</v>
      </c>
      <c r="AY6" s="25">
        <v>3</v>
      </c>
      <c r="AZ6" s="25">
        <v>4</v>
      </c>
      <c r="BA6" s="25">
        <v>3</v>
      </c>
      <c r="BB6" s="25">
        <v>10</v>
      </c>
      <c r="BC6" s="25">
        <v>7.5</v>
      </c>
      <c r="BD6" s="25">
        <v>10</v>
      </c>
      <c r="BE6" s="25">
        <v>10</v>
      </c>
      <c r="BF6" s="25">
        <v>2.5</v>
      </c>
      <c r="BG6" s="25">
        <v>7.5</v>
      </c>
      <c r="BH6" s="25">
        <v>5</v>
      </c>
      <c r="BI6" s="25">
        <v>1.25</v>
      </c>
      <c r="BJ6" s="25">
        <v>3.75</v>
      </c>
      <c r="BK6" s="25">
        <v>5</v>
      </c>
      <c r="BL6" s="25">
        <v>11.25</v>
      </c>
      <c r="BM6" s="2"/>
      <c r="BN6" s="2"/>
      <c r="BO6" s="2"/>
      <c r="BP6" s="2"/>
      <c r="BU6" s="4">
        <v>2025</v>
      </c>
      <c r="BV6" s="4" t="s">
        <v>48</v>
      </c>
      <c r="BW6" s="4" t="s">
        <v>48</v>
      </c>
      <c r="BX6" s="4" t="s">
        <v>48</v>
      </c>
      <c r="BY6" s="4" t="s">
        <v>57</v>
      </c>
      <c r="BZ6" s="4">
        <v>10</v>
      </c>
      <c r="CA6" s="4" t="s">
        <v>50</v>
      </c>
      <c r="CB6" s="4" t="s">
        <v>60</v>
      </c>
      <c r="CC6" s="4" t="s">
        <v>61</v>
      </c>
    </row>
    <row r="7" spans="1:81" x14ac:dyDescent="0.3">
      <c r="A7">
        <v>163</v>
      </c>
      <c r="B7" t="s">
        <v>10</v>
      </c>
      <c r="C7">
        <v>1</v>
      </c>
      <c r="D7" t="s">
        <v>30</v>
      </c>
      <c r="F7" t="s">
        <v>31</v>
      </c>
      <c r="G7" t="s">
        <v>13</v>
      </c>
      <c r="H7">
        <v>4</v>
      </c>
      <c r="I7">
        <v>4</v>
      </c>
      <c r="J7">
        <v>3</v>
      </c>
      <c r="K7">
        <v>4</v>
      </c>
      <c r="L7">
        <v>4</v>
      </c>
      <c r="M7">
        <v>2</v>
      </c>
      <c r="N7">
        <v>2</v>
      </c>
      <c r="O7">
        <v>3</v>
      </c>
      <c r="P7">
        <v>3</v>
      </c>
      <c r="Q7">
        <v>1</v>
      </c>
      <c r="S7" t="s">
        <v>22</v>
      </c>
      <c r="T7" t="s">
        <v>19</v>
      </c>
      <c r="U7" t="s">
        <v>32</v>
      </c>
      <c r="V7">
        <f t="shared" si="0"/>
        <v>10</v>
      </c>
      <c r="W7">
        <f t="shared" si="1"/>
        <v>10</v>
      </c>
      <c r="X7">
        <f t="shared" si="2"/>
        <v>7.5</v>
      </c>
      <c r="Y7">
        <f t="shared" si="3"/>
        <v>10</v>
      </c>
      <c r="Z7">
        <f t="shared" si="4"/>
        <v>10</v>
      </c>
      <c r="AA7">
        <f t="shared" si="5"/>
        <v>5</v>
      </c>
      <c r="AB7">
        <f t="shared" si="6"/>
        <v>5</v>
      </c>
      <c r="AC7">
        <f t="shared" si="7"/>
        <v>3.75</v>
      </c>
      <c r="AD7">
        <f t="shared" si="8"/>
        <v>3.75</v>
      </c>
      <c r="AE7">
        <f t="shared" si="9"/>
        <v>1.25</v>
      </c>
      <c r="AF7" t="str">
        <f t="shared" si="10"/>
        <v/>
      </c>
      <c r="AO7" t="s">
        <v>28</v>
      </c>
      <c r="AP7" t="s">
        <v>27</v>
      </c>
      <c r="AQ7" s="25">
        <v>4</v>
      </c>
      <c r="AR7" s="25">
        <v>3</v>
      </c>
      <c r="AS7" s="25">
        <v>4</v>
      </c>
      <c r="AT7" s="25">
        <v>4</v>
      </c>
      <c r="AU7" s="25">
        <v>4</v>
      </c>
      <c r="AV7" s="25">
        <v>3</v>
      </c>
      <c r="AW7" s="25">
        <v>4</v>
      </c>
      <c r="AX7" s="25">
        <v>2</v>
      </c>
      <c r="AY7" s="25">
        <v>3</v>
      </c>
      <c r="AZ7" s="25">
        <v>3</v>
      </c>
      <c r="BA7" s="25">
        <v>3</v>
      </c>
      <c r="BB7" s="25">
        <v>10</v>
      </c>
      <c r="BC7" s="25">
        <v>7.5</v>
      </c>
      <c r="BD7" s="25">
        <v>10</v>
      </c>
      <c r="BE7" s="25">
        <v>10</v>
      </c>
      <c r="BF7" s="25">
        <v>10</v>
      </c>
      <c r="BG7" s="25">
        <v>7.5</v>
      </c>
      <c r="BH7" s="25">
        <v>10</v>
      </c>
      <c r="BI7" s="25">
        <v>2.5</v>
      </c>
      <c r="BJ7" s="25">
        <v>3.75</v>
      </c>
      <c r="BK7" s="25">
        <v>3.75</v>
      </c>
      <c r="BL7" s="25">
        <v>11.25</v>
      </c>
      <c r="BM7" s="2"/>
      <c r="BN7" s="2"/>
      <c r="BO7" s="2"/>
      <c r="BP7" s="2"/>
      <c r="BU7" s="4">
        <v>2025</v>
      </c>
      <c r="BV7" s="4" t="s">
        <v>48</v>
      </c>
      <c r="BW7" s="4" t="s">
        <v>48</v>
      </c>
      <c r="BX7" s="4" t="s">
        <v>48</v>
      </c>
      <c r="BY7" s="4" t="s">
        <v>57</v>
      </c>
      <c r="BZ7" s="4">
        <v>10</v>
      </c>
      <c r="CA7" s="4" t="s">
        <v>50</v>
      </c>
      <c r="CB7" s="4" t="s">
        <v>62</v>
      </c>
      <c r="CC7" s="4" t="s">
        <v>63</v>
      </c>
    </row>
    <row r="8" spans="1:81" x14ac:dyDescent="0.3">
      <c r="A8">
        <v>164</v>
      </c>
      <c r="B8" t="s">
        <v>10</v>
      </c>
      <c r="C8">
        <v>1</v>
      </c>
      <c r="D8" t="s">
        <v>30</v>
      </c>
      <c r="F8" t="s">
        <v>31</v>
      </c>
      <c r="G8" t="s">
        <v>13</v>
      </c>
      <c r="H8">
        <v>4</v>
      </c>
      <c r="I8">
        <v>3</v>
      </c>
      <c r="J8">
        <v>3</v>
      </c>
      <c r="K8">
        <v>4</v>
      </c>
      <c r="L8">
        <v>4</v>
      </c>
      <c r="M8">
        <v>4</v>
      </c>
      <c r="N8">
        <v>2</v>
      </c>
      <c r="O8">
        <v>2</v>
      </c>
      <c r="P8">
        <v>3</v>
      </c>
      <c r="Q8">
        <v>3</v>
      </c>
      <c r="T8" t="s">
        <v>19</v>
      </c>
      <c r="U8" t="s">
        <v>33</v>
      </c>
      <c r="V8">
        <f t="shared" si="0"/>
        <v>10</v>
      </c>
      <c r="W8">
        <f t="shared" si="1"/>
        <v>7.5</v>
      </c>
      <c r="X8">
        <f t="shared" si="2"/>
        <v>7.5</v>
      </c>
      <c r="Y8">
        <f t="shared" si="3"/>
        <v>10</v>
      </c>
      <c r="Z8">
        <f t="shared" si="4"/>
        <v>10</v>
      </c>
      <c r="AA8">
        <f t="shared" si="5"/>
        <v>10</v>
      </c>
      <c r="AB8">
        <f t="shared" si="6"/>
        <v>5</v>
      </c>
      <c r="AC8">
        <f t="shared" si="7"/>
        <v>2.5</v>
      </c>
      <c r="AD8">
        <f t="shared" si="8"/>
        <v>3.75</v>
      </c>
      <c r="AE8">
        <f t="shared" si="9"/>
        <v>3.75</v>
      </c>
      <c r="AF8" t="str">
        <f t="shared" si="10"/>
        <v/>
      </c>
      <c r="AO8" t="s">
        <v>17</v>
      </c>
      <c r="AP8" t="s">
        <v>11</v>
      </c>
      <c r="AQ8" s="25">
        <v>4</v>
      </c>
      <c r="AR8" s="25">
        <v>3</v>
      </c>
      <c r="AS8" s="25">
        <v>4</v>
      </c>
      <c r="AT8" s="25">
        <v>4</v>
      </c>
      <c r="AU8" s="25">
        <v>2</v>
      </c>
      <c r="AV8" s="25">
        <v>2</v>
      </c>
      <c r="AW8" s="25">
        <v>2</v>
      </c>
      <c r="AX8" s="25">
        <v>2</v>
      </c>
      <c r="AY8" s="25">
        <v>3</v>
      </c>
      <c r="AZ8" s="25">
        <v>3</v>
      </c>
      <c r="BA8" s="25">
        <v>3</v>
      </c>
      <c r="BB8" s="25">
        <v>10</v>
      </c>
      <c r="BC8" s="25">
        <v>7.5</v>
      </c>
      <c r="BD8" s="25">
        <v>10</v>
      </c>
      <c r="BE8" s="25">
        <v>10</v>
      </c>
      <c r="BF8" s="25">
        <v>5</v>
      </c>
      <c r="BG8" s="25">
        <v>5</v>
      </c>
      <c r="BH8" s="25">
        <v>5</v>
      </c>
      <c r="BI8" s="25">
        <v>2.5</v>
      </c>
      <c r="BJ8" s="25">
        <v>3.75</v>
      </c>
      <c r="BK8" s="25">
        <v>3.75</v>
      </c>
      <c r="BL8" s="25">
        <v>11.25</v>
      </c>
      <c r="BM8" s="2"/>
      <c r="BN8" s="2"/>
      <c r="BO8" s="2"/>
      <c r="BP8" s="2"/>
      <c r="BU8" s="4">
        <v>2025</v>
      </c>
      <c r="BV8" s="4" t="s">
        <v>48</v>
      </c>
      <c r="BW8" s="4" t="s">
        <v>48</v>
      </c>
      <c r="BX8" s="4" t="s">
        <v>48</v>
      </c>
      <c r="BY8" s="4" t="s">
        <v>64</v>
      </c>
      <c r="BZ8" s="4">
        <v>10</v>
      </c>
      <c r="CA8" s="4" t="s">
        <v>50</v>
      </c>
      <c r="CB8" s="4" t="s">
        <v>65</v>
      </c>
      <c r="CC8" s="4" t="s">
        <v>66</v>
      </c>
    </row>
    <row r="9" spans="1:81" x14ac:dyDescent="0.3">
      <c r="A9">
        <v>165</v>
      </c>
      <c r="B9" t="s">
        <v>10</v>
      </c>
      <c r="C9">
        <v>1</v>
      </c>
      <c r="D9" t="s">
        <v>30</v>
      </c>
      <c r="F9" t="s">
        <v>31</v>
      </c>
      <c r="G9" t="s">
        <v>13</v>
      </c>
      <c r="H9">
        <v>2</v>
      </c>
      <c r="I9">
        <v>2</v>
      </c>
      <c r="J9">
        <v>3</v>
      </c>
      <c r="K9">
        <v>3</v>
      </c>
      <c r="L9">
        <v>3</v>
      </c>
      <c r="M9">
        <v>4</v>
      </c>
      <c r="N9">
        <v>4</v>
      </c>
      <c r="O9">
        <v>4</v>
      </c>
      <c r="P9">
        <v>3</v>
      </c>
      <c r="Q9">
        <v>4</v>
      </c>
      <c r="T9" t="s">
        <v>19</v>
      </c>
      <c r="U9" t="s">
        <v>34</v>
      </c>
      <c r="V9">
        <f t="shared" si="0"/>
        <v>5</v>
      </c>
      <c r="W9">
        <f t="shared" si="1"/>
        <v>5</v>
      </c>
      <c r="X9">
        <f t="shared" si="2"/>
        <v>7.5</v>
      </c>
      <c r="Y9">
        <f t="shared" si="3"/>
        <v>7.5</v>
      </c>
      <c r="Z9">
        <f t="shared" si="4"/>
        <v>7.5</v>
      </c>
      <c r="AA9">
        <f t="shared" si="5"/>
        <v>10</v>
      </c>
      <c r="AB9">
        <f t="shared" si="6"/>
        <v>10</v>
      </c>
      <c r="AC9">
        <f t="shared" si="7"/>
        <v>5</v>
      </c>
      <c r="AD9">
        <f t="shared" si="8"/>
        <v>3.75</v>
      </c>
      <c r="AE9">
        <f t="shared" si="9"/>
        <v>5</v>
      </c>
      <c r="AF9" t="str">
        <f t="shared" si="10"/>
        <v/>
      </c>
      <c r="AO9" t="s">
        <v>21</v>
      </c>
      <c r="AP9" t="s">
        <v>11</v>
      </c>
      <c r="AQ9" s="25">
        <v>1</v>
      </c>
      <c r="AR9" s="25">
        <v>2</v>
      </c>
      <c r="AS9" s="25">
        <v>2</v>
      </c>
      <c r="AT9" s="25">
        <v>3</v>
      </c>
      <c r="AU9" s="25">
        <v>3</v>
      </c>
      <c r="AV9" s="25">
        <v>4</v>
      </c>
      <c r="AW9" s="25">
        <v>4</v>
      </c>
      <c r="AX9" s="25">
        <v>3</v>
      </c>
      <c r="AY9" s="25">
        <v>2</v>
      </c>
      <c r="AZ9" s="25">
        <v>3</v>
      </c>
      <c r="BA9" s="25">
        <v>4</v>
      </c>
      <c r="BB9" s="25">
        <v>2.5</v>
      </c>
      <c r="BC9" s="25">
        <v>5</v>
      </c>
      <c r="BD9" s="25">
        <v>5</v>
      </c>
      <c r="BE9" s="25">
        <v>7.5</v>
      </c>
      <c r="BF9" s="25">
        <v>7.5</v>
      </c>
      <c r="BG9" s="25">
        <v>10</v>
      </c>
      <c r="BH9" s="25">
        <v>10</v>
      </c>
      <c r="BI9" s="25">
        <v>3.75</v>
      </c>
      <c r="BJ9" s="25">
        <v>2.5</v>
      </c>
      <c r="BK9" s="25">
        <v>3.75</v>
      </c>
      <c r="BL9" s="25">
        <v>15</v>
      </c>
      <c r="BM9" s="2"/>
      <c r="BN9" s="2"/>
      <c r="BO9" s="2"/>
      <c r="BP9" s="2"/>
      <c r="BU9" s="4">
        <v>2025</v>
      </c>
      <c r="BV9" s="4" t="s">
        <v>48</v>
      </c>
      <c r="BW9" s="4" t="s">
        <v>48</v>
      </c>
      <c r="BX9" s="4" t="s">
        <v>48</v>
      </c>
      <c r="BY9" s="4" t="s">
        <v>67</v>
      </c>
      <c r="BZ9" s="4">
        <v>5</v>
      </c>
      <c r="CA9" s="4" t="s">
        <v>50</v>
      </c>
      <c r="CB9" s="4" t="s">
        <v>68</v>
      </c>
      <c r="CC9" s="4" t="s">
        <v>69</v>
      </c>
    </row>
    <row r="10" spans="1:81" x14ac:dyDescent="0.3">
      <c r="A10">
        <v>166</v>
      </c>
      <c r="B10" t="s">
        <v>10</v>
      </c>
      <c r="C10">
        <v>1</v>
      </c>
      <c r="D10" t="s">
        <v>27</v>
      </c>
      <c r="F10" t="s">
        <v>28</v>
      </c>
      <c r="G10" t="s">
        <v>18</v>
      </c>
      <c r="R10">
        <v>2</v>
      </c>
      <c r="T10" t="s">
        <v>19</v>
      </c>
      <c r="U10" t="s">
        <v>35</v>
      </c>
      <c r="V10" t="str">
        <f t="shared" si="0"/>
        <v/>
      </c>
      <c r="W10" t="str">
        <f t="shared" si="1"/>
        <v/>
      </c>
      <c r="X10" t="str">
        <f t="shared" si="2"/>
        <v/>
      </c>
      <c r="Y10" t="str">
        <f t="shared" si="3"/>
        <v/>
      </c>
      <c r="Z10" t="str">
        <f t="shared" si="4"/>
        <v/>
      </c>
      <c r="AA10" t="str">
        <f t="shared" si="5"/>
        <v/>
      </c>
      <c r="AB10" t="str">
        <f t="shared" si="6"/>
        <v/>
      </c>
      <c r="AC10" t="str">
        <f t="shared" si="7"/>
        <v/>
      </c>
      <c r="AD10" t="str">
        <f t="shared" si="8"/>
        <v/>
      </c>
      <c r="AE10" t="str">
        <f t="shared" si="9"/>
        <v/>
      </c>
      <c r="AF10">
        <f t="shared" si="10"/>
        <v>7.5</v>
      </c>
      <c r="AO10" t="s">
        <v>130</v>
      </c>
      <c r="AP10" t="s">
        <v>24</v>
      </c>
      <c r="AQ10" s="25">
        <v>4</v>
      </c>
      <c r="AR10" s="25">
        <v>3</v>
      </c>
      <c r="AS10" s="25">
        <v>1.5</v>
      </c>
      <c r="AT10" s="25">
        <v>2</v>
      </c>
      <c r="AU10" s="25">
        <v>3.5</v>
      </c>
      <c r="AV10" s="25">
        <v>2.5</v>
      </c>
      <c r="AW10" s="25">
        <v>3.5</v>
      </c>
      <c r="AX10" s="25">
        <v>4</v>
      </c>
      <c r="AY10" s="25">
        <v>3.5</v>
      </c>
      <c r="AZ10" s="25">
        <v>2.5</v>
      </c>
      <c r="BA10" s="25">
        <v>4</v>
      </c>
      <c r="BB10" s="25">
        <v>10</v>
      </c>
      <c r="BC10" s="25">
        <v>7.5</v>
      </c>
      <c r="BD10" s="25">
        <v>3.75</v>
      </c>
      <c r="BE10" s="25">
        <v>5</v>
      </c>
      <c r="BF10" s="25">
        <v>8.75</v>
      </c>
      <c r="BG10" s="25">
        <v>6.25</v>
      </c>
      <c r="BH10" s="25">
        <v>8.75</v>
      </c>
      <c r="BI10" s="25">
        <v>5</v>
      </c>
      <c r="BJ10" s="25">
        <v>4.375</v>
      </c>
      <c r="BK10" s="25">
        <v>3.125</v>
      </c>
      <c r="BL10" s="25">
        <v>15</v>
      </c>
      <c r="BM10" s="2"/>
      <c r="BN10" s="2"/>
      <c r="BO10" s="2"/>
      <c r="BP10" s="2"/>
      <c r="BU10" s="4">
        <v>2025</v>
      </c>
      <c r="BV10" s="4" t="s">
        <v>48</v>
      </c>
      <c r="BW10" s="4" t="s">
        <v>48</v>
      </c>
      <c r="BX10" s="4" t="s">
        <v>48</v>
      </c>
      <c r="BY10" s="4" t="s">
        <v>67</v>
      </c>
      <c r="BZ10" s="4">
        <v>5</v>
      </c>
      <c r="CA10" s="4" t="s">
        <v>50</v>
      </c>
      <c r="CB10" s="4" t="s">
        <v>70</v>
      </c>
      <c r="CC10" s="4" t="s">
        <v>71</v>
      </c>
    </row>
    <row r="11" spans="1:81" x14ac:dyDescent="0.3">
      <c r="A11">
        <v>167</v>
      </c>
      <c r="B11" t="s">
        <v>10</v>
      </c>
      <c r="C11">
        <v>1</v>
      </c>
      <c r="D11" t="s">
        <v>11</v>
      </c>
      <c r="F11" t="s">
        <v>17</v>
      </c>
      <c r="G11" t="s">
        <v>13</v>
      </c>
      <c r="H11">
        <v>4</v>
      </c>
      <c r="I11">
        <v>3</v>
      </c>
      <c r="J11">
        <v>4</v>
      </c>
      <c r="K11">
        <v>4</v>
      </c>
      <c r="L11">
        <v>2</v>
      </c>
      <c r="M11">
        <v>2</v>
      </c>
      <c r="N11">
        <v>2</v>
      </c>
      <c r="O11">
        <v>2</v>
      </c>
      <c r="P11">
        <v>3</v>
      </c>
      <c r="Q11">
        <v>3</v>
      </c>
      <c r="S11" t="s">
        <v>22</v>
      </c>
      <c r="T11" t="s">
        <v>19</v>
      </c>
      <c r="U11" t="s">
        <v>36</v>
      </c>
      <c r="V11">
        <f t="shared" si="0"/>
        <v>10</v>
      </c>
      <c r="W11">
        <f t="shared" si="1"/>
        <v>7.5</v>
      </c>
      <c r="X11">
        <f t="shared" si="2"/>
        <v>10</v>
      </c>
      <c r="Y11">
        <f t="shared" si="3"/>
        <v>10</v>
      </c>
      <c r="Z11">
        <f t="shared" si="4"/>
        <v>5</v>
      </c>
      <c r="AA11">
        <f t="shared" si="5"/>
        <v>5</v>
      </c>
      <c r="AB11">
        <f t="shared" si="6"/>
        <v>5</v>
      </c>
      <c r="AC11">
        <f t="shared" si="7"/>
        <v>2.5</v>
      </c>
      <c r="AD11">
        <f t="shared" si="8"/>
        <v>3.75</v>
      </c>
      <c r="AE11">
        <f t="shared" si="9"/>
        <v>3.75</v>
      </c>
      <c r="AF11" t="str">
        <f t="shared" si="10"/>
        <v/>
      </c>
      <c r="AO11" t="s">
        <v>79</v>
      </c>
      <c r="AP11" t="s">
        <v>79</v>
      </c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U11" s="4">
        <v>2025</v>
      </c>
      <c r="BV11" s="4" t="s">
        <v>48</v>
      </c>
      <c r="BW11" s="4" t="s">
        <v>48</v>
      </c>
      <c r="BX11" s="4" t="s">
        <v>48</v>
      </c>
      <c r="BY11" s="4" t="s">
        <v>67</v>
      </c>
      <c r="BZ11" s="4">
        <v>5</v>
      </c>
      <c r="CA11" s="4" t="s">
        <v>50</v>
      </c>
      <c r="CB11" s="4" t="s">
        <v>72</v>
      </c>
      <c r="CC11" s="4" t="s">
        <v>73</v>
      </c>
    </row>
    <row r="12" spans="1:81" x14ac:dyDescent="0.3">
      <c r="A12">
        <v>168</v>
      </c>
      <c r="B12" t="s">
        <v>10</v>
      </c>
      <c r="C12">
        <v>1</v>
      </c>
      <c r="D12" t="s">
        <v>27</v>
      </c>
      <c r="F12" t="s">
        <v>28</v>
      </c>
      <c r="G12" t="s">
        <v>18</v>
      </c>
      <c r="R12">
        <v>3</v>
      </c>
      <c r="T12" t="s">
        <v>19</v>
      </c>
      <c r="U12" t="s">
        <v>36</v>
      </c>
      <c r="V12" t="str">
        <f t="shared" si="0"/>
        <v/>
      </c>
      <c r="W12" t="str">
        <f t="shared" si="1"/>
        <v/>
      </c>
      <c r="X12" t="str">
        <f t="shared" si="2"/>
        <v/>
      </c>
      <c r="Y12" t="str">
        <f t="shared" si="3"/>
        <v/>
      </c>
      <c r="Z12" t="str">
        <f t="shared" si="4"/>
        <v/>
      </c>
      <c r="AA12" t="str">
        <f t="shared" si="5"/>
        <v/>
      </c>
      <c r="AB12" t="str">
        <f t="shared" si="6"/>
        <v/>
      </c>
      <c r="AC12" t="str">
        <f t="shared" si="7"/>
        <v/>
      </c>
      <c r="AD12" t="str">
        <f t="shared" si="8"/>
        <v/>
      </c>
      <c r="AE12" t="str">
        <f t="shared" si="9"/>
        <v/>
      </c>
      <c r="AF12">
        <f t="shared" si="10"/>
        <v>11.25</v>
      </c>
      <c r="AO12" t="s">
        <v>38</v>
      </c>
      <c r="AQ12" s="25">
        <v>3.5</v>
      </c>
      <c r="AR12" s="25">
        <v>2.9</v>
      </c>
      <c r="AS12" s="25">
        <v>2.8</v>
      </c>
      <c r="AT12" s="25">
        <v>3.1</v>
      </c>
      <c r="AU12" s="25">
        <v>3</v>
      </c>
      <c r="AV12" s="25">
        <v>3</v>
      </c>
      <c r="AW12" s="25">
        <v>3.1</v>
      </c>
      <c r="AX12" s="25">
        <v>2.8</v>
      </c>
      <c r="AY12" s="25">
        <v>2.9</v>
      </c>
      <c r="AZ12" s="25">
        <v>2.7</v>
      </c>
      <c r="BA12" s="25">
        <v>3.1111111111111112</v>
      </c>
      <c r="BB12" s="25">
        <v>8.75</v>
      </c>
      <c r="BC12" s="25">
        <v>7.25</v>
      </c>
      <c r="BD12" s="25">
        <v>7</v>
      </c>
      <c r="BE12" s="25">
        <v>7.75</v>
      </c>
      <c r="BF12" s="25">
        <v>7.5</v>
      </c>
      <c r="BG12" s="25">
        <v>7.5</v>
      </c>
      <c r="BH12" s="25">
        <v>7.75</v>
      </c>
      <c r="BI12" s="25">
        <v>3.5</v>
      </c>
      <c r="BJ12" s="25">
        <v>3.625</v>
      </c>
      <c r="BK12" s="25">
        <v>3.375</v>
      </c>
      <c r="BL12" s="25">
        <v>11.666666666666666</v>
      </c>
      <c r="BU12" s="4">
        <v>2025</v>
      </c>
      <c r="BV12" s="4" t="s">
        <v>48</v>
      </c>
      <c r="BW12" s="4" t="s">
        <v>48</v>
      </c>
      <c r="BX12" s="4" t="s">
        <v>48</v>
      </c>
      <c r="BY12" s="4" t="s">
        <v>74</v>
      </c>
      <c r="BZ12" s="4">
        <v>15</v>
      </c>
      <c r="CA12" s="4" t="s">
        <v>50</v>
      </c>
      <c r="CB12" s="4" t="s">
        <v>75</v>
      </c>
      <c r="CC12" s="4" t="s">
        <v>76</v>
      </c>
    </row>
    <row r="13" spans="1:81" x14ac:dyDescent="0.3">
      <c r="A13">
        <v>169</v>
      </c>
      <c r="B13" t="s">
        <v>10</v>
      </c>
      <c r="C13">
        <v>1</v>
      </c>
      <c r="D13" t="s">
        <v>27</v>
      </c>
      <c r="F13" t="s">
        <v>28</v>
      </c>
      <c r="G13" t="s">
        <v>13</v>
      </c>
      <c r="H13">
        <v>4</v>
      </c>
      <c r="I13">
        <v>3</v>
      </c>
      <c r="J13">
        <v>4</v>
      </c>
      <c r="K13">
        <v>4</v>
      </c>
      <c r="L13">
        <v>4</v>
      </c>
      <c r="M13">
        <v>3</v>
      </c>
      <c r="N13">
        <v>4</v>
      </c>
      <c r="O13">
        <v>2</v>
      </c>
      <c r="P13">
        <v>3</v>
      </c>
      <c r="Q13">
        <v>3</v>
      </c>
      <c r="T13" t="s">
        <v>19</v>
      </c>
      <c r="U13" t="s">
        <v>128</v>
      </c>
      <c r="V13">
        <f t="shared" si="0"/>
        <v>10</v>
      </c>
      <c r="W13">
        <f t="shared" si="1"/>
        <v>7.5</v>
      </c>
      <c r="X13">
        <f t="shared" si="2"/>
        <v>10</v>
      </c>
      <c r="Y13">
        <f t="shared" si="3"/>
        <v>10</v>
      </c>
      <c r="Z13">
        <f t="shared" si="4"/>
        <v>10</v>
      </c>
      <c r="AA13">
        <f t="shared" si="5"/>
        <v>7.5</v>
      </c>
      <c r="AB13">
        <f t="shared" si="6"/>
        <v>10</v>
      </c>
      <c r="AC13">
        <f t="shared" si="7"/>
        <v>2.5</v>
      </c>
      <c r="AD13">
        <f t="shared" si="8"/>
        <v>3.75</v>
      </c>
      <c r="AE13">
        <f t="shared" si="9"/>
        <v>3.75</v>
      </c>
      <c r="AF13" t="str">
        <f t="shared" si="10"/>
        <v/>
      </c>
    </row>
    <row r="14" spans="1:81" x14ac:dyDescent="0.3">
      <c r="A14">
        <v>170</v>
      </c>
      <c r="B14" t="s">
        <v>10</v>
      </c>
      <c r="C14">
        <v>1</v>
      </c>
      <c r="D14" t="s">
        <v>30</v>
      </c>
      <c r="F14" t="s">
        <v>31</v>
      </c>
      <c r="G14" t="s">
        <v>18</v>
      </c>
      <c r="R14">
        <v>3</v>
      </c>
      <c r="T14" t="s">
        <v>19</v>
      </c>
      <c r="U14" t="s">
        <v>128</v>
      </c>
      <c r="V14" t="str">
        <f t="shared" si="0"/>
        <v/>
      </c>
      <c r="W14" t="str">
        <f t="shared" si="1"/>
        <v/>
      </c>
      <c r="X14" t="str">
        <f t="shared" si="2"/>
        <v/>
      </c>
      <c r="Y14" t="str">
        <f t="shared" si="3"/>
        <v/>
      </c>
      <c r="Z14" t="str">
        <f t="shared" si="4"/>
        <v/>
      </c>
      <c r="AA14" t="str">
        <f t="shared" si="5"/>
        <v/>
      </c>
      <c r="AB14" t="str">
        <f t="shared" si="6"/>
        <v/>
      </c>
      <c r="AC14" t="str">
        <f t="shared" si="7"/>
        <v/>
      </c>
      <c r="AD14" t="str">
        <f t="shared" si="8"/>
        <v/>
      </c>
      <c r="AE14" t="str">
        <f t="shared" si="9"/>
        <v/>
      </c>
      <c r="AF14">
        <f t="shared" si="10"/>
        <v>11.25</v>
      </c>
    </row>
    <row r="15" spans="1:81" x14ac:dyDescent="0.3">
      <c r="A15">
        <v>171</v>
      </c>
      <c r="B15" t="s">
        <v>10</v>
      </c>
      <c r="C15">
        <v>1</v>
      </c>
      <c r="D15" t="s">
        <v>11</v>
      </c>
      <c r="F15" t="s">
        <v>12</v>
      </c>
      <c r="G15" t="s">
        <v>18</v>
      </c>
      <c r="R15">
        <v>2</v>
      </c>
      <c r="T15" t="s">
        <v>19</v>
      </c>
      <c r="U15" t="s">
        <v>128</v>
      </c>
      <c r="V15" t="str">
        <f t="shared" si="0"/>
        <v/>
      </c>
      <c r="W15" t="str">
        <f t="shared" si="1"/>
        <v/>
      </c>
      <c r="X15" t="str">
        <f t="shared" si="2"/>
        <v/>
      </c>
      <c r="Y15" t="str">
        <f t="shared" si="3"/>
        <v/>
      </c>
      <c r="Z15" t="str">
        <f t="shared" si="4"/>
        <v/>
      </c>
      <c r="AA15" t="str">
        <f t="shared" si="5"/>
        <v/>
      </c>
      <c r="AB15" t="str">
        <f t="shared" si="6"/>
        <v/>
      </c>
      <c r="AC15" t="str">
        <f t="shared" si="7"/>
        <v/>
      </c>
      <c r="AD15" t="str">
        <f t="shared" si="8"/>
        <v/>
      </c>
      <c r="AE15" t="str">
        <f t="shared" si="9"/>
        <v/>
      </c>
      <c r="AF15">
        <f t="shared" si="10"/>
        <v>7.5</v>
      </c>
    </row>
    <row r="16" spans="1:81" x14ac:dyDescent="0.3">
      <c r="A16">
        <v>172</v>
      </c>
      <c r="B16" t="s">
        <v>10</v>
      </c>
      <c r="C16">
        <v>1</v>
      </c>
      <c r="D16" t="s">
        <v>24</v>
      </c>
      <c r="F16" t="s">
        <v>25</v>
      </c>
      <c r="G16" t="s">
        <v>18</v>
      </c>
      <c r="R16">
        <v>3</v>
      </c>
      <c r="T16" t="s">
        <v>19</v>
      </c>
      <c r="U16" t="s">
        <v>129</v>
      </c>
      <c r="V16" t="str">
        <f t="shared" si="0"/>
        <v/>
      </c>
      <c r="W16" t="str">
        <f t="shared" si="1"/>
        <v/>
      </c>
      <c r="X16" t="str">
        <f t="shared" si="2"/>
        <v/>
      </c>
      <c r="Y16" t="str">
        <f t="shared" si="3"/>
        <v/>
      </c>
      <c r="Z16" t="str">
        <f t="shared" si="4"/>
        <v/>
      </c>
      <c r="AA16" t="str">
        <f t="shared" si="5"/>
        <v/>
      </c>
      <c r="AB16" t="str">
        <f t="shared" si="6"/>
        <v/>
      </c>
      <c r="AC16" t="str">
        <f t="shared" si="7"/>
        <v/>
      </c>
      <c r="AD16" t="str">
        <f t="shared" si="8"/>
        <v/>
      </c>
      <c r="AE16" t="str">
        <f t="shared" si="9"/>
        <v/>
      </c>
      <c r="AF16">
        <f t="shared" si="10"/>
        <v>11.25</v>
      </c>
      <c r="AJ16" t="s">
        <v>81</v>
      </c>
      <c r="AK16" t="s">
        <v>80</v>
      </c>
      <c r="AL16" t="s">
        <v>51</v>
      </c>
      <c r="AM16" t="s">
        <v>82</v>
      </c>
      <c r="AN16" t="s">
        <v>93</v>
      </c>
    </row>
    <row r="17" spans="1:40" x14ac:dyDescent="0.3">
      <c r="A17">
        <v>173</v>
      </c>
      <c r="B17" t="s">
        <v>10</v>
      </c>
      <c r="C17">
        <v>1</v>
      </c>
      <c r="D17" t="s">
        <v>11</v>
      </c>
      <c r="F17" t="s">
        <v>21</v>
      </c>
      <c r="G17" t="s">
        <v>18</v>
      </c>
      <c r="R17">
        <v>4</v>
      </c>
      <c r="T17" t="s">
        <v>19</v>
      </c>
      <c r="U17" t="s">
        <v>129</v>
      </c>
      <c r="V17" t="str">
        <f t="shared" si="0"/>
        <v/>
      </c>
      <c r="W17" t="str">
        <f t="shared" si="1"/>
        <v/>
      </c>
      <c r="X17" t="str">
        <f t="shared" si="2"/>
        <v/>
      </c>
      <c r="Y17" t="str">
        <f t="shared" si="3"/>
        <v/>
      </c>
      <c r="Z17" t="str">
        <f t="shared" si="4"/>
        <v/>
      </c>
      <c r="AA17" t="str">
        <f t="shared" si="5"/>
        <v/>
      </c>
      <c r="AB17" t="str">
        <f t="shared" si="6"/>
        <v/>
      </c>
      <c r="AC17" t="str">
        <f t="shared" si="7"/>
        <v/>
      </c>
      <c r="AD17" t="str">
        <f t="shared" si="8"/>
        <v/>
      </c>
      <c r="AE17" t="str">
        <f t="shared" si="9"/>
        <v/>
      </c>
      <c r="AF17">
        <f t="shared" si="10"/>
        <v>15</v>
      </c>
      <c r="AJ17" t="s">
        <v>81</v>
      </c>
      <c r="AK17" t="s">
        <v>80</v>
      </c>
      <c r="AL17" t="s">
        <v>53</v>
      </c>
      <c r="AM17" t="s">
        <v>83</v>
      </c>
      <c r="AN17" t="s">
        <v>94</v>
      </c>
    </row>
    <row r="18" spans="1:40" x14ac:dyDescent="0.3">
      <c r="A18">
        <v>174</v>
      </c>
      <c r="B18" t="s">
        <v>10</v>
      </c>
      <c r="C18">
        <v>1</v>
      </c>
      <c r="D18" t="s">
        <v>24</v>
      </c>
      <c r="F18" t="s">
        <v>130</v>
      </c>
      <c r="G18" t="s">
        <v>13</v>
      </c>
      <c r="H18">
        <v>4</v>
      </c>
      <c r="I18">
        <v>3</v>
      </c>
      <c r="J18">
        <v>2</v>
      </c>
      <c r="K18">
        <v>1</v>
      </c>
      <c r="L18">
        <v>3</v>
      </c>
      <c r="M18">
        <v>4</v>
      </c>
      <c r="N18">
        <v>4</v>
      </c>
      <c r="O18">
        <v>4</v>
      </c>
      <c r="P18">
        <v>4</v>
      </c>
      <c r="Q18">
        <v>3</v>
      </c>
      <c r="T18" t="s">
        <v>19</v>
      </c>
      <c r="U18" t="s">
        <v>131</v>
      </c>
      <c r="V18">
        <f t="shared" si="0"/>
        <v>10</v>
      </c>
      <c r="W18">
        <f t="shared" si="1"/>
        <v>7.5</v>
      </c>
      <c r="X18">
        <f t="shared" si="2"/>
        <v>5</v>
      </c>
      <c r="Y18">
        <f t="shared" si="3"/>
        <v>2.5</v>
      </c>
      <c r="Z18">
        <f t="shared" si="4"/>
        <v>7.5</v>
      </c>
      <c r="AA18">
        <f t="shared" si="5"/>
        <v>10</v>
      </c>
      <c r="AB18">
        <f t="shared" si="6"/>
        <v>10</v>
      </c>
      <c r="AC18">
        <f t="shared" si="7"/>
        <v>5</v>
      </c>
      <c r="AD18">
        <f t="shared" si="8"/>
        <v>5</v>
      </c>
      <c r="AE18">
        <f t="shared" si="9"/>
        <v>3.75</v>
      </c>
      <c r="AF18" t="str">
        <f t="shared" si="10"/>
        <v/>
      </c>
      <c r="AJ18" t="s">
        <v>81</v>
      </c>
      <c r="AK18" t="s">
        <v>80</v>
      </c>
      <c r="AL18" t="s">
        <v>55</v>
      </c>
      <c r="AM18" t="s">
        <v>84</v>
      </c>
      <c r="AN18" t="s">
        <v>95</v>
      </c>
    </row>
    <row r="19" spans="1:40" x14ac:dyDescent="0.3">
      <c r="A19">
        <v>175</v>
      </c>
      <c r="B19" t="s">
        <v>10</v>
      </c>
      <c r="C19">
        <v>1</v>
      </c>
      <c r="D19" t="s">
        <v>24</v>
      </c>
      <c r="F19" t="s">
        <v>130</v>
      </c>
      <c r="G19" t="s">
        <v>18</v>
      </c>
      <c r="R19">
        <v>4</v>
      </c>
      <c r="T19" t="s">
        <v>19</v>
      </c>
      <c r="U19" t="s">
        <v>131</v>
      </c>
      <c r="V19" t="str">
        <f t="shared" si="0"/>
        <v/>
      </c>
      <c r="W19" t="str">
        <f t="shared" si="1"/>
        <v/>
      </c>
      <c r="X19" t="str">
        <f t="shared" si="2"/>
        <v/>
      </c>
      <c r="Y19" t="str">
        <f t="shared" si="3"/>
        <v/>
      </c>
      <c r="Z19" t="str">
        <f t="shared" si="4"/>
        <v/>
      </c>
      <c r="AA19" t="str">
        <f t="shared" si="5"/>
        <v/>
      </c>
      <c r="AB19" t="str">
        <f t="shared" si="6"/>
        <v/>
      </c>
      <c r="AC19" t="str">
        <f t="shared" si="7"/>
        <v/>
      </c>
      <c r="AD19" t="str">
        <f t="shared" si="8"/>
        <v/>
      </c>
      <c r="AE19" t="str">
        <f t="shared" si="9"/>
        <v/>
      </c>
      <c r="AF19">
        <f t="shared" si="10"/>
        <v>15</v>
      </c>
      <c r="AJ19" t="s">
        <v>81</v>
      </c>
      <c r="AK19" t="s">
        <v>80</v>
      </c>
      <c r="AL19" t="s">
        <v>58</v>
      </c>
      <c r="AM19" t="s">
        <v>85</v>
      </c>
      <c r="AN19" t="s">
        <v>96</v>
      </c>
    </row>
    <row r="20" spans="1:40" x14ac:dyDescent="0.3">
      <c r="A20">
        <v>176</v>
      </c>
      <c r="B20" t="s">
        <v>10</v>
      </c>
      <c r="C20">
        <v>1</v>
      </c>
      <c r="D20" t="s">
        <v>24</v>
      </c>
      <c r="F20" t="s">
        <v>130</v>
      </c>
      <c r="G20" t="s">
        <v>13</v>
      </c>
      <c r="H20">
        <v>4</v>
      </c>
      <c r="I20">
        <v>3</v>
      </c>
      <c r="J20">
        <v>1</v>
      </c>
      <c r="K20">
        <v>3</v>
      </c>
      <c r="L20">
        <v>4</v>
      </c>
      <c r="M20">
        <v>1</v>
      </c>
      <c r="N20">
        <v>3</v>
      </c>
      <c r="O20">
        <v>4</v>
      </c>
      <c r="P20">
        <v>3</v>
      </c>
      <c r="Q20">
        <v>2</v>
      </c>
      <c r="T20" t="s">
        <v>19</v>
      </c>
      <c r="U20" t="s">
        <v>132</v>
      </c>
      <c r="V20">
        <f t="shared" si="0"/>
        <v>10</v>
      </c>
      <c r="W20">
        <f t="shared" si="1"/>
        <v>7.5</v>
      </c>
      <c r="X20">
        <f t="shared" si="2"/>
        <v>2.5</v>
      </c>
      <c r="Y20">
        <f t="shared" si="3"/>
        <v>7.5</v>
      </c>
      <c r="Z20">
        <f t="shared" si="4"/>
        <v>10</v>
      </c>
      <c r="AA20">
        <f t="shared" si="5"/>
        <v>2.5</v>
      </c>
      <c r="AB20">
        <f t="shared" si="6"/>
        <v>7.5</v>
      </c>
      <c r="AC20">
        <f t="shared" si="7"/>
        <v>5</v>
      </c>
      <c r="AD20">
        <f t="shared" si="8"/>
        <v>3.75</v>
      </c>
      <c r="AE20">
        <f t="shared" si="9"/>
        <v>2.5</v>
      </c>
      <c r="AF20" t="str">
        <f t="shared" si="10"/>
        <v/>
      </c>
      <c r="AJ20" t="s">
        <v>81</v>
      </c>
      <c r="AK20" t="s">
        <v>80</v>
      </c>
      <c r="AL20" t="s">
        <v>60</v>
      </c>
      <c r="AM20" t="s">
        <v>86</v>
      </c>
      <c r="AN20" t="s">
        <v>97</v>
      </c>
    </row>
    <row r="21" spans="1:40" x14ac:dyDescent="0.3">
      <c r="AJ21" t="s">
        <v>81</v>
      </c>
      <c r="AK21" t="s">
        <v>80</v>
      </c>
      <c r="AL21" t="s">
        <v>62</v>
      </c>
      <c r="AM21" t="s">
        <v>87</v>
      </c>
      <c r="AN21" t="s">
        <v>98</v>
      </c>
    </row>
    <row r="22" spans="1:40" x14ac:dyDescent="0.3">
      <c r="AJ22" t="s">
        <v>81</v>
      </c>
      <c r="AK22" t="s">
        <v>80</v>
      </c>
      <c r="AL22" t="s">
        <v>65</v>
      </c>
      <c r="AM22" t="s">
        <v>88</v>
      </c>
      <c r="AN22" t="s">
        <v>99</v>
      </c>
    </row>
    <row r="23" spans="1:40" x14ac:dyDescent="0.3">
      <c r="AJ23" t="s">
        <v>81</v>
      </c>
      <c r="AK23" t="s">
        <v>80</v>
      </c>
      <c r="AL23" t="s">
        <v>68</v>
      </c>
      <c r="AM23" t="s">
        <v>89</v>
      </c>
      <c r="AN23" t="s">
        <v>100</v>
      </c>
    </row>
    <row r="24" spans="1:40" x14ac:dyDescent="0.3">
      <c r="AJ24" t="s">
        <v>81</v>
      </c>
      <c r="AK24" t="s">
        <v>80</v>
      </c>
      <c r="AL24" t="s">
        <v>70</v>
      </c>
      <c r="AM24" t="s">
        <v>90</v>
      </c>
      <c r="AN24" t="s">
        <v>101</v>
      </c>
    </row>
    <row r="25" spans="1:40" x14ac:dyDescent="0.3">
      <c r="AJ25" t="s">
        <v>81</v>
      </c>
      <c r="AK25" t="s">
        <v>80</v>
      </c>
      <c r="AL25" t="s">
        <v>72</v>
      </c>
      <c r="AM25" t="s">
        <v>91</v>
      </c>
      <c r="AN25" t="s">
        <v>102</v>
      </c>
    </row>
    <row r="26" spans="1:40" x14ac:dyDescent="0.3">
      <c r="AJ26" t="s">
        <v>81</v>
      </c>
      <c r="AK26" t="s">
        <v>80</v>
      </c>
      <c r="AL26" t="s">
        <v>75</v>
      </c>
      <c r="AM26" t="s">
        <v>92</v>
      </c>
      <c r="AN26" t="s">
        <v>103</v>
      </c>
    </row>
  </sheetData>
  <phoneticPr fontId="4" type="noConversion"/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1035" r:id="rId4" name="Control 11">
          <controlPr defaultSize="0" r:id="rId5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209550</xdr:colOff>
                <xdr:row>202</xdr:row>
                <xdr:rowOff>57150</xdr:rowOff>
              </to>
            </anchor>
          </controlPr>
        </control>
      </mc:Choice>
      <mc:Fallback>
        <control shapeId="1035" r:id="rId4" name="Control 11"/>
      </mc:Fallback>
    </mc:AlternateContent>
    <mc:AlternateContent xmlns:mc="http://schemas.openxmlformats.org/markup-compatibility/2006">
      <mc:Choice Requires="x14">
        <control shapeId="1034" r:id="rId6" name="Control 10">
          <controlPr defaultSize="0" r:id="rId5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209550</xdr:colOff>
                <xdr:row>181</xdr:row>
                <xdr:rowOff>57150</xdr:rowOff>
              </to>
            </anchor>
          </controlPr>
        </control>
      </mc:Choice>
      <mc:Fallback>
        <control shapeId="1034" r:id="rId6" name="Control 10"/>
      </mc:Fallback>
    </mc:AlternateContent>
    <mc:AlternateContent xmlns:mc="http://schemas.openxmlformats.org/markup-compatibility/2006">
      <mc:Choice Requires="x14">
        <control shapeId="1033" r:id="rId7" name="Control 9">
          <controlPr defaultSize="0" r:id="rId5">
            <anchor moveWithCells="1">
              <from>
                <xdr:col>0</xdr:col>
                <xdr:colOff>0</xdr:colOff>
                <xdr:row>169</xdr:row>
                <xdr:rowOff>0</xdr:rowOff>
              </from>
              <to>
                <xdr:col>0</xdr:col>
                <xdr:colOff>209550</xdr:colOff>
                <xdr:row>170</xdr:row>
                <xdr:rowOff>57150</xdr:rowOff>
              </to>
            </anchor>
          </controlPr>
        </control>
      </mc:Choice>
      <mc:Fallback>
        <control shapeId="1033" r:id="rId7" name="Control 9"/>
      </mc:Fallback>
    </mc:AlternateContent>
    <mc:AlternateContent xmlns:mc="http://schemas.openxmlformats.org/markup-compatibility/2006">
      <mc:Choice Requires="x14">
        <control shapeId="1032" r:id="rId8" name="Control 8">
          <controlPr defaultSize="0" r:id="rId5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209550</xdr:colOff>
                <xdr:row>150</xdr:row>
                <xdr:rowOff>57150</xdr:rowOff>
              </to>
            </anchor>
          </controlPr>
        </control>
      </mc:Choice>
      <mc:Fallback>
        <control shapeId="1032" r:id="rId8" name="Control 8"/>
      </mc:Fallback>
    </mc:AlternateContent>
    <mc:AlternateContent xmlns:mc="http://schemas.openxmlformats.org/markup-compatibility/2006">
      <mc:Choice Requires="x14">
        <control shapeId="1031" r:id="rId9" name="Control 7">
          <controlPr defaultSize="0" r:id="rId5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209550</xdr:colOff>
                <xdr:row>130</xdr:row>
                <xdr:rowOff>57150</xdr:rowOff>
              </to>
            </anchor>
          </controlPr>
        </control>
      </mc:Choice>
      <mc:Fallback>
        <control shapeId="1031" r:id="rId9" name="Control 7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209550</xdr:colOff>
                <xdr:row>109</xdr:row>
                <xdr:rowOff>57150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29" r:id="rId11" name="Control 5">
          <controlPr defaultSize="0" r:id="rId5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209550</xdr:colOff>
                <xdr:row>97</xdr:row>
                <xdr:rowOff>57150</xdr:rowOff>
              </to>
            </anchor>
          </controlPr>
        </control>
      </mc:Choice>
      <mc:Fallback>
        <control shapeId="1029" r:id="rId11" name="Control 5"/>
      </mc:Fallback>
    </mc:AlternateContent>
    <mc:AlternateContent xmlns:mc="http://schemas.openxmlformats.org/markup-compatibility/2006">
      <mc:Choice Requires="x14">
        <control shapeId="1028" r:id="rId12" name="Control 4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209550</xdr:colOff>
                <xdr:row>76</xdr:row>
                <xdr:rowOff>57150</xdr:rowOff>
              </to>
            </anchor>
          </controlPr>
        </control>
      </mc:Choice>
      <mc:Fallback>
        <control shapeId="1028" r:id="rId12" name="Control 4"/>
      </mc:Fallback>
    </mc:AlternateContent>
    <mc:AlternateContent xmlns:mc="http://schemas.openxmlformats.org/markup-compatibility/2006">
      <mc:Choice Requires="x14">
        <control shapeId="1027" r:id="rId13" name="Control 3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209550</xdr:colOff>
                <xdr:row>55</xdr:row>
                <xdr:rowOff>57150</xdr:rowOff>
              </to>
            </anchor>
          </controlPr>
        </control>
      </mc:Choice>
      <mc:Fallback>
        <control shapeId="1027" r:id="rId13" name="Control 3"/>
      </mc:Fallback>
    </mc:AlternateContent>
    <mc:AlternateContent xmlns:mc="http://schemas.openxmlformats.org/markup-compatibility/2006">
      <mc:Choice Requires="x14">
        <control shapeId="1026" r:id="rId14" name="Control 2">
          <controlPr defaultSize="0" r:id="rId5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209550</xdr:colOff>
                <xdr:row>44</xdr:row>
                <xdr:rowOff>57150</xdr:rowOff>
              </to>
            </anchor>
          </controlPr>
        </control>
      </mc:Choice>
      <mc:Fallback>
        <control shapeId="1026" r:id="rId14" name="Control 2"/>
      </mc:Fallback>
    </mc:AlternateContent>
    <mc:AlternateContent xmlns:mc="http://schemas.openxmlformats.org/markup-compatibility/2006">
      <mc:Choice Requires="x14">
        <control shapeId="1025" r:id="rId15" name="Control 1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209550</xdr:colOff>
                <xdr:row>23</xdr:row>
                <xdr:rowOff>57150</xdr:rowOff>
              </to>
            </anchor>
          </controlPr>
        </control>
      </mc:Choice>
      <mc:Fallback>
        <control shapeId="1025" r:id="rId15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60B4-56BE-4763-BC89-0B9869ABABFA}">
  <dimension ref="A1:Z12"/>
  <sheetViews>
    <sheetView topLeftCell="F1" zoomScale="85" zoomScaleNormal="85" workbookViewId="0">
      <selection activeCell="N17" sqref="N17"/>
    </sheetView>
  </sheetViews>
  <sheetFormatPr defaultRowHeight="14" x14ac:dyDescent="0.3"/>
  <cols>
    <col min="1" max="1" width="43.1640625" bestFit="1" customWidth="1"/>
    <col min="2" max="2" width="12.83203125" bestFit="1" customWidth="1"/>
  </cols>
  <sheetData>
    <row r="1" spans="1:26" x14ac:dyDescent="0.3">
      <c r="A1" t="s">
        <v>1</v>
      </c>
      <c r="B1" t="s">
        <v>10</v>
      </c>
    </row>
    <row r="3" spans="1:26" ht="14.5" thickBot="1" x14ac:dyDescent="0.35">
      <c r="C3" s="5" t="s">
        <v>77</v>
      </c>
      <c r="D3" s="5" t="s">
        <v>77</v>
      </c>
      <c r="E3" s="5" t="s">
        <v>77</v>
      </c>
      <c r="F3" s="5" t="s">
        <v>77</v>
      </c>
      <c r="G3" s="5" t="s">
        <v>77</v>
      </c>
      <c r="H3" s="5" t="s">
        <v>77</v>
      </c>
      <c r="I3" s="5" t="s">
        <v>77</v>
      </c>
      <c r="J3" s="5" t="s">
        <v>77</v>
      </c>
      <c r="K3" s="5" t="s">
        <v>77</v>
      </c>
      <c r="L3" s="5" t="s">
        <v>77</v>
      </c>
      <c r="M3" s="5" t="s">
        <v>77</v>
      </c>
      <c r="N3" s="5" t="s">
        <v>78</v>
      </c>
      <c r="O3" s="5" t="s">
        <v>78</v>
      </c>
      <c r="P3" s="5" t="s">
        <v>78</v>
      </c>
      <c r="Q3" s="5" t="s">
        <v>78</v>
      </c>
      <c r="R3" s="5" t="s">
        <v>78</v>
      </c>
      <c r="S3" s="5" t="s">
        <v>78</v>
      </c>
      <c r="T3" s="5" t="s">
        <v>78</v>
      </c>
      <c r="U3" s="5" t="s">
        <v>78</v>
      </c>
      <c r="V3" s="5" t="s">
        <v>78</v>
      </c>
      <c r="W3" s="5" t="s">
        <v>78</v>
      </c>
      <c r="X3" s="5" t="s">
        <v>78</v>
      </c>
    </row>
    <row r="4" spans="1:26" ht="14.5" thickBot="1" x14ac:dyDescent="0.35">
      <c r="A4" s="14" t="s">
        <v>5</v>
      </c>
      <c r="B4" s="14" t="s">
        <v>3</v>
      </c>
      <c r="C4" s="6" t="s">
        <v>51</v>
      </c>
      <c r="D4" s="6" t="s">
        <v>53</v>
      </c>
      <c r="E4" s="6" t="s">
        <v>55</v>
      </c>
      <c r="F4" s="6" t="s">
        <v>58</v>
      </c>
      <c r="G4" s="6" t="s">
        <v>60</v>
      </c>
      <c r="H4" s="6" t="s">
        <v>62</v>
      </c>
      <c r="I4" s="6" t="s">
        <v>65</v>
      </c>
      <c r="J4" s="6" t="s">
        <v>68</v>
      </c>
      <c r="K4" s="6" t="s">
        <v>70</v>
      </c>
      <c r="L4" s="6" t="s">
        <v>72</v>
      </c>
      <c r="M4" s="6" t="s">
        <v>75</v>
      </c>
      <c r="N4" s="17" t="s">
        <v>51</v>
      </c>
      <c r="O4" s="6" t="s">
        <v>53</v>
      </c>
      <c r="P4" s="6" t="s">
        <v>55</v>
      </c>
      <c r="Q4" s="6" t="s">
        <v>58</v>
      </c>
      <c r="R4" s="6" t="s">
        <v>60</v>
      </c>
      <c r="S4" s="6" t="s">
        <v>62</v>
      </c>
      <c r="T4" s="6" t="s">
        <v>65</v>
      </c>
      <c r="U4" s="6" t="s">
        <v>68</v>
      </c>
      <c r="V4" s="6" t="s">
        <v>70</v>
      </c>
      <c r="W4" s="6" t="s">
        <v>72</v>
      </c>
      <c r="X4" s="7" t="s">
        <v>75</v>
      </c>
      <c r="Y4" s="15" t="s">
        <v>126</v>
      </c>
      <c r="Z4" s="16" t="s">
        <v>127</v>
      </c>
    </row>
    <row r="5" spans="1:26" x14ac:dyDescent="0.3">
      <c r="A5" s="8" t="s">
        <v>31</v>
      </c>
      <c r="B5" s="8" t="s">
        <v>30</v>
      </c>
      <c r="C5" s="18">
        <v>3.3333333333333335</v>
      </c>
      <c r="D5" s="19">
        <v>3</v>
      </c>
      <c r="E5" s="19">
        <v>3</v>
      </c>
      <c r="F5" s="19">
        <v>3.6666666666666665</v>
      </c>
      <c r="G5" s="19">
        <v>3.6666666666666665</v>
      </c>
      <c r="H5" s="19">
        <v>3.3333333333333335</v>
      </c>
      <c r="I5" s="19">
        <v>2.6666666666666665</v>
      </c>
      <c r="J5" s="19">
        <v>3</v>
      </c>
      <c r="K5" s="19">
        <v>3</v>
      </c>
      <c r="L5" s="19">
        <v>2.6666666666666665</v>
      </c>
      <c r="M5" s="19">
        <v>3</v>
      </c>
      <c r="N5" s="19">
        <v>8.3333333333333339</v>
      </c>
      <c r="O5" s="19">
        <v>7.5</v>
      </c>
      <c r="P5" s="19">
        <v>7.5</v>
      </c>
      <c r="Q5" s="19">
        <v>9.1666666666666661</v>
      </c>
      <c r="R5" s="19">
        <v>9.1666666666666661</v>
      </c>
      <c r="S5" s="19">
        <v>8.3333333333333339</v>
      </c>
      <c r="T5" s="19">
        <v>6.666666666666667</v>
      </c>
      <c r="U5" s="19">
        <v>3.75</v>
      </c>
      <c r="V5" s="19">
        <v>3.75</v>
      </c>
      <c r="W5" s="19">
        <v>3.3333333333333335</v>
      </c>
      <c r="X5" s="20">
        <v>11.25</v>
      </c>
      <c r="Y5" s="21">
        <f>SUM(C5:M5)</f>
        <v>34.333333333333336</v>
      </c>
      <c r="Z5" s="21">
        <f>SUM(N5:X5)</f>
        <v>78.749999999999986</v>
      </c>
    </row>
    <row r="6" spans="1:26" x14ac:dyDescent="0.3">
      <c r="A6" s="9" t="s">
        <v>12</v>
      </c>
      <c r="B6" s="9" t="s">
        <v>11</v>
      </c>
      <c r="C6" s="22">
        <v>4</v>
      </c>
      <c r="D6" s="23">
        <v>3</v>
      </c>
      <c r="E6" s="23">
        <v>2</v>
      </c>
      <c r="F6" s="23">
        <v>1</v>
      </c>
      <c r="G6" s="23">
        <v>2</v>
      </c>
      <c r="H6" s="23">
        <v>3</v>
      </c>
      <c r="I6" s="23">
        <v>4</v>
      </c>
      <c r="J6" s="23">
        <v>3</v>
      </c>
      <c r="K6" s="23">
        <v>2</v>
      </c>
      <c r="L6" s="23">
        <v>1</v>
      </c>
      <c r="M6" s="23">
        <v>2</v>
      </c>
      <c r="N6" s="23">
        <v>10</v>
      </c>
      <c r="O6" s="23">
        <v>7.5</v>
      </c>
      <c r="P6" s="23">
        <v>5</v>
      </c>
      <c r="Q6" s="23">
        <v>2.5</v>
      </c>
      <c r="R6" s="23">
        <v>5</v>
      </c>
      <c r="S6" s="23">
        <v>7.5</v>
      </c>
      <c r="T6" s="23">
        <v>10</v>
      </c>
      <c r="U6" s="23">
        <v>3.75</v>
      </c>
      <c r="V6" s="23">
        <v>2.5</v>
      </c>
      <c r="W6" s="23">
        <v>1.25</v>
      </c>
      <c r="X6" s="24">
        <v>7.5</v>
      </c>
      <c r="Y6" s="21">
        <f>SUM(C6:M6)</f>
        <v>27</v>
      </c>
      <c r="Z6" s="21">
        <f>SUM(N6:X6)</f>
        <v>62.5</v>
      </c>
    </row>
    <row r="7" spans="1:26" x14ac:dyDescent="0.3">
      <c r="A7" s="9" t="s">
        <v>25</v>
      </c>
      <c r="B7" s="9" t="s">
        <v>24</v>
      </c>
      <c r="C7" s="22">
        <v>4</v>
      </c>
      <c r="D7" s="23">
        <v>3</v>
      </c>
      <c r="E7" s="23">
        <v>4</v>
      </c>
      <c r="F7" s="23">
        <v>4</v>
      </c>
      <c r="G7" s="23">
        <v>1</v>
      </c>
      <c r="H7" s="23">
        <v>3</v>
      </c>
      <c r="I7" s="23">
        <v>2</v>
      </c>
      <c r="J7" s="23">
        <v>1</v>
      </c>
      <c r="K7" s="23">
        <v>3</v>
      </c>
      <c r="L7" s="23">
        <v>4</v>
      </c>
      <c r="M7" s="23">
        <v>3</v>
      </c>
      <c r="N7" s="23">
        <v>10</v>
      </c>
      <c r="O7" s="23">
        <v>7.5</v>
      </c>
      <c r="P7" s="23">
        <v>10</v>
      </c>
      <c r="Q7" s="23">
        <v>10</v>
      </c>
      <c r="R7" s="23">
        <v>2.5</v>
      </c>
      <c r="S7" s="23">
        <v>7.5</v>
      </c>
      <c r="T7" s="23">
        <v>5</v>
      </c>
      <c r="U7" s="23">
        <v>1.25</v>
      </c>
      <c r="V7" s="23">
        <v>3.75</v>
      </c>
      <c r="W7" s="23">
        <v>5</v>
      </c>
      <c r="X7" s="24">
        <v>11.25</v>
      </c>
      <c r="Y7" s="21">
        <f>SUM(C7:M7)</f>
        <v>32</v>
      </c>
      <c r="Z7" s="21">
        <f>SUM(N7:X7)</f>
        <v>73.75</v>
      </c>
    </row>
    <row r="8" spans="1:26" x14ac:dyDescent="0.3">
      <c r="A8" s="9" t="s">
        <v>28</v>
      </c>
      <c r="B8" s="9" t="s">
        <v>27</v>
      </c>
      <c r="C8" s="22">
        <v>4</v>
      </c>
      <c r="D8" s="23">
        <v>3</v>
      </c>
      <c r="E8" s="23">
        <v>4</v>
      </c>
      <c r="F8" s="23">
        <v>4</v>
      </c>
      <c r="G8" s="23">
        <v>4</v>
      </c>
      <c r="H8" s="23">
        <v>3</v>
      </c>
      <c r="I8" s="23">
        <v>4</v>
      </c>
      <c r="J8" s="23">
        <v>2</v>
      </c>
      <c r="K8" s="23">
        <v>3</v>
      </c>
      <c r="L8" s="23">
        <v>3</v>
      </c>
      <c r="M8" s="23">
        <v>3</v>
      </c>
      <c r="N8" s="23">
        <v>10</v>
      </c>
      <c r="O8" s="23">
        <v>7.5</v>
      </c>
      <c r="P8" s="23">
        <v>10</v>
      </c>
      <c r="Q8" s="23">
        <v>10</v>
      </c>
      <c r="R8" s="23">
        <v>10</v>
      </c>
      <c r="S8" s="23">
        <v>7.5</v>
      </c>
      <c r="T8" s="23">
        <v>10</v>
      </c>
      <c r="U8" s="23">
        <v>2.5</v>
      </c>
      <c r="V8" s="23">
        <v>3.75</v>
      </c>
      <c r="W8" s="23">
        <v>3.75</v>
      </c>
      <c r="X8" s="24">
        <v>11.25</v>
      </c>
      <c r="Y8" s="21">
        <f>SUM(C8:M8)</f>
        <v>37</v>
      </c>
      <c r="Z8" s="21">
        <f>SUM(N8:X8)</f>
        <v>86.25</v>
      </c>
    </row>
    <row r="9" spans="1:26" x14ac:dyDescent="0.3">
      <c r="A9" s="9" t="s">
        <v>17</v>
      </c>
      <c r="B9" s="9" t="s">
        <v>11</v>
      </c>
      <c r="C9" s="22">
        <v>4</v>
      </c>
      <c r="D9" s="23">
        <v>3</v>
      </c>
      <c r="E9" s="23">
        <v>4</v>
      </c>
      <c r="F9" s="23">
        <v>4</v>
      </c>
      <c r="G9" s="23">
        <v>2</v>
      </c>
      <c r="H9" s="23">
        <v>2</v>
      </c>
      <c r="I9" s="23">
        <v>2</v>
      </c>
      <c r="J9" s="23">
        <v>2</v>
      </c>
      <c r="K9" s="23">
        <v>3</v>
      </c>
      <c r="L9" s="23">
        <v>3</v>
      </c>
      <c r="M9" s="23">
        <v>3</v>
      </c>
      <c r="N9" s="23">
        <v>10</v>
      </c>
      <c r="O9" s="23">
        <v>7.5</v>
      </c>
      <c r="P9" s="23">
        <v>10</v>
      </c>
      <c r="Q9" s="23">
        <v>10</v>
      </c>
      <c r="R9" s="23">
        <v>5</v>
      </c>
      <c r="S9" s="23">
        <v>5</v>
      </c>
      <c r="T9" s="23">
        <v>5</v>
      </c>
      <c r="U9" s="23">
        <v>2.5</v>
      </c>
      <c r="V9" s="23">
        <v>3.75</v>
      </c>
      <c r="W9" s="23">
        <v>3.75</v>
      </c>
      <c r="X9" s="24">
        <v>11.25</v>
      </c>
      <c r="Y9" s="21">
        <f>SUM(C9:M9)</f>
        <v>32</v>
      </c>
      <c r="Z9" s="21">
        <f>SUM(N9:X9)</f>
        <v>73.75</v>
      </c>
    </row>
    <row r="10" spans="1:26" x14ac:dyDescent="0.3">
      <c r="A10" s="9" t="s">
        <v>21</v>
      </c>
      <c r="B10" s="9" t="s">
        <v>11</v>
      </c>
      <c r="C10" s="22">
        <v>1</v>
      </c>
      <c r="D10" s="23">
        <v>2</v>
      </c>
      <c r="E10" s="23">
        <v>2</v>
      </c>
      <c r="F10" s="23">
        <v>3</v>
      </c>
      <c r="G10" s="23">
        <v>3</v>
      </c>
      <c r="H10" s="23">
        <v>4</v>
      </c>
      <c r="I10" s="23">
        <v>4</v>
      </c>
      <c r="J10" s="23">
        <v>3</v>
      </c>
      <c r="K10" s="23">
        <v>2</v>
      </c>
      <c r="L10" s="23">
        <v>3</v>
      </c>
      <c r="M10" s="23">
        <v>4</v>
      </c>
      <c r="N10" s="23">
        <v>2.5</v>
      </c>
      <c r="O10" s="23">
        <v>5</v>
      </c>
      <c r="P10" s="23">
        <v>5</v>
      </c>
      <c r="Q10" s="23">
        <v>7.5</v>
      </c>
      <c r="R10" s="23">
        <v>7.5</v>
      </c>
      <c r="S10" s="23">
        <v>10</v>
      </c>
      <c r="T10" s="23">
        <v>10</v>
      </c>
      <c r="U10" s="23">
        <v>3.75</v>
      </c>
      <c r="V10" s="23">
        <v>2.5</v>
      </c>
      <c r="W10" s="23">
        <v>3.75</v>
      </c>
      <c r="X10" s="24">
        <v>15</v>
      </c>
      <c r="Y10" s="21">
        <f>SUM(C10:M10)</f>
        <v>31</v>
      </c>
      <c r="Z10" s="21">
        <f>SUM(N10:X10)</f>
        <v>72.5</v>
      </c>
    </row>
    <row r="11" spans="1:26" x14ac:dyDescent="0.3">
      <c r="A11" s="9" t="s">
        <v>130</v>
      </c>
      <c r="B11" s="9" t="s">
        <v>24</v>
      </c>
      <c r="C11" s="22">
        <v>4</v>
      </c>
      <c r="D11" s="23">
        <v>3</v>
      </c>
      <c r="E11" s="23">
        <v>1.5</v>
      </c>
      <c r="F11" s="23">
        <v>2</v>
      </c>
      <c r="G11" s="23">
        <v>3.5</v>
      </c>
      <c r="H11" s="23">
        <v>2.5</v>
      </c>
      <c r="I11" s="23">
        <v>3.5</v>
      </c>
      <c r="J11" s="23">
        <v>4</v>
      </c>
      <c r="K11" s="23">
        <v>3.5</v>
      </c>
      <c r="L11" s="23">
        <v>2.5</v>
      </c>
      <c r="M11" s="23">
        <v>4</v>
      </c>
      <c r="N11" s="23">
        <v>10</v>
      </c>
      <c r="O11" s="23">
        <v>7.5</v>
      </c>
      <c r="P11" s="23">
        <v>3.75</v>
      </c>
      <c r="Q11" s="23">
        <v>5</v>
      </c>
      <c r="R11" s="23">
        <v>8.75</v>
      </c>
      <c r="S11" s="23">
        <v>6.25</v>
      </c>
      <c r="T11" s="23">
        <v>8.75</v>
      </c>
      <c r="U11" s="23">
        <v>5</v>
      </c>
      <c r="V11" s="23">
        <v>4.375</v>
      </c>
      <c r="W11" s="23">
        <v>3.125</v>
      </c>
      <c r="X11" s="24">
        <v>15</v>
      </c>
      <c r="Y11" s="21">
        <f>SUM(C11:M11)</f>
        <v>34</v>
      </c>
      <c r="Z11" s="21">
        <f>SUM(N11:X11)</f>
        <v>77.5</v>
      </c>
    </row>
    <row r="12" spans="1:26" ht="14.5" thickBot="1" x14ac:dyDescent="0.35">
      <c r="A12" s="10" t="s">
        <v>38</v>
      </c>
      <c r="B12" s="10"/>
      <c r="C12" s="11">
        <v>3.5</v>
      </c>
      <c r="D12" s="12">
        <v>2.9</v>
      </c>
      <c r="E12" s="12">
        <v>2.8</v>
      </c>
      <c r="F12" s="12">
        <v>3.1</v>
      </c>
      <c r="G12" s="12">
        <v>3</v>
      </c>
      <c r="H12" s="12">
        <v>3</v>
      </c>
      <c r="I12" s="12">
        <v>3.1</v>
      </c>
      <c r="J12" s="12">
        <v>2.8</v>
      </c>
      <c r="K12" s="12">
        <v>2.9</v>
      </c>
      <c r="L12" s="12">
        <v>2.7</v>
      </c>
      <c r="M12" s="12">
        <v>3.1111111111111112</v>
      </c>
      <c r="N12" s="12">
        <v>8.75</v>
      </c>
      <c r="O12" s="12">
        <v>7.25</v>
      </c>
      <c r="P12" s="12">
        <v>7</v>
      </c>
      <c r="Q12" s="12">
        <v>7.75</v>
      </c>
      <c r="R12" s="12">
        <v>7.5</v>
      </c>
      <c r="S12" s="12">
        <v>7.5</v>
      </c>
      <c r="T12" s="12">
        <v>7.75</v>
      </c>
      <c r="U12" s="12">
        <v>3.5</v>
      </c>
      <c r="V12" s="12">
        <v>3.625</v>
      </c>
      <c r="W12" s="12">
        <v>3.375</v>
      </c>
      <c r="X12" s="13">
        <v>11.666666666666666</v>
      </c>
      <c r="Y12" s="21">
        <f>SUM(C12:M12)</f>
        <v>32.911111111111111</v>
      </c>
      <c r="Z12" s="21">
        <f>SUM(N12:X12)</f>
        <v>75.666666666666671</v>
      </c>
    </row>
  </sheetData>
  <phoneticPr fontId="4" type="noConversion"/>
  <pageMargins left="0.7" right="0.7" top="0.75" bottom="0.75" header="0.3" footer="0.3"/>
  <ignoredErrors>
    <ignoredError sqref="Y5:Y12 Z5:Z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RAW-AGILE</vt:lpstr>
      <vt:lpstr>POC-AGILE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</dc:creator>
  <cp:lastModifiedBy>Sutripat Ngamjittrong</cp:lastModifiedBy>
  <dcterms:created xsi:type="dcterms:W3CDTF">2025-05-20T03:39:08Z</dcterms:created>
  <dcterms:modified xsi:type="dcterms:W3CDTF">2025-05-20T07:51:22Z</dcterms:modified>
</cp:coreProperties>
</file>