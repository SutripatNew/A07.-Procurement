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28" documentId="8_{2671E8FD-1603-4810-A7D2-37038654FE78}" xr6:coauthVersionLast="47" xr6:coauthVersionMax="47" xr10:uidLastSave="{146AE331-8D7C-4096-9A19-BAA54C2D8398}"/>
  <bookViews>
    <workbookView xWindow="-110" yWindow="-110" windowWidth="19420" windowHeight="10300" firstSheet="4" activeTab="4" xr2:uid="{E4EECD95-B72D-41CC-82A8-E1ACFDEF6684}"/>
  </bookViews>
  <sheets>
    <sheet name="1. VW_STG_MS_FORM_IT" sheetId="1" state="hidden" r:id="rId1"/>
    <sheet name="2. VW_FORM_01_UNION" sheetId="2" state="hidden" r:id="rId2"/>
    <sheet name="3. VW_FORM_02_UNION_VALUE_MAP" sheetId="3" state="hidden" r:id="rId3"/>
    <sheet name="4. VW_FORM_03_DISTINCT_QUESTION" sheetId="4" state="hidden" r:id="rId4"/>
    <sheet name="5. VW_FORM_04_WEIGHT" sheetId="5" r:id="rId5"/>
    <sheet name="6. VW_FORM_05_CALCULATE_WEIGHT" sheetId="6" r:id="rId6"/>
    <sheet name="7. VW_FORM_06_SCORE" sheetId="7" r:id="rId7"/>
    <sheet name="8. VW_FORM_07_SCORE_FIX" sheetId="8" r:id="rId8"/>
    <sheet name="9. VW_FACT_MS_FORM" sheetId="9" r:id="rId9"/>
    <sheet name="10. VW_FACT_MS_FORM_GROUPING" sheetId="10" r:id="rId10"/>
    <sheet name="11. VW_FACT_MS_FORM_REPORT" sheetId="11" r:id="rId11"/>
    <sheet name="Sheet7" sheetId="12" r:id="rId12"/>
  </sheets>
  <definedNames>
    <definedName name="_xlnm._FilterDatabase" localSheetId="10" hidden="1">'11. VW_FACT_MS_FORM_REPORT'!$A$1:$AD$19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1" i="12"/>
  <c r="CA24" i="9"/>
</calcChain>
</file>

<file path=xl/sharedStrings.xml><?xml version="1.0" encoding="utf-8"?>
<sst xmlns="http://schemas.openxmlformats.org/spreadsheetml/2006/main" count="2771" uniqueCount="366">
  <si>
    <t>Function_Name</t>
  </si>
  <si>
    <t>Function_SubType</t>
  </si>
  <si>
    <t>UniqueID</t>
  </si>
  <si>
    <t>FormYear</t>
  </si>
  <si>
    <t>RoundYear</t>
  </si>
  <si>
    <t>SharePoint_List</t>
  </si>
  <si>
    <t>Item_ID</t>
  </si>
  <si>
    <t>Title</t>
  </si>
  <si>
    <t>SubmissionTime</t>
  </si>
  <si>
    <t>ResponderEmail</t>
  </si>
  <si>
    <t>Level1</t>
  </si>
  <si>
    <t>Level2</t>
  </si>
  <si>
    <t>Level3</t>
  </si>
  <si>
    <t>Pur_Grp</t>
  </si>
  <si>
    <t>Plant</t>
  </si>
  <si>
    <t>Product</t>
  </si>
  <si>
    <t>Vendor_Name</t>
  </si>
  <si>
    <t>Comment1</t>
  </si>
  <si>
    <t>Comment2</t>
  </si>
  <si>
    <t>Comment3</t>
  </si>
  <si>
    <t>Comment4</t>
  </si>
  <si>
    <t>Above1MB</t>
  </si>
  <si>
    <t>Question_Order</t>
  </si>
  <si>
    <t>Question_Name</t>
  </si>
  <si>
    <t>Response</t>
  </si>
  <si>
    <t>Response_Value</t>
  </si>
  <si>
    <t>IT</t>
  </si>
  <si>
    <t>MS_FORM_IT_0123</t>
  </si>
  <si>
    <t>MS_FORM_IT</t>
  </si>
  <si>
    <t>siri.ro@thainamthip.co.th</t>
  </si>
  <si>
    <t>SERVICE &amp; OTHER</t>
  </si>
  <si>
    <t>NULL</t>
  </si>
  <si>
    <t>9000103576 บริษัท คาร์พิเดียม โซลูชั่นส์ จำกัด</t>
  </si>
  <si>
    <t>1. สินค้า/บริการ ถูกต้องตรงตามคุณสมบัติที่กำหนด (Specification)</t>
  </si>
  <si>
    <t>2. สินค้า/บริการ มีข้อบกพร่อง เช่นสินค้ามีตำหนิ, จำนวนไม่ครบถ้วน/ใช้งานโปรแกรมแล้วพบความผิดปกติ</t>
  </si>
  <si>
    <t>1.ส่งมอบสินค้า/บริการได้ตรงตามเวลาที่กำหนด</t>
  </si>
  <si>
    <t>1. สามารถให้คำปรึกษาและบริการได้ถูกต้อง และมีความรู้ความชำนาญทางด้าน IT</t>
  </si>
  <si>
    <t>2. บริการหลังการขาย สามารถติดต่อได้สะดวก หากพบปัญหาสามารถแก้ไขปัญหาได้รวดเร็ว ข้อเสนอแนะ เพื่อปรับปรุงการบริการของ Vendor</t>
  </si>
  <si>
    <t>ราคาเทียบกับคุณภาพของงาน Price &amp; Quality</t>
  </si>
  <si>
    <t>ราคาสินค้าหรือบริการ เมื่อเปรียบเทียบกับงบประมาณที่แจ้ง</t>
  </si>
  <si>
    <t>Order</t>
  </si>
  <si>
    <t>Scoring_Group</t>
  </si>
  <si>
    <t>Response_Source</t>
  </si>
  <si>
    <t>Response_Value_Source</t>
  </si>
  <si>
    <t>Max_Response_Value</t>
  </si>
  <si>
    <t>SHAREPOINT_LIST</t>
  </si>
  <si>
    <t>YEAR</t>
  </si>
  <si>
    <t>FORM_FULL_NAME</t>
  </si>
  <si>
    <t>FUNCTION_NAME</t>
  </si>
  <si>
    <t>FUNCTION_LEVEL1</t>
  </si>
  <si>
    <t>FUNCTION_LEVEL2</t>
  </si>
  <si>
    <t>FUNCTION_SUBTYPE</t>
  </si>
  <si>
    <t>QUESTION_ORDER</t>
  </si>
  <si>
    <t>QUESTION_NAME</t>
  </si>
  <si>
    <t>GROUP_QUESTION</t>
  </si>
  <si>
    <t>WEIGHT_100</t>
  </si>
  <si>
    <t>TOTAL_WEIGHT</t>
  </si>
  <si>
    <t>WEIGHT_SOURCE</t>
  </si>
  <si>
    <t>MAX_RESPONSE_VALUE</t>
  </si>
  <si>
    <t>UPDATE_DATE</t>
  </si>
  <si>
    <t xml:space="preserve">แบบประเมินคุณภาพการส่งมอบสินค้า/บริการ (For IT User) </t>
  </si>
  <si>
    <t>Quality</t>
  </si>
  <si>
    <t>Price</t>
  </si>
  <si>
    <t>Delivery</t>
  </si>
  <si>
    <t>Service</t>
  </si>
  <si>
    <t>Raw_Score</t>
  </si>
  <si>
    <t>Question_Year</t>
  </si>
  <si>
    <t>Group_Question</t>
  </si>
  <si>
    <t>Weight_Source</t>
  </si>
  <si>
    <t>WeightTotal_Source</t>
  </si>
  <si>
    <t>Weight_100</t>
  </si>
  <si>
    <t>WeightTotal_100</t>
  </si>
  <si>
    <t>Weight_100_NonNull</t>
  </si>
  <si>
    <t>WeightTotal_100_NonNull</t>
  </si>
  <si>
    <t>Score</t>
  </si>
  <si>
    <t>Weight</t>
  </si>
  <si>
    <t>WeightTotal</t>
  </si>
  <si>
    <t>Raw</t>
  </si>
  <si>
    <t>Score_UniqueID</t>
  </si>
  <si>
    <t>Weight_UniqueID</t>
  </si>
  <si>
    <t>WeightTotal_UniqueID</t>
  </si>
  <si>
    <t>Weight_UniqueIDQuestionGroup</t>
  </si>
  <si>
    <t>Weight_WithInGroup_Question</t>
  </si>
  <si>
    <t>Weight_WithInQuestionName</t>
  </si>
  <si>
    <t>Count_WithInQuestionName</t>
  </si>
  <si>
    <t>Weight_VendorPlantProduct</t>
  </si>
  <si>
    <t>Weight_Level</t>
  </si>
  <si>
    <t>Weight_Calc</t>
  </si>
  <si>
    <t>Score_Calc</t>
  </si>
  <si>
    <t>Score_Calc_Format</t>
  </si>
  <si>
    <t>Weight_RM</t>
  </si>
  <si>
    <t>Score_RM</t>
  </si>
  <si>
    <t>Score_RM_Format</t>
  </si>
  <si>
    <t>Weight_PCM</t>
  </si>
  <si>
    <t>Score_PCM</t>
  </si>
  <si>
    <t>Score_PCM_Format</t>
  </si>
  <si>
    <t>1.00 x 15.00 x  Weight (100.00/100.00)</t>
  </si>
  <si>
    <t>0.75 x 30.00 x  Weight (100.00/100.00)</t>
  </si>
  <si>
    <t>0.75 x 5.00 x  Weight (100.00/100.00)</t>
  </si>
  <si>
    <t>1.00 x 5.00 x  Weight (100.00/100.00)</t>
  </si>
  <si>
    <t>0.75 x 15.00 x  Weight (100.00/100.00)</t>
  </si>
  <si>
    <t>UniqueGroupID</t>
  </si>
  <si>
    <t>JoinKey</t>
  </si>
  <si>
    <t>Comment</t>
  </si>
  <si>
    <t>Question_Number</t>
  </si>
  <si>
    <t>GradeByUniqueID</t>
  </si>
  <si>
    <t>RawVendorScore</t>
  </si>
  <si>
    <t>RawVendorFormCount</t>
  </si>
  <si>
    <t>SumScoreByVendor</t>
  </si>
  <si>
    <t>GradeByVendor</t>
  </si>
  <si>
    <t>RawVendorLevelScore</t>
  </si>
  <si>
    <t>RawVendorLevelFormCount</t>
  </si>
  <si>
    <t>SumScoreByVendorLevel</t>
  </si>
  <si>
    <t>GradeByVendorLevel</t>
  </si>
  <si>
    <t>CURRENT_YEAR_INDEX</t>
  </si>
  <si>
    <t>IT__IT_9000103576 บริษัท คาร์พิเดียม โซลูชั่นส์ จำกัด_IT_SERVICE &amp; OTHER_2021</t>
  </si>
  <si>
    <t>IT__9000103576 บริษัท คาร์พิเดียม โซลูชั่นส์ จำกัด_IT__2021_1</t>
  </si>
  <si>
    <t>Q01</t>
  </si>
  <si>
    <t>A</t>
  </si>
  <si>
    <t>B</t>
  </si>
  <si>
    <t>Q02</t>
  </si>
  <si>
    <t>Q04</t>
  </si>
  <si>
    <t>Q03</t>
  </si>
  <si>
    <t>Q07</t>
  </si>
  <si>
    <t>Q06</t>
  </si>
  <si>
    <t>Q05</t>
  </si>
  <si>
    <t>Total_Question_In_Group</t>
  </si>
  <si>
    <t>Weight_Total_Line</t>
  </si>
  <si>
    <t>Weight_Proportion</t>
  </si>
  <si>
    <t>TEXT_CHECK</t>
  </si>
  <si>
    <t>(3/4 ได้  0.75 คะแนน ) * ( น้ำหนัก 30.00 ) = 22.5000</t>
  </si>
  <si>
    <t>(4/4 ได้  1.00 คะแนน ) * ( น้ำหนัก 15.00 ) = 15.0000</t>
  </si>
  <si>
    <t>(3/4 ได้  0.75 คะแนน ) * ( น้ำหนัก 15.00 ) = 11.2500</t>
  </si>
  <si>
    <t>(4/4 ได้  1.00 คะแนน ) * ( น้ำหนัก 5.00 ) = 5.0000</t>
  </si>
  <si>
    <t>(3/4 ได้  0.75 คะแนน ) * ( น้ำหนัก 5.00 ) = 3.7500</t>
  </si>
  <si>
    <t>QueryPart</t>
  </si>
  <si>
    <t>Question_Number_Sort</t>
  </si>
  <si>
    <t>Cell_Value</t>
  </si>
  <si>
    <t>10_QUESTION</t>
  </si>
  <si>
    <t>11_QUESTION_SUM</t>
  </si>
  <si>
    <t>Question Total</t>
  </si>
  <si>
    <t>TOTAL_QUESTION</t>
  </si>
  <si>
    <t>20_SCORE</t>
  </si>
  <si>
    <t>S03</t>
  </si>
  <si>
    <t>S06</t>
  </si>
  <si>
    <t>S07</t>
  </si>
  <si>
    <t>S01</t>
  </si>
  <si>
    <t>S02</t>
  </si>
  <si>
    <t>S04</t>
  </si>
  <si>
    <t>S05</t>
  </si>
  <si>
    <t>21_SCORE_WEIGHT_SUM</t>
  </si>
  <si>
    <t>Score Total</t>
  </si>
  <si>
    <t>TOTAL_SCORE</t>
  </si>
  <si>
    <t>30_SCORE_PCT</t>
  </si>
  <si>
    <t>Total Grade</t>
  </si>
  <si>
    <t>TOTAL_GRADE</t>
  </si>
  <si>
    <t>ZZ_Comment</t>
  </si>
  <si>
    <t>Z-Comment</t>
  </si>
  <si>
    <t>TOTAL_RAW_SCORE</t>
  </si>
  <si>
    <t xml:space="preserve">CASE </t>
  </si>
  <si>
    <t>WHEN Function_Name = 'RM&amp;PKG' AND FormYear = '2021'</t>
  </si>
  <si>
    <t xml:space="preserve">THEN </t>
  </si>
  <si>
    <t>CASE</t>
  </si>
  <si>
    <t>WHEN Question_Name = '3.2) เครดิตการชำระเงิน'</t>
  </si>
  <si>
    <t>WHEN Response = 4 THEN 10</t>
  </si>
  <si>
    <t>WHEN Response = 3 THEN 9</t>
  </si>
  <si>
    <t>WHEN Response = 2 THEN 8</t>
  </si>
  <si>
    <t>WHEN Response = 1 THEN 7</t>
  </si>
  <si>
    <t>WHEN Response = '-' THEN NULL</t>
  </si>
  <si>
    <t xml:space="preserve">ELSE Response END </t>
  </si>
  <si>
    <t xml:space="preserve">ELSE </t>
  </si>
  <si>
    <t>WHEN Response = 3 THEN 8</t>
  </si>
  <si>
    <t>WHEN Response = 2 THEN 6</t>
  </si>
  <si>
    <t>WHEN Response = 1 THEN 4</t>
  </si>
  <si>
    <t>END</t>
  </si>
  <si>
    <t>ELSE Response</t>
  </si>
  <si>
    <t>Response_Source,</t>
  </si>
  <si>
    <t>TRY_CAST(</t>
  </si>
  <si>
    <t>AS DECIMAL(9,4)) AS</t>
  </si>
  <si>
    <t xml:space="preserve">SELECT </t>
  </si>
  <si>
    <t xml:space="preserve">DISTINCT </t>
  </si>
  <si>
    <t>TOP 10000000</t>
  </si>
  <si>
    <t>FROM VW_FORM_01_UNION F</t>
  </si>
  <si>
    <t>LEFT JOIN (</t>
  </si>
  <si>
    <t>FROM VW_FORM_02_UNION_VALUE_MAP</t>
  </si>
  <si>
    <t>GROUP BY FormYear,SharePoint_List</t>
  </si>
  <si>
    <t>) V</t>
  </si>
  <si>
    <t>ON F.SharePoint_List = V.SharePoint_List AND F.FormYear = V.FormYear</t>
  </si>
  <si>
    <t>ORDER BY F.FormYear,F.SharePoint_List,Function_SubType,Question_Order</t>
  </si>
  <si>
    <r>
      <t xml:space="preserve">F.FormYear,F.SharePoint_List,Function_Name,Function_SubType,Question_Order,Question_Name, </t>
    </r>
    <r>
      <rPr>
        <sz val="11"/>
        <color rgb="FFFF0000"/>
        <rFont val="Tahoma"/>
        <family val="2"/>
        <scheme val="minor"/>
      </rPr>
      <t>V.Max_Response_Value</t>
    </r>
  </si>
  <si>
    <r>
      <t xml:space="preserve">SELECT FormYear,SharePoint_List, </t>
    </r>
    <r>
      <rPr>
        <sz val="11"/>
        <color rgb="FFFF0000"/>
        <rFont val="Tahoma"/>
        <family val="2"/>
        <scheme val="minor"/>
      </rPr>
      <t>MAX(Response_Value) AS Max_Response_Value</t>
    </r>
  </si>
  <si>
    <t>(Maximum of value each questions)</t>
  </si>
  <si>
    <t>WHEN COALESCE(F.FUNCTION_NAME, Q.FUNCTION_NAME) IN ('RM&amp;PKG')</t>
  </si>
  <si>
    <t>WHEN GROUP_QUESTION = 'Service'</t>
  </si>
  <si>
    <t xml:space="preserve">THEN CAST(CAST(Q.WEIGHT AS DECIMAL(9,4)) / 10 AS DECIMAL(9,4)) </t>
  </si>
  <si>
    <t>ELSE CAST(CAST(Q.WEIGHT AS DECIMAL(9,4)) / COUNT(Q.QUESTION) OVER (PARTITION BY Q.FUNCTION_NAME, Q.GROUP_QUESTION,Q.YEAR) AS DECIMAL(9,4))   END</t>
  </si>
  <si>
    <t xml:space="preserve">CAST( </t>
  </si>
  <si>
    <t>CAST(Q.WEIGHT AS DECIMAL(9,6))</t>
  </si>
  <si>
    <t>/</t>
  </si>
  <si>
    <t>CAST(SUM(CAST(Q.WEIGHT AS DECIMAL(9,6))) OVER (PARTITION BY F.SHAREPOINT_LIST,  Q.FORM_NAME, Q.YEAR, F.FUNCTION_NAME, F.FUNCTION_SUBTYPE) AS DECIMAL(9,4))</t>
  </si>
  <si>
    <t xml:space="preserve">* 100 </t>
  </si>
  <si>
    <t>AS DECIMAL(9,4))</t>
  </si>
  <si>
    <t>AS WEIGHT_100</t>
  </si>
  <si>
    <t>=-- RM Weighting</t>
  </si>
  <si>
    <t>=-- Non RM Weighting</t>
  </si>
  <si>
    <t>CAST(Q.WEIGHT AS DECIMAL(9,4)) AS WEIGHT_SOURCE</t>
  </si>
  <si>
    <t>F.MAX_RESPONSE_VALUE</t>
  </si>
  <si>
    <t>SELECT A.* ,</t>
  </si>
  <si>
    <t>WHEN FORM_NAME LIKE '%Uniform-DT%' AND [YEAR] = '2021' THEN 'UNIFORM-DT'</t>
  </si>
  <si>
    <t xml:space="preserve">WHEN FORM_NAME LIKE '%Uniform-DT%' AND [YEAR] = '2022' THEN 'UNIFORM' </t>
  </si>
  <si>
    <t>WHEN FORM_NAME LIKE '%Uniform-OF%' THEN 'UNIFORM-OF'</t>
  </si>
  <si>
    <t>WHEN FORM_NAME LIKE '%Uniform-WH%' THEN 'UNIFORM-WH'</t>
  </si>
  <si>
    <t>WHEN FORM_NAME LIKE '%Uniform-S%' THEN 'UNIFORM-S'</t>
  </si>
  <si>
    <t>WHEN FORM_NAME LIKE '%(Uniform) M/F%' THEN 'UNIFORM-M/F'</t>
  </si>
  <si>
    <t>WHEN FUNCTION_NAME = 'Procurement' AND LEVEL1 = 'Internal' THEN 'Internal'</t>
  </si>
  <si>
    <t>WHEN FUNCTION_NAME = 'Procurement' AND LEVEL1 = 'External' THEN 'External'</t>
  </si>
  <si>
    <t>ELSE '' END AS FUNCTION_SUBTYPE</t>
  </si>
  <si>
    <t>FROM</t>
  </si>
  <si>
    <t>STG_QUESTION A</t>
  </si>
  <si>
    <t>Table Q</t>
  </si>
  <si>
    <t>Table F</t>
  </si>
  <si>
    <r>
      <t xml:space="preserve">SELECT * FROM </t>
    </r>
    <r>
      <rPr>
        <sz val="11"/>
        <color rgb="FFFF0000"/>
        <rFont val="Tahoma"/>
        <family val="2"/>
        <scheme val="minor"/>
      </rPr>
      <t xml:space="preserve">VW_FORM_03_DISTINCT_QUESTION </t>
    </r>
  </si>
  <si>
    <r>
      <rPr>
        <sz val="11"/>
        <color rgb="FFFF0000"/>
        <rFont val="Tahoma"/>
        <family val="2"/>
        <scheme val="minor"/>
      </rPr>
      <t>SUM(CAST(Q.WEIGHT AS DECIMAL(9,4))) OVER (PARTITION BY F.SHAREPOINT_LIST, Q.FORM_NAME, Q.YEAR, F.FUNCTION_NAME, F.FUNCTION_SUBTYPE)</t>
    </r>
    <r>
      <rPr>
        <sz val="11"/>
        <color theme="1"/>
        <rFont val="Tahoma"/>
        <family val="2"/>
        <charset val="222"/>
        <scheme val="minor"/>
      </rPr>
      <t xml:space="preserve"> AS TOTAL_WEIGHT</t>
    </r>
  </si>
  <si>
    <t>ถ้าไม่ใช่ RM</t>
  </si>
  <si>
    <t xml:space="preserve">WEIGHT_100 = </t>
  </si>
  <si>
    <t>ถ้าเป็น RM (Service)</t>
  </si>
  <si>
    <t>WEIGHT_100 = Q.WEIGHT</t>
  </si>
  <si>
    <t>ถ้าเป็น RM (ไม่ใช่ Service)</t>
  </si>
  <si>
    <t>WEIGHT_100 = Q.WEIGHT/COUNT(Q.QUESTION) [ตาม Function ปี]</t>
  </si>
  <si>
    <t>Q.WEIGHT/TOTAL_WEIGHT * 100</t>
  </si>
  <si>
    <t>=N2/M2*100</t>
  </si>
  <si>
    <t>ต้นทาง</t>
  </si>
  <si>
    <t>SELECT * FROM VW_FORM_02_UNION_VALUE_MAP</t>
  </si>
  <si>
    <t>VW_FORM_04_WEIGHT Q</t>
  </si>
  <si>
    <t>CAST(F.Response_Value / Q.Max_Response_Value AS DECIMAL(9,4)) AS Raw_Score</t>
  </si>
  <si>
    <t>=AB2/AE2</t>
  </si>
  <si>
    <t xml:space="preserve">SUM(Q.Weight_Source) OVER (PARTITION BY F.UniqueID) </t>
  </si>
  <si>
    <t>AS WeightTotal_Source</t>
  </si>
  <si>
    <t xml:space="preserve">CAST(CASE </t>
  </si>
  <si>
    <t>WHEN F.Function_Name = 'RM&amp;PKG' THEN 100</t>
  </si>
  <si>
    <t xml:space="preserve">ELSE SUM(Q.Weight_100) OVER (PARTITION BY F.UniqueID) </t>
  </si>
  <si>
    <t>END AS DECIMAL(9,4))</t>
  </si>
  <si>
    <t>AS WeightTotal_100</t>
  </si>
  <si>
    <t>WHEN Response_Value IS NOT NULL</t>
  </si>
  <si>
    <t>AS Weight_100_NonNull</t>
  </si>
  <si>
    <t>ELSE NULL END</t>
  </si>
  <si>
    <t xml:space="preserve">WHEN Response_Value IS NOT NULL THEN Q.Weight_100 </t>
  </si>
  <si>
    <t>SUM(</t>
  </si>
  <si>
    <t xml:space="preserve">THEN Q.Weight_100 ELSE NULL END </t>
  </si>
  <si>
    <t>) OVER (PARTITION BY F.UniqueID)</t>
  </si>
  <si>
    <t>AS WeightTotal_100_NonNull</t>
  </si>
  <si>
    <t>(สัดส่วนคะแนนที่ได้</t>
  </si>
  <si>
    <t>เมื่อเทียบกับคะแนนเต็ม)</t>
  </si>
  <si>
    <t>ถ้าเป็น Function ='RM&amp;PKG'</t>
  </si>
  <si>
    <t>WeightTotal_100 = 100</t>
  </si>
  <si>
    <t>ถ้าไม่ใช่</t>
  </si>
  <si>
    <t xml:space="preserve">SUM(Q.Weight_100) OVER (PARTITION BY F.UniqueID) </t>
  </si>
  <si>
    <t>ถ้า Response มีค่า</t>
  </si>
  <si>
    <t xml:space="preserve">= Q.Weight_100 </t>
  </si>
  <si>
    <t>ถ้า Response NULL</t>
  </si>
  <si>
    <t>= NULL</t>
  </si>
  <si>
    <t>=</t>
  </si>
  <si>
    <t>=AK2</t>
  </si>
  <si>
    <t>= SUM(Q.Weight_100) [ตาม 1 FORM 1 การประเมิน]</t>
  </si>
  <si>
    <t>=SUM(AK2:AK8)</t>
  </si>
  <si>
    <t>Columns ต่อไปนี้มาจาก VW_FORM_05_CALCULATE_WEIGHT</t>
  </si>
  <si>
    <t>CAST( F.Raw_Score * F.Weight_100_NonNull AS DECIMAL(9,4)) AS Score</t>
  </si>
  <si>
    <t>=AF2*AM2</t>
  </si>
  <si>
    <t>= CAST(F.Response_Value / Q.Max_Response_Value AS DECIMAL(9,4)) AS Raw_Score *</t>
  </si>
  <si>
    <t xml:space="preserve">= F.Response_Value / Q.Max_Response_Value * Q.Weight_100 </t>
  </si>
  <si>
    <t>=AB2/AE2*AK2</t>
  </si>
  <si>
    <t>Weight ที่ได้เมื่อคิดจากคะแนนประเมิน</t>
  </si>
  <si>
    <t xml:space="preserve">CASE WHEN F.Weight_100_NonNull IS NOT NULL THEN </t>
  </si>
  <si>
    <t xml:space="preserve">SUM(F.Weight_100_NonNull) OVER (PARTITION BY UniqueID) </t>
  </si>
  <si>
    <t>ELSE NULL END AS WeightTotal</t>
  </si>
  <si>
    <t>F.Weight_100_NonNull AS Weight</t>
  </si>
  <si>
    <t>=AM2</t>
  </si>
  <si>
    <t>Columns ต่อไปนี้มาจาก FACT_MS_FORM_SCORE</t>
  </si>
  <si>
    <t>F.Raw_Score AS Raw</t>
  </si>
  <si>
    <t>=AF2</t>
  </si>
  <si>
    <t>Score AS Score_UniqueID</t>
  </si>
  <si>
    <t>=AO2</t>
  </si>
  <si>
    <t>Weight AS Weight_UniqueID</t>
  </si>
  <si>
    <t>=AP2</t>
  </si>
  <si>
    <t>WeightTotal AS WeightTotal_UniqueID</t>
  </si>
  <si>
    <t>=AQ2</t>
  </si>
  <si>
    <t xml:space="preserve">SELECT  </t>
  </si>
  <si>
    <t xml:space="preserve">    FROM</t>
  </si>
  <si>
    <t xml:space="preserve">    (</t>
  </si>
  <si>
    <t xml:space="preserve">        SELECT</t>
  </si>
  <si>
    <t xml:space="preserve">       UniqueID,Group_Question,Weight_Source</t>
  </si>
  <si>
    <t xml:space="preserve">        FROM FACT_MS_FORM_SCORE</t>
  </si>
  <si>
    <t xml:space="preserve">        GROUP BY</t>
  </si>
  <si>
    <t xml:space="preserve">    ) A</t>
  </si>
  <si>
    <t xml:space="preserve">    GROUP BY UniqueID</t>
  </si>
  <si>
    <r>
      <t xml:space="preserve">    UniqueID, </t>
    </r>
    <r>
      <rPr>
        <sz val="11"/>
        <color rgb="FFFF0000"/>
        <rFont val="Tahoma"/>
        <family val="2"/>
        <scheme val="minor"/>
      </rPr>
      <t>SUM(Weight_Source) AS Weight_UniqueIDQuestionGroup</t>
    </r>
  </si>
  <si>
    <r>
      <t xml:space="preserve">       UniqueID,Group_Question,</t>
    </r>
    <r>
      <rPr>
        <sz val="11"/>
        <color rgb="FFFF0000"/>
        <rFont val="Tahoma"/>
        <family val="2"/>
        <scheme val="minor"/>
      </rPr>
      <t>Weight_Source</t>
    </r>
  </si>
  <si>
    <t>QG</t>
  </si>
  <si>
    <t>SUM(F.Weight_UniqueID) OVER (PARTITION BY F.Function_Name,F.Function_SubType,F.Scoring_Group,F.FormYear,F.SharePoint_List,F.Plant,F.Product,F.Vendor_Name,F.Group_Question ) AS Weight_WithInGroup_Question</t>
  </si>
  <si>
    <t>SUM(F.Weight_UniqueID) OVER (PARTITION BY F.Function_Name,F.Function_SubType,F.Scoring_Group,F.FormYear,F.SharePoint_List,F.Plant,F.Product,F.Vendor_Name,F.Pur_Grp/*F.Level1*/,F.Question_Name ) AS Weight_WithInQuestionName</t>
  </si>
  <si>
    <t>COUNT(F.Weight_UniqueID) OVER (PARTITION BY F.Function_Name,F.Function_SubType,F.Scoring_Group,F.FormYear,F.SharePoint_List,F.Plant,F.Product,F.Vendor_Name,F.Pur_Grp/*F.Level1*/,F.Question_Name ) AS Count_WithInQuestionName</t>
  </si>
  <si>
    <t>F.Weight AS Weight_Calc</t>
  </si>
  <si>
    <t>CAST( F.Raw_Score * F.Weight * (100/F.WeightTotal) AS DECIMAL(9,4)) AS Score_Calc</t>
  </si>
  <si>
    <t>=AF2 * AP2 * (100/AL2)</t>
  </si>
  <si>
    <t>* F.Weight</t>
  </si>
  <si>
    <t>CAST( F.Weight * ( F.Weight_Source / F.Weight_WithInGroup_Question )  * ( 100.00 / F.Weight_VendorPlantProduct) AS DECIMAL(9,4)) AS Weight_RM</t>
  </si>
  <si>
    <t>CAST( F.Raw_Score *  F.Weight * ( F.Weight_Source / F.Weight_WithInGroup_Question )  * ( 100.00 / F.Weight_VendorPlantProduct) AS DECIMAL(9,4))  AS Score_RM</t>
  </si>
  <si>
    <t>CAST( F.Weight * ( F.Weight_Source / F.Weight_WithInQuestionName )  * ( 100.00 / F.Weight_Level) AS DECIMAL(9,4)) AS Weight_PCM</t>
  </si>
  <si>
    <t>CAST( F.Raw_Score *  F.Weight * ( F.Weight_Source / F.Weight_WithInQuestionName )  * ( 100.00 / F.Weight_Level) AS DECIMAL(9,4))  AS Score_PCM</t>
  </si>
  <si>
    <t>WHEN F.SumScoreByUniqueID &gt;= 85 THEN 'A'</t>
  </si>
  <si>
    <t>WHEN F.SumScoreByUniqueID &gt;= 68 THEN 'B'</t>
  </si>
  <si>
    <t>WHEN F.SumScoreByUniqueID &gt;= 51 THEN 'C'</t>
  </si>
  <si>
    <t>WHEN F.SumScoreByUniqueID &gt;= 0 THEN 'D'</t>
  </si>
  <si>
    <t xml:space="preserve">ELSE '-' </t>
  </si>
  <si>
    <t>END AS GradeByUniqueID</t>
  </si>
  <si>
    <t xml:space="preserve"> = SUM(Score_Report) OVER (PARTITION BY UniqueID) AS SumScoreByUniqueID</t>
  </si>
  <si>
    <t>= Score_Calc หรือ Score_RM หรือ Score_PCM</t>
  </si>
  <si>
    <t xml:space="preserve"> =SUM(AM2:AM8) ซึ่ง = A</t>
  </si>
  <si>
    <t>WHEN F.SumScoreByVendor &gt;= 85 THEN 'A'</t>
  </si>
  <si>
    <t>WHEN F.SumScoreByVendor &gt;= 68 THEN 'B'</t>
  </si>
  <si>
    <t>WHEN F.SumScoreByVendor &gt;= 51 THEN 'C'</t>
  </si>
  <si>
    <t>WHEN F.SumScoreByVendor &gt;= 0 THEN 'D'</t>
  </si>
  <si>
    <t>END AS GradeByVendor</t>
  </si>
  <si>
    <t>= C.RawVendorScore / C.RawVendorFormCount AS SumScoreByVendor</t>
  </si>
  <si>
    <t>SELECT FormYear,Function_Name, Function_SubType, Vendor_Name, SUM(Score_Report) AS RawVendorScore, COUNT(DISTINCT UniqueID) AS RawVendorFormCount</t>
  </si>
  <si>
    <t>FROM W_FACT</t>
  </si>
  <si>
    <t>GROUP BY FormYear,Function_Name, Function_SubType, Vendor_Name</t>
  </si>
  <si>
    <t>C =</t>
  </si>
  <si>
    <t xml:space="preserve">SELECT FormYear,Function_Name, Function_SubType, Vendor_Name, </t>
  </si>
  <si>
    <t xml:space="preserve">SUM(CASE </t>
  </si>
  <si>
    <t>WHEN Function_Name IN ('RM&amp;PKG')</t>
  </si>
  <si>
    <t>THEN F.Score_RM</t>
  </si>
  <si>
    <t>WHEN Function_Name IN ('Procurement')</t>
  </si>
  <si>
    <t>THEN F.Score_PCM</t>
  </si>
  <si>
    <t xml:space="preserve">ELSE F.Score_Calc END) AS RawVendorScore, </t>
  </si>
  <si>
    <t>COUNT(DISTINCT UniqueID) AS RawVendorFormCount</t>
  </si>
  <si>
    <t>FROM VW_FORM_07_SCORE_FIX F</t>
  </si>
  <si>
    <t>HAVING Function_Name = 'IT'</t>
  </si>
  <si>
    <t>AND FormYear = '2021'</t>
  </si>
  <si>
    <t>AND Vendor_Name = '9000103576 บริษัท คาร์พิเดียม โซลูชั่นส์ จำกัด'</t>
  </si>
  <si>
    <t xml:space="preserve">C = </t>
  </si>
  <si>
    <t>=CF28/CG28</t>
  </si>
  <si>
    <t xml:space="preserve">    CASE</t>
  </si>
  <si>
    <t xml:space="preserve">        WHEN F.SumScoreByVendorLevel &gt;= 85 THEN 'A'</t>
  </si>
  <si>
    <t xml:space="preserve">        WHEN F.SumScoreByVendorLevel &gt;= 68 THEN 'B'</t>
  </si>
  <si>
    <t xml:space="preserve">        WHEN F.SumScoreByVendorLevel &gt;= 51 THEN 'C'</t>
  </si>
  <si>
    <t xml:space="preserve">        WHEN F.SumScoreByVendorLevel &gt;= 0 THEN 'D'</t>
  </si>
  <si>
    <t xml:space="preserve">        ELSE '-' </t>
  </si>
  <si>
    <t xml:space="preserve">    --END </t>
  </si>
  <si>
    <t>END AS GradeByVendorLevel</t>
  </si>
  <si>
    <t>= COALESCE(L.RawVendorLevelFormCount,LP.RawVendorLevelFormCount) AS SumScoreByVendorLevel</t>
  </si>
  <si>
    <t>MS_FORM_RM_1701</t>
  </si>
  <si>
    <t>RM&amp;PKG</t>
  </si>
  <si>
    <t>MS_FORM_RM</t>
  </si>
  <si>
    <t>Chariya.Ph@thainamthip.co.th</t>
  </si>
  <si>
    <t>BARCODE</t>
  </si>
  <si>
    <t>QA</t>
  </si>
  <si>
    <t>ขอนแก่น</t>
  </si>
  <si>
    <t>9000100317 บริษัท เวเบอร์ มาร์คกิ้ง ซิสเต็มส์(ประเทศไทย) จำกัด</t>
  </si>
  <si>
    <t>2.1) ส่งสินค้าได้ไม่กระทบกับแผนการผลิต (ผลิตตามแผน และ lead time สั่งสินค้าปกติ)</t>
  </si>
  <si>
    <t>4.1.2)ดำเนินการติดตาม CAR และความสำเร็จในการแก้ไขปัญหา</t>
  </si>
  <si>
    <t>3.2) เครดิตการชำระเงิน</t>
  </si>
  <si>
    <t>4.1.1) ตอบและปิด CAR ภายในเวลาที่กำหนด</t>
  </si>
  <si>
    <t>1.1) สินค้าถูกต้องตรงตามข้อกำหนด (Specification) ที่ตกลงกัน</t>
  </si>
  <si>
    <t>= SUM(Q.WEIGHT) [ตาม Function ปี]</t>
  </si>
  <si>
    <t>WEIGHT_100 = Q.WEIGHT/10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</si>
</sst>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m/d/yy\ h:mm\ AM/PM;@"/>
  </numFmts>
  <fonts count="8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2" fontId="0" fillId="0" borderId="0" xfId="0" applyNumberFormat="1"/>
    <xf numFmtId="0" fontId="0" fillId="2" borderId="0" xfId="0" applyFill="1"/>
    <xf numFmtId="187" fontId="0" fillId="0" borderId="0" xfId="0" applyNumberForma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5" fillId="7" borderId="0" xfId="0" applyFont="1" applyFill="1"/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17" borderId="0" xfId="0" applyFont="1" applyFill="1"/>
    <xf numFmtId="0" fontId="2" fillId="18" borderId="0" xfId="0" applyFont="1" applyFill="1"/>
    <xf numFmtId="0" fontId="0" fillId="0" borderId="0" xfId="0" applyFill="1"/>
    <xf numFmtId="0" fontId="0" fillId="0" borderId="0" xfId="0" applyFont="1" applyFill="1"/>
    <xf numFmtId="0" fontId="0" fillId="19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55DC-3B41-46A6-B1C3-8C3BA94472FF}">
  <dimension ref="A1:AC9"/>
  <sheetViews>
    <sheetView topLeftCell="C1" zoomScale="85" zoomScaleNormal="85" workbookViewId="0">
      <pane xSplit="1" topLeftCell="D1" activePane="topRight" state="frozen"/>
      <selection activeCell="C1" sqref="C1"/>
      <selection pane="topRight" activeCell="I4" sqref="I4"/>
    </sheetView>
  </sheetViews>
  <sheetFormatPr defaultRowHeight="14" x14ac:dyDescent="0.3"/>
  <cols>
    <col min="1" max="1" width="13.58203125" bestFit="1" customWidth="1"/>
    <col min="2" max="2" width="16.25" bestFit="1" customWidth="1"/>
    <col min="3" max="3" width="5.58203125" bestFit="1" customWidth="1"/>
    <col min="4" max="4" width="17" bestFit="1" customWidth="1"/>
    <col min="5" max="5" width="8.58203125" bestFit="1" customWidth="1"/>
    <col min="6" max="6" width="17" bestFit="1" customWidth="1"/>
    <col min="7" max="7" width="13.5" bestFit="1" customWidth="1"/>
    <col min="8" max="8" width="7.58203125" bestFit="1" customWidth="1"/>
    <col min="9" max="9" width="13.5" bestFit="1" customWidth="1"/>
    <col min="10" max="10" width="13.83203125" bestFit="1" customWidth="1"/>
    <col min="11" max="11" width="21.33203125" bestFit="1" customWidth="1"/>
    <col min="12" max="12" width="13.83203125" bestFit="1" customWidth="1"/>
    <col min="13" max="13" width="16.08203125" bestFit="1" customWidth="1"/>
    <col min="14" max="14" width="6.08203125" bestFit="1" customWidth="1"/>
    <col min="15" max="15" width="7.5" bestFit="1" customWidth="1"/>
    <col min="16" max="16" width="5.08203125" bestFit="1" customWidth="1"/>
    <col min="17" max="17" width="7.33203125" bestFit="1" customWidth="1"/>
    <col min="18" max="18" width="37.1640625" bestFit="1" customWidth="1"/>
    <col min="19" max="22" width="9.83203125" bestFit="1" customWidth="1"/>
    <col min="23" max="23" width="9.5" bestFit="1" customWidth="1"/>
    <col min="24" max="24" width="14" bestFit="1" customWidth="1"/>
    <col min="25" max="25" width="9.25" bestFit="1" customWidth="1"/>
    <col min="26" max="26" width="8.58203125" bestFit="1" customWidth="1"/>
    <col min="27" max="27" width="14.25" bestFit="1" customWidth="1"/>
  </cols>
  <sheetData>
    <row r="1" spans="1:29" x14ac:dyDescent="0.3">
      <c r="A1" t="s">
        <v>0</v>
      </c>
      <c r="B1" t="s">
        <v>1</v>
      </c>
      <c r="C1" s="2" t="s">
        <v>40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3">
      <c r="A2" t="s">
        <v>26</v>
      </c>
      <c r="C2">
        <v>1</v>
      </c>
      <c r="D2" t="s">
        <v>26</v>
      </c>
      <c r="F2" t="s">
        <v>27</v>
      </c>
      <c r="G2">
        <v>2021</v>
      </c>
      <c r="H2">
        <v>1</v>
      </c>
      <c r="I2" t="s">
        <v>28</v>
      </c>
      <c r="J2" s="1">
        <v>123</v>
      </c>
      <c r="K2">
        <v>123</v>
      </c>
      <c r="L2" s="1">
        <v>44414.390844907408</v>
      </c>
      <c r="M2" t="s">
        <v>29</v>
      </c>
      <c r="N2" t="s">
        <v>26</v>
      </c>
      <c r="O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>
        <v>22</v>
      </c>
      <c r="AA2" t="s">
        <v>33</v>
      </c>
      <c r="AB2">
        <v>4</v>
      </c>
      <c r="AC2">
        <v>4</v>
      </c>
    </row>
    <row r="3" spans="1:29" x14ac:dyDescent="0.3">
      <c r="A3" t="s">
        <v>26</v>
      </c>
      <c r="C3">
        <v>2</v>
      </c>
      <c r="D3" t="s">
        <v>26</v>
      </c>
      <c r="F3" t="s">
        <v>27</v>
      </c>
      <c r="G3">
        <v>2021</v>
      </c>
      <c r="H3">
        <v>1</v>
      </c>
      <c r="I3" t="s">
        <v>28</v>
      </c>
      <c r="J3" s="1">
        <v>123</v>
      </c>
      <c r="K3">
        <v>123</v>
      </c>
      <c r="L3" s="1">
        <v>44414.390844907408</v>
      </c>
      <c r="M3" t="s">
        <v>29</v>
      </c>
      <c r="N3" t="s">
        <v>26</v>
      </c>
      <c r="O3" t="s">
        <v>30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>
        <v>23</v>
      </c>
      <c r="AA3" t="s">
        <v>34</v>
      </c>
      <c r="AB3">
        <v>3</v>
      </c>
      <c r="AC3">
        <v>3</v>
      </c>
    </row>
    <row r="4" spans="1:29" x14ac:dyDescent="0.3">
      <c r="A4" t="s">
        <v>26</v>
      </c>
      <c r="C4">
        <v>3</v>
      </c>
      <c r="D4" t="s">
        <v>26</v>
      </c>
      <c r="F4" t="s">
        <v>27</v>
      </c>
      <c r="G4">
        <v>2021</v>
      </c>
      <c r="H4">
        <v>1</v>
      </c>
      <c r="I4" t="s">
        <v>28</v>
      </c>
      <c r="J4" s="1">
        <v>123</v>
      </c>
      <c r="K4">
        <v>123</v>
      </c>
      <c r="L4" s="1">
        <v>44414.390844907408</v>
      </c>
      <c r="M4" t="s">
        <v>29</v>
      </c>
      <c r="N4" t="s">
        <v>26</v>
      </c>
      <c r="O4" t="s">
        <v>30</v>
      </c>
      <c r="P4" t="s">
        <v>31</v>
      </c>
      <c r="Q4" t="s">
        <v>31</v>
      </c>
      <c r="R4" t="s">
        <v>31</v>
      </c>
      <c r="S4" t="s">
        <v>31</v>
      </c>
      <c r="T4" t="s">
        <v>32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>
        <v>24</v>
      </c>
      <c r="AA4" t="s">
        <v>35</v>
      </c>
      <c r="AB4">
        <v>3</v>
      </c>
      <c r="AC4">
        <v>3</v>
      </c>
    </row>
    <row r="5" spans="1:29" x14ac:dyDescent="0.3">
      <c r="A5" t="s">
        <v>26</v>
      </c>
      <c r="C5">
        <v>4</v>
      </c>
      <c r="D5" t="s">
        <v>26</v>
      </c>
      <c r="F5" t="s">
        <v>27</v>
      </c>
      <c r="G5">
        <v>2021</v>
      </c>
      <c r="H5">
        <v>1</v>
      </c>
      <c r="I5" t="s">
        <v>28</v>
      </c>
      <c r="J5" s="1">
        <v>123</v>
      </c>
      <c r="K5">
        <v>123</v>
      </c>
      <c r="L5" s="1">
        <v>44414.390844907408</v>
      </c>
      <c r="M5" t="s">
        <v>29</v>
      </c>
      <c r="N5" t="s">
        <v>26</v>
      </c>
      <c r="O5" t="s">
        <v>30</v>
      </c>
      <c r="P5" t="s">
        <v>31</v>
      </c>
      <c r="Q5" t="s">
        <v>31</v>
      </c>
      <c r="R5" t="s">
        <v>31</v>
      </c>
      <c r="S5" t="s">
        <v>31</v>
      </c>
      <c r="T5" t="s">
        <v>32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>
        <v>25</v>
      </c>
      <c r="AA5" t="s">
        <v>36</v>
      </c>
      <c r="AB5">
        <v>4</v>
      </c>
      <c r="AC5">
        <v>4</v>
      </c>
    </row>
    <row r="6" spans="1:29" x14ac:dyDescent="0.3">
      <c r="A6" t="s">
        <v>26</v>
      </c>
      <c r="C6">
        <v>5</v>
      </c>
      <c r="D6" t="s">
        <v>26</v>
      </c>
      <c r="F6" t="s">
        <v>27</v>
      </c>
      <c r="G6">
        <v>2021</v>
      </c>
      <c r="H6">
        <v>1</v>
      </c>
      <c r="I6" t="s">
        <v>28</v>
      </c>
      <c r="J6" s="1">
        <v>123</v>
      </c>
      <c r="K6">
        <v>123</v>
      </c>
      <c r="L6" s="1">
        <v>44414.390844907408</v>
      </c>
      <c r="M6" t="s">
        <v>29</v>
      </c>
      <c r="N6" t="s">
        <v>26</v>
      </c>
      <c r="O6" t="s">
        <v>30</v>
      </c>
      <c r="P6" t="s">
        <v>31</v>
      </c>
      <c r="Q6" t="s">
        <v>31</v>
      </c>
      <c r="R6" t="s">
        <v>31</v>
      </c>
      <c r="S6" t="s">
        <v>31</v>
      </c>
      <c r="T6" t="s">
        <v>32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>
        <v>26</v>
      </c>
      <c r="AA6" t="s">
        <v>37</v>
      </c>
      <c r="AB6">
        <v>3</v>
      </c>
      <c r="AC6">
        <v>3</v>
      </c>
    </row>
    <row r="7" spans="1:29" x14ac:dyDescent="0.3">
      <c r="A7" t="s">
        <v>26</v>
      </c>
      <c r="C7">
        <v>6</v>
      </c>
      <c r="D7" t="s">
        <v>26</v>
      </c>
      <c r="F7" t="s">
        <v>27</v>
      </c>
      <c r="G7">
        <v>2021</v>
      </c>
      <c r="H7">
        <v>1</v>
      </c>
      <c r="I7" t="s">
        <v>28</v>
      </c>
      <c r="J7" s="1">
        <v>123</v>
      </c>
      <c r="K7">
        <v>123</v>
      </c>
      <c r="L7" s="1">
        <v>44414.390844907408</v>
      </c>
      <c r="M7" t="s">
        <v>29</v>
      </c>
      <c r="N7" t="s">
        <v>26</v>
      </c>
      <c r="O7" t="s">
        <v>30</v>
      </c>
      <c r="P7" t="s">
        <v>31</v>
      </c>
      <c r="Q7" t="s">
        <v>31</v>
      </c>
      <c r="R7" t="s">
        <v>31</v>
      </c>
      <c r="S7" t="s">
        <v>31</v>
      </c>
      <c r="T7" t="s">
        <v>32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>
        <v>30</v>
      </c>
      <c r="AA7" t="s">
        <v>38</v>
      </c>
      <c r="AB7">
        <v>4</v>
      </c>
      <c r="AC7">
        <v>4</v>
      </c>
    </row>
    <row r="8" spans="1:29" x14ac:dyDescent="0.3">
      <c r="A8" t="s">
        <v>26</v>
      </c>
      <c r="C8">
        <v>7</v>
      </c>
      <c r="D8" t="s">
        <v>26</v>
      </c>
      <c r="F8" t="s">
        <v>27</v>
      </c>
      <c r="G8">
        <v>2021</v>
      </c>
      <c r="H8">
        <v>1</v>
      </c>
      <c r="I8" t="s">
        <v>28</v>
      </c>
      <c r="J8" s="1">
        <v>123</v>
      </c>
      <c r="K8">
        <v>123</v>
      </c>
      <c r="L8" s="1">
        <v>44414.390844907408</v>
      </c>
      <c r="M8" t="s">
        <v>29</v>
      </c>
      <c r="N8" t="s">
        <v>26</v>
      </c>
      <c r="O8" t="s">
        <v>30</v>
      </c>
      <c r="P8" t="s">
        <v>31</v>
      </c>
      <c r="Q8" t="s">
        <v>31</v>
      </c>
      <c r="R8" t="s">
        <v>31</v>
      </c>
      <c r="S8" t="s">
        <v>31</v>
      </c>
      <c r="T8" t="s">
        <v>32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>
        <v>31</v>
      </c>
      <c r="AA8" t="s">
        <v>39</v>
      </c>
      <c r="AB8">
        <v>4</v>
      </c>
      <c r="AC8">
        <v>4</v>
      </c>
    </row>
    <row r="9" spans="1:29" x14ac:dyDescent="0.3">
      <c r="A9" t="s">
        <v>26</v>
      </c>
      <c r="J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D2A1-0F54-498A-8639-1789F6C3859A}">
  <dimension ref="A1:AA8"/>
  <sheetViews>
    <sheetView zoomScale="70" zoomScaleNormal="70" workbookViewId="0">
      <pane xSplit="1" topLeftCell="H1" activePane="topRight" state="frozen"/>
      <selection pane="topRight" activeCell="A8" sqref="A1:A8"/>
    </sheetView>
  </sheetViews>
  <sheetFormatPr defaultRowHeight="14" x14ac:dyDescent="0.3"/>
  <cols>
    <col min="1" max="1" width="6" bestFit="1" customWidth="1"/>
    <col min="2" max="2" width="13.83203125" bestFit="1" customWidth="1"/>
    <col min="3" max="3" width="16.83203125" bestFit="1" customWidth="1"/>
    <col min="4" max="4" width="17.08203125" bestFit="1" customWidth="1"/>
    <col min="5" max="5" width="9" bestFit="1" customWidth="1"/>
    <col min="6" max="6" width="10.08203125" bestFit="1" customWidth="1"/>
    <col min="7" max="7" width="13.5" bestFit="1" customWidth="1"/>
    <col min="8" max="8" width="7.58203125" bestFit="1" customWidth="1"/>
    <col min="9" max="9" width="4.33203125" bestFit="1" customWidth="1"/>
    <col min="10" max="10" width="14" bestFit="1" customWidth="1"/>
    <col min="11" max="11" width="21.75" bestFit="1" customWidth="1"/>
    <col min="12" max="12" width="6.25" bestFit="1" customWidth="1"/>
    <col min="13" max="13" width="17.08203125" bestFit="1" customWidth="1"/>
    <col min="14" max="14" width="6.25" bestFit="1" customWidth="1"/>
    <col min="15" max="15" width="8" bestFit="1" customWidth="1"/>
    <col min="16" max="16" width="5.5" bestFit="1" customWidth="1"/>
    <col min="17" max="17" width="7.58203125" bestFit="1" customWidth="1"/>
    <col min="18" max="18" width="37.1640625" bestFit="1" customWidth="1"/>
    <col min="19" max="22" width="9.75" bestFit="1" customWidth="1"/>
    <col min="23" max="23" width="10" bestFit="1" customWidth="1"/>
    <col min="24" max="24" width="14.25" bestFit="1" customWidth="1"/>
    <col min="25" max="25" width="106.25" bestFit="1" customWidth="1"/>
    <col min="26" max="26" width="8.75" bestFit="1" customWidth="1"/>
    <col min="27" max="27" width="14.1640625" bestFit="1" customWidth="1"/>
  </cols>
  <sheetData>
    <row r="1" spans="1:27" x14ac:dyDescent="0.3">
      <c r="A1" s="2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26</v>
      </c>
      <c r="D2" t="s">
        <v>27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>
        <v>4</v>
      </c>
      <c r="AA2">
        <v>4</v>
      </c>
    </row>
    <row r="3" spans="1:27" x14ac:dyDescent="0.3">
      <c r="A3">
        <v>2</v>
      </c>
      <c r="B3" t="s">
        <v>26</v>
      </c>
      <c r="D3" t="s">
        <v>27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N3" t="s">
        <v>31</v>
      </c>
      <c r="O3" t="s">
        <v>31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</row>
    <row r="4" spans="1:27" x14ac:dyDescent="0.3">
      <c r="A4">
        <v>3</v>
      </c>
      <c r="B4" t="s">
        <v>26</v>
      </c>
      <c r="D4" t="s">
        <v>27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</row>
    <row r="5" spans="1:27" x14ac:dyDescent="0.3">
      <c r="A5">
        <v>4</v>
      </c>
      <c r="B5" t="s">
        <v>26</v>
      </c>
      <c r="D5" t="s">
        <v>27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</row>
    <row r="6" spans="1:27" x14ac:dyDescent="0.3">
      <c r="A6">
        <v>5</v>
      </c>
      <c r="B6" t="s">
        <v>26</v>
      </c>
      <c r="D6" t="s">
        <v>27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</row>
    <row r="7" spans="1:27" x14ac:dyDescent="0.3">
      <c r="A7">
        <v>6</v>
      </c>
      <c r="B7" t="s">
        <v>26</v>
      </c>
      <c r="D7" t="s">
        <v>27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</row>
    <row r="8" spans="1:27" x14ac:dyDescent="0.3">
      <c r="A8">
        <v>7</v>
      </c>
      <c r="B8" t="s">
        <v>26</v>
      </c>
      <c r="D8" t="s">
        <v>27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E8B-21E6-4EAA-A4F4-65CD4FF867F4}">
  <dimension ref="A1:AM58"/>
  <sheetViews>
    <sheetView zoomScale="70" zoomScaleNormal="70" workbookViewId="0">
      <pane xSplit="1" topLeftCell="AA1" activePane="topRight" state="frozen"/>
      <selection pane="topRight" activeCell="AK24" sqref="AK24"/>
    </sheetView>
  </sheetViews>
  <sheetFormatPr defaultRowHeight="14" x14ac:dyDescent="0.3"/>
  <cols>
    <col min="1" max="1" width="5.5" bestFit="1" customWidth="1"/>
    <col min="2" max="2" width="17.58203125" bestFit="1" customWidth="1"/>
    <col min="3" max="3" width="13.58203125" bestFit="1" customWidth="1"/>
    <col min="4" max="4" width="16" bestFit="1" customWidth="1"/>
    <col min="5" max="5" width="12.58203125" bestFit="1" customWidth="1"/>
    <col min="6" max="6" width="9" bestFit="1" customWidth="1"/>
    <col min="7" max="7" width="9.83203125" bestFit="1" customWidth="1"/>
    <col min="8" max="8" width="13.25" bestFit="1" customWidth="1"/>
    <col min="9" max="9" width="7.83203125" bestFit="1" customWidth="1"/>
    <col min="10" max="10" width="4.25" bestFit="1" customWidth="1"/>
    <col min="11" max="11" width="14" bestFit="1" customWidth="1"/>
    <col min="12" max="12" width="21.33203125" bestFit="1" customWidth="1"/>
    <col min="13" max="13" width="6" bestFit="1" customWidth="1"/>
    <col min="14" max="14" width="16.58203125" bestFit="1" customWidth="1"/>
    <col min="15" max="15" width="6" bestFit="1" customWidth="1"/>
    <col min="16" max="16" width="7.33203125" bestFit="1" customWidth="1"/>
    <col min="17" max="17" width="5.08203125" bestFit="1" customWidth="1"/>
    <col min="18" max="18" width="7" bestFit="1" customWidth="1"/>
    <col min="19" max="19" width="37.75" bestFit="1" customWidth="1"/>
    <col min="20" max="23" width="9.83203125" bestFit="1" customWidth="1"/>
    <col min="24" max="24" width="9.58203125" bestFit="1" customWidth="1"/>
    <col min="25" max="25" width="13.75" bestFit="1" customWidth="1"/>
    <col min="26" max="26" width="107.58203125" bestFit="1" customWidth="1"/>
    <col min="27" max="27" width="8.75" bestFit="1" customWidth="1"/>
    <col min="28" max="28" width="14.25" bestFit="1" customWidth="1"/>
    <col min="29" max="29" width="15.33203125" bestFit="1" customWidth="1"/>
    <col min="30" max="30" width="20.83203125" bestFit="1" customWidth="1"/>
    <col min="32" max="32" width="15.33203125" bestFit="1" customWidth="1"/>
    <col min="34" max="34" width="21" bestFit="1" customWidth="1"/>
  </cols>
  <sheetData>
    <row r="1" spans="1:39" x14ac:dyDescent="0.3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4" t="s">
        <v>42</v>
      </c>
      <c r="AD1" s="5" t="s">
        <v>43</v>
      </c>
      <c r="AH1" s="4" t="s">
        <v>42</v>
      </c>
      <c r="AI1" t="s">
        <v>159</v>
      </c>
    </row>
    <row r="2" spans="1:39" x14ac:dyDescent="0.3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25</v>
      </c>
      <c r="Z2" t="s">
        <v>36</v>
      </c>
      <c r="AA2">
        <v>4</v>
      </c>
      <c r="AB2">
        <v>4</v>
      </c>
      <c r="AC2">
        <v>4</v>
      </c>
      <c r="AD2">
        <v>4</v>
      </c>
      <c r="AK2" t="s">
        <v>160</v>
      </c>
    </row>
    <row r="3" spans="1:39" x14ac:dyDescent="0.3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22</v>
      </c>
      <c r="Z3" t="s">
        <v>33</v>
      </c>
      <c r="AA3">
        <v>4</v>
      </c>
      <c r="AB3">
        <v>4</v>
      </c>
      <c r="AC3">
        <v>4</v>
      </c>
      <c r="AD3">
        <v>4</v>
      </c>
      <c r="AK3" t="s">
        <v>161</v>
      </c>
    </row>
    <row r="4" spans="1:39" x14ac:dyDescent="0.3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24</v>
      </c>
      <c r="Z4" t="s">
        <v>35</v>
      </c>
      <c r="AA4">
        <v>3</v>
      </c>
      <c r="AB4">
        <v>3</v>
      </c>
      <c r="AC4">
        <v>3</v>
      </c>
      <c r="AD4">
        <v>3</v>
      </c>
      <c r="AL4" t="s">
        <v>162</v>
      </c>
    </row>
    <row r="5" spans="1:39" x14ac:dyDescent="0.3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26</v>
      </c>
      <c r="Z5" t="s">
        <v>37</v>
      </c>
      <c r="AA5">
        <v>3</v>
      </c>
      <c r="AB5">
        <v>3</v>
      </c>
      <c r="AC5">
        <v>3</v>
      </c>
      <c r="AD5">
        <v>3</v>
      </c>
      <c r="AL5" t="s">
        <v>163</v>
      </c>
    </row>
    <row r="6" spans="1:39" x14ac:dyDescent="0.3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23</v>
      </c>
      <c r="Z6" t="s">
        <v>34</v>
      </c>
      <c r="AA6">
        <v>3</v>
      </c>
      <c r="AB6">
        <v>3</v>
      </c>
      <c r="AC6">
        <v>3</v>
      </c>
      <c r="AD6">
        <v>3</v>
      </c>
      <c r="AL6" t="s">
        <v>161</v>
      </c>
    </row>
    <row r="7" spans="1:39" x14ac:dyDescent="0.3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30</v>
      </c>
      <c r="Z7" t="s">
        <v>38</v>
      </c>
      <c r="AA7">
        <v>4</v>
      </c>
      <c r="AB7">
        <v>4</v>
      </c>
      <c r="AC7">
        <v>4</v>
      </c>
      <c r="AD7">
        <v>4</v>
      </c>
      <c r="AM7" t="s">
        <v>159</v>
      </c>
    </row>
    <row r="8" spans="1:39" x14ac:dyDescent="0.3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31</v>
      </c>
      <c r="Z8" t="s">
        <v>39</v>
      </c>
      <c r="AA8">
        <v>4</v>
      </c>
      <c r="AB8">
        <v>4</v>
      </c>
      <c r="AC8">
        <v>4</v>
      </c>
      <c r="AD8">
        <v>4</v>
      </c>
      <c r="AM8" t="s">
        <v>164</v>
      </c>
    </row>
    <row r="9" spans="1:39" x14ac:dyDescent="0.3">
      <c r="AM9" t="s">
        <v>165</v>
      </c>
    </row>
    <row r="10" spans="1:39" x14ac:dyDescent="0.3">
      <c r="AM10" t="s">
        <v>166</v>
      </c>
    </row>
    <row r="11" spans="1:39" x14ac:dyDescent="0.3">
      <c r="AM11" t="s">
        <v>167</v>
      </c>
    </row>
    <row r="12" spans="1:39" x14ac:dyDescent="0.3">
      <c r="AM12" t="s">
        <v>168</v>
      </c>
    </row>
    <row r="13" spans="1:39" x14ac:dyDescent="0.3">
      <c r="AM13" t="s">
        <v>169</v>
      </c>
    </row>
    <row r="14" spans="1:39" x14ac:dyDescent="0.3">
      <c r="AL14" t="s">
        <v>170</v>
      </c>
    </row>
    <row r="15" spans="1:39" x14ac:dyDescent="0.3">
      <c r="AM15" t="s">
        <v>159</v>
      </c>
    </row>
    <row r="16" spans="1:39" x14ac:dyDescent="0.3">
      <c r="AM16" t="s">
        <v>164</v>
      </c>
    </row>
    <row r="17" spans="34:39" x14ac:dyDescent="0.3">
      <c r="AM17" t="s">
        <v>171</v>
      </c>
    </row>
    <row r="18" spans="34:39" x14ac:dyDescent="0.3">
      <c r="AM18" t="s">
        <v>172</v>
      </c>
    </row>
    <row r="19" spans="34:39" x14ac:dyDescent="0.3">
      <c r="AM19" t="s">
        <v>173</v>
      </c>
    </row>
    <row r="20" spans="34:39" x14ac:dyDescent="0.3">
      <c r="AM20" t="s">
        <v>168</v>
      </c>
    </row>
    <row r="21" spans="34:39" x14ac:dyDescent="0.3">
      <c r="AM21" t="s">
        <v>169</v>
      </c>
    </row>
    <row r="22" spans="34:39" x14ac:dyDescent="0.3">
      <c r="AL22" t="s">
        <v>174</v>
      </c>
    </row>
    <row r="23" spans="34:39" x14ac:dyDescent="0.3">
      <c r="AK23" t="s">
        <v>168</v>
      </c>
    </row>
    <row r="24" spans="34:39" x14ac:dyDescent="0.3">
      <c r="AK24" t="s">
        <v>175</v>
      </c>
    </row>
    <row r="25" spans="34:39" x14ac:dyDescent="0.3">
      <c r="AJ25" t="s">
        <v>174</v>
      </c>
    </row>
    <row r="26" spans="34:39" x14ac:dyDescent="0.3">
      <c r="AJ26" t="s">
        <v>176</v>
      </c>
    </row>
    <row r="31" spans="34:39" x14ac:dyDescent="0.3">
      <c r="AH31" s="5" t="s">
        <v>43</v>
      </c>
      <c r="AI31" t="s">
        <v>177</v>
      </c>
    </row>
    <row r="32" spans="34:39" x14ac:dyDescent="0.3">
      <c r="AI32" t="s">
        <v>159</v>
      </c>
    </row>
    <row r="33" spans="36:38" x14ac:dyDescent="0.3">
      <c r="AJ33" t="s">
        <v>160</v>
      </c>
    </row>
    <row r="34" spans="36:38" x14ac:dyDescent="0.3">
      <c r="AJ34" t="s">
        <v>161</v>
      </c>
    </row>
    <row r="35" spans="36:38" x14ac:dyDescent="0.3">
      <c r="AK35" t="s">
        <v>162</v>
      </c>
    </row>
    <row r="36" spans="36:38" x14ac:dyDescent="0.3">
      <c r="AK36" t="s">
        <v>163</v>
      </c>
    </row>
    <row r="37" spans="36:38" x14ac:dyDescent="0.3">
      <c r="AK37" t="s">
        <v>161</v>
      </c>
    </row>
    <row r="38" spans="36:38" x14ac:dyDescent="0.3">
      <c r="AL38" t="s">
        <v>159</v>
      </c>
    </row>
    <row r="39" spans="36:38" x14ac:dyDescent="0.3">
      <c r="AL39" t="s">
        <v>164</v>
      </c>
    </row>
    <row r="40" spans="36:38" x14ac:dyDescent="0.3">
      <c r="AL40" t="s">
        <v>165</v>
      </c>
    </row>
    <row r="41" spans="36:38" x14ac:dyDescent="0.3">
      <c r="AL41" t="s">
        <v>166</v>
      </c>
    </row>
    <row r="42" spans="36:38" x14ac:dyDescent="0.3">
      <c r="AL42" t="s">
        <v>167</v>
      </c>
    </row>
    <row r="43" spans="36:38" x14ac:dyDescent="0.3">
      <c r="AL43" t="s">
        <v>168</v>
      </c>
    </row>
    <row r="44" spans="36:38" x14ac:dyDescent="0.3">
      <c r="AL44" t="s">
        <v>169</v>
      </c>
    </row>
    <row r="45" spans="36:38" x14ac:dyDescent="0.3">
      <c r="AK45" t="s">
        <v>170</v>
      </c>
    </row>
    <row r="46" spans="36:38" x14ac:dyDescent="0.3">
      <c r="AL46" t="s">
        <v>159</v>
      </c>
    </row>
    <row r="47" spans="36:38" x14ac:dyDescent="0.3">
      <c r="AL47" t="s">
        <v>164</v>
      </c>
    </row>
    <row r="48" spans="36:38" x14ac:dyDescent="0.3">
      <c r="AL48" t="s">
        <v>171</v>
      </c>
    </row>
    <row r="49" spans="35:38" x14ac:dyDescent="0.3">
      <c r="AL49" t="s">
        <v>172</v>
      </c>
    </row>
    <row r="50" spans="35:38" x14ac:dyDescent="0.3">
      <c r="AL50" t="s">
        <v>173</v>
      </c>
    </row>
    <row r="51" spans="35:38" x14ac:dyDescent="0.3">
      <c r="AL51" t="s">
        <v>168</v>
      </c>
    </row>
    <row r="52" spans="35:38" x14ac:dyDescent="0.3">
      <c r="AL52" t="s">
        <v>169</v>
      </c>
    </row>
    <row r="53" spans="35:38" x14ac:dyDescent="0.3">
      <c r="AK53" t="s">
        <v>174</v>
      </c>
    </row>
    <row r="54" spans="35:38" x14ac:dyDescent="0.3">
      <c r="AJ54" t="s">
        <v>168</v>
      </c>
    </row>
    <row r="55" spans="35:38" x14ac:dyDescent="0.3">
      <c r="AJ55" t="s">
        <v>175</v>
      </c>
    </row>
    <row r="56" spans="35:38" x14ac:dyDescent="0.3">
      <c r="AI56" t="s">
        <v>174</v>
      </c>
    </row>
    <row r="57" spans="35:38" x14ac:dyDescent="0.3">
      <c r="AI57" t="s">
        <v>178</v>
      </c>
    </row>
    <row r="58" spans="35:38" x14ac:dyDescent="0.3">
      <c r="AI5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264-5982-404D-8463-315882D42D19}">
  <dimension ref="A1:N12"/>
  <sheetViews>
    <sheetView workbookViewId="0">
      <pane xSplit="1" topLeftCell="H1" activePane="topRight" state="frozen"/>
      <selection activeCell="K5" sqref="K5"/>
      <selection pane="topRight" activeCell="K5" sqref="K5"/>
    </sheetView>
  </sheetViews>
  <sheetFormatPr defaultRowHeight="14" x14ac:dyDescent="0.3"/>
  <cols>
    <col min="1" max="1" width="5.5" bestFit="1" customWidth="1"/>
    <col min="2" max="2" width="9" bestFit="1" customWidth="1"/>
    <col min="3" max="3" width="13.25" bestFit="1" customWidth="1"/>
    <col min="4" max="4" width="13.58203125" bestFit="1" customWidth="1"/>
    <col min="5" max="5" width="16" bestFit="1" customWidth="1"/>
    <col min="6" max="6" width="13.75" bestFit="1" customWidth="1"/>
    <col min="7" max="7" width="107.58203125" bestFit="1" customWidth="1"/>
    <col min="8" max="8" width="18.83203125" customWidth="1"/>
    <col min="12" max="12" width="34.83203125" bestFit="1" customWidth="1"/>
  </cols>
  <sheetData>
    <row r="1" spans="1:14" x14ac:dyDescent="0.3">
      <c r="A1" s="2" t="s">
        <v>40</v>
      </c>
      <c r="B1" t="s">
        <v>3</v>
      </c>
      <c r="C1" t="s">
        <v>5</v>
      </c>
      <c r="D1" t="s">
        <v>0</v>
      </c>
      <c r="E1" t="s">
        <v>1</v>
      </c>
      <c r="F1" t="s">
        <v>22</v>
      </c>
      <c r="G1" t="s">
        <v>23</v>
      </c>
      <c r="H1" s="4" t="s">
        <v>44</v>
      </c>
      <c r="L1" s="4" t="s">
        <v>44</v>
      </c>
      <c r="M1" t="s">
        <v>179</v>
      </c>
    </row>
    <row r="2" spans="1:14" x14ac:dyDescent="0.3">
      <c r="A2">
        <v>1</v>
      </c>
      <c r="B2">
        <v>2021</v>
      </c>
      <c r="C2" t="s">
        <v>28</v>
      </c>
      <c r="D2" t="s">
        <v>26</v>
      </c>
      <c r="F2">
        <v>22</v>
      </c>
      <c r="G2" t="s">
        <v>33</v>
      </c>
      <c r="H2">
        <v>4</v>
      </c>
      <c r="L2" s="6" t="s">
        <v>191</v>
      </c>
      <c r="M2" t="s">
        <v>180</v>
      </c>
    </row>
    <row r="3" spans="1:14" x14ac:dyDescent="0.3">
      <c r="A3">
        <v>2</v>
      </c>
      <c r="B3">
        <v>2021</v>
      </c>
      <c r="C3" t="s">
        <v>28</v>
      </c>
      <c r="D3" t="s">
        <v>26</v>
      </c>
      <c r="F3">
        <v>24</v>
      </c>
      <c r="G3" t="s">
        <v>35</v>
      </c>
      <c r="H3">
        <v>4</v>
      </c>
      <c r="M3" t="s">
        <v>181</v>
      </c>
    </row>
    <row r="4" spans="1:14" x14ac:dyDescent="0.3">
      <c r="A4">
        <v>3</v>
      </c>
      <c r="B4">
        <v>2021</v>
      </c>
      <c r="C4" t="s">
        <v>28</v>
      </c>
      <c r="D4" t="s">
        <v>26</v>
      </c>
      <c r="F4">
        <v>25</v>
      </c>
      <c r="G4" t="s">
        <v>36</v>
      </c>
      <c r="H4">
        <v>4</v>
      </c>
      <c r="M4" t="s">
        <v>189</v>
      </c>
    </row>
    <row r="5" spans="1:14" x14ac:dyDescent="0.3">
      <c r="A5">
        <v>4</v>
      </c>
      <c r="B5">
        <v>2021</v>
      </c>
      <c r="C5" t="s">
        <v>28</v>
      </c>
      <c r="D5" t="s">
        <v>26</v>
      </c>
      <c r="F5">
        <v>23</v>
      </c>
      <c r="G5" t="s">
        <v>34</v>
      </c>
      <c r="H5">
        <v>4</v>
      </c>
      <c r="M5" t="s">
        <v>182</v>
      </c>
    </row>
    <row r="6" spans="1:14" x14ac:dyDescent="0.3">
      <c r="A6">
        <v>5</v>
      </c>
      <c r="B6">
        <v>2021</v>
      </c>
      <c r="C6" t="s">
        <v>28</v>
      </c>
      <c r="D6" t="s">
        <v>26</v>
      </c>
      <c r="F6">
        <v>26</v>
      </c>
      <c r="G6" t="s">
        <v>37</v>
      </c>
      <c r="H6">
        <v>4</v>
      </c>
      <c r="M6" t="s">
        <v>183</v>
      </c>
    </row>
    <row r="7" spans="1:14" x14ac:dyDescent="0.3">
      <c r="A7">
        <v>6</v>
      </c>
      <c r="B7">
        <v>2021</v>
      </c>
      <c r="C7" t="s">
        <v>28</v>
      </c>
      <c r="D7" t="s">
        <v>26</v>
      </c>
      <c r="F7">
        <v>30</v>
      </c>
      <c r="G7" t="s">
        <v>38</v>
      </c>
      <c r="H7">
        <v>4</v>
      </c>
      <c r="N7" t="s">
        <v>190</v>
      </c>
    </row>
    <row r="8" spans="1:14" x14ac:dyDescent="0.3">
      <c r="A8">
        <v>7</v>
      </c>
      <c r="B8">
        <v>2021</v>
      </c>
      <c r="C8" t="s">
        <v>28</v>
      </c>
      <c r="D8" t="s">
        <v>26</v>
      </c>
      <c r="F8">
        <v>31</v>
      </c>
      <c r="G8" t="s">
        <v>39</v>
      </c>
      <c r="H8">
        <v>4</v>
      </c>
      <c r="N8" t="s">
        <v>184</v>
      </c>
    </row>
    <row r="9" spans="1:14" x14ac:dyDescent="0.3">
      <c r="N9" t="s">
        <v>185</v>
      </c>
    </row>
    <row r="10" spans="1:14" x14ac:dyDescent="0.3">
      <c r="M10" t="s">
        <v>186</v>
      </c>
    </row>
    <row r="11" spans="1:14" x14ac:dyDescent="0.3">
      <c r="M11" t="s">
        <v>187</v>
      </c>
    </row>
    <row r="12" spans="1:14" x14ac:dyDescent="0.3">
      <c r="M12" t="s">
        <v>188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1158-7F94-448D-BFF9-D183182611D4}">
  <dimension ref="A1:AH28"/>
  <sheetViews>
    <sheetView tabSelected="1" zoomScale="55" zoomScaleNormal="55" workbookViewId="0">
      <pane xSplit="1" topLeftCell="Z1" activePane="topRight" state="frozen"/>
      <selection activeCell="AK1" sqref="AK1"/>
      <selection pane="topRight" activeCell="AQ13" sqref="AQ13"/>
    </sheetView>
  </sheetViews>
  <sheetFormatPr defaultRowHeight="14" x14ac:dyDescent="0.3"/>
  <cols>
    <col min="1" max="1" width="5.5" bestFit="1" customWidth="1"/>
    <col min="2" max="2" width="17.08203125" bestFit="1" customWidth="1"/>
    <col min="3" max="3" width="5.33203125" bestFit="1" customWidth="1"/>
    <col min="4" max="4" width="47.25" bestFit="1" customWidth="1"/>
    <col min="5" max="5" width="16.08203125" bestFit="1" customWidth="1"/>
    <col min="6" max="7" width="17.25" bestFit="1" customWidth="1"/>
    <col min="8" max="8" width="19.25" bestFit="1" customWidth="1"/>
    <col min="9" max="9" width="17.25" bestFit="1" customWidth="1"/>
    <col min="10" max="10" width="107.58203125" bestFit="1" customWidth="1"/>
    <col min="11" max="11" width="17.33203125" bestFit="1" customWidth="1"/>
    <col min="12" max="12" width="12.08203125" bestFit="1" customWidth="1"/>
    <col min="13" max="13" width="15.08203125" bestFit="1" customWidth="1"/>
    <col min="14" max="14" width="16.08203125" bestFit="1" customWidth="1"/>
    <col min="15" max="15" width="21" bestFit="1" customWidth="1"/>
    <col min="16" max="16" width="19.1640625" style="3" customWidth="1"/>
    <col min="32" max="32" width="59.58203125" bestFit="1" customWidth="1"/>
  </cols>
  <sheetData>
    <row r="1" spans="1:34" x14ac:dyDescent="0.3">
      <c r="A1" s="2" t="s">
        <v>40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s="4" t="s">
        <v>55</v>
      </c>
      <c r="M1" s="2" t="s">
        <v>56</v>
      </c>
      <c r="N1" s="8" t="s">
        <v>57</v>
      </c>
      <c r="O1" s="9" t="s">
        <v>58</v>
      </c>
      <c r="P1" s="3" t="s">
        <v>59</v>
      </c>
      <c r="U1" s="10" t="s">
        <v>219</v>
      </c>
      <c r="V1" t="s">
        <v>207</v>
      </c>
      <c r="AF1" s="4" t="s">
        <v>55</v>
      </c>
      <c r="AG1" t="s">
        <v>159</v>
      </c>
    </row>
    <row r="2" spans="1:34" x14ac:dyDescent="0.3">
      <c r="A2">
        <v>1</v>
      </c>
      <c r="B2" t="s">
        <v>28</v>
      </c>
      <c r="C2">
        <v>2021</v>
      </c>
      <c r="D2" t="s">
        <v>60</v>
      </c>
      <c r="E2" t="s">
        <v>26</v>
      </c>
      <c r="F2" t="s">
        <v>26</v>
      </c>
      <c r="G2" t="s">
        <v>26</v>
      </c>
      <c r="I2">
        <v>23</v>
      </c>
      <c r="J2" t="s">
        <v>34</v>
      </c>
      <c r="K2" t="s">
        <v>61</v>
      </c>
      <c r="L2" s="6">
        <v>15</v>
      </c>
      <c r="M2" s="6">
        <v>100</v>
      </c>
      <c r="N2" s="6">
        <v>15</v>
      </c>
      <c r="O2" s="6">
        <v>4</v>
      </c>
      <c r="P2" s="3">
        <v>44727.673432523145</v>
      </c>
      <c r="V2" t="s">
        <v>159</v>
      </c>
      <c r="AG2" t="s">
        <v>192</v>
      </c>
    </row>
    <row r="3" spans="1:34" x14ac:dyDescent="0.3">
      <c r="A3">
        <v>2</v>
      </c>
      <c r="B3" t="s">
        <v>28</v>
      </c>
      <c r="C3">
        <v>2021</v>
      </c>
      <c r="D3" t="s">
        <v>60</v>
      </c>
      <c r="E3" t="s">
        <v>26</v>
      </c>
      <c r="F3" t="s">
        <v>26</v>
      </c>
      <c r="G3" t="s">
        <v>26</v>
      </c>
      <c r="I3">
        <v>22</v>
      </c>
      <c r="J3" t="s">
        <v>33</v>
      </c>
      <c r="K3" t="s">
        <v>61</v>
      </c>
      <c r="L3">
        <v>15</v>
      </c>
      <c r="M3">
        <v>100</v>
      </c>
      <c r="N3">
        <v>15</v>
      </c>
      <c r="O3">
        <v>4</v>
      </c>
      <c r="P3" s="3">
        <v>44727.673432523145</v>
      </c>
      <c r="V3" t="s">
        <v>208</v>
      </c>
      <c r="AF3" s="6" t="s">
        <v>225</v>
      </c>
      <c r="AG3" s="7" t="s">
        <v>203</v>
      </c>
    </row>
    <row r="4" spans="1:34" x14ac:dyDescent="0.3">
      <c r="A4">
        <v>3</v>
      </c>
      <c r="B4" t="s">
        <v>28</v>
      </c>
      <c r="C4">
        <v>2021</v>
      </c>
      <c r="D4" t="s">
        <v>60</v>
      </c>
      <c r="E4" t="s">
        <v>26</v>
      </c>
      <c r="F4" t="s">
        <v>26</v>
      </c>
      <c r="G4" t="s">
        <v>26</v>
      </c>
      <c r="I4">
        <v>30</v>
      </c>
      <c r="J4" t="s">
        <v>38</v>
      </c>
      <c r="K4" t="s">
        <v>62</v>
      </c>
      <c r="L4">
        <v>15</v>
      </c>
      <c r="M4">
        <v>100</v>
      </c>
      <c r="N4">
        <v>15</v>
      </c>
      <c r="O4">
        <v>4</v>
      </c>
      <c r="P4" s="3">
        <v>44727.673432523145</v>
      </c>
      <c r="V4" t="s">
        <v>209</v>
      </c>
      <c r="AF4" t="s">
        <v>365</v>
      </c>
      <c r="AG4" t="s">
        <v>161</v>
      </c>
    </row>
    <row r="5" spans="1:34" x14ac:dyDescent="0.3">
      <c r="A5">
        <v>4</v>
      </c>
      <c r="B5" t="s">
        <v>28</v>
      </c>
      <c r="C5">
        <v>2021</v>
      </c>
      <c r="D5" t="s">
        <v>60</v>
      </c>
      <c r="E5" t="s">
        <v>26</v>
      </c>
      <c r="F5" t="s">
        <v>26</v>
      </c>
      <c r="G5" t="s">
        <v>26</v>
      </c>
      <c r="I5">
        <v>31</v>
      </c>
      <c r="J5" t="s">
        <v>39</v>
      </c>
      <c r="K5" t="s">
        <v>62</v>
      </c>
      <c r="L5">
        <v>15</v>
      </c>
      <c r="M5">
        <v>100</v>
      </c>
      <c r="N5">
        <v>15</v>
      </c>
      <c r="O5">
        <v>4</v>
      </c>
      <c r="P5" s="3">
        <v>44727.673432523145</v>
      </c>
      <c r="V5" t="s">
        <v>210</v>
      </c>
      <c r="AF5" s="6" t="s">
        <v>227</v>
      </c>
      <c r="AH5" t="s">
        <v>159</v>
      </c>
    </row>
    <row r="6" spans="1:34" x14ac:dyDescent="0.3">
      <c r="A6">
        <v>5</v>
      </c>
      <c r="B6" t="s">
        <v>28</v>
      </c>
      <c r="C6">
        <v>2021</v>
      </c>
      <c r="D6" t="s">
        <v>60</v>
      </c>
      <c r="E6" t="s">
        <v>26</v>
      </c>
      <c r="F6" t="s">
        <v>26</v>
      </c>
      <c r="G6" t="s">
        <v>26</v>
      </c>
      <c r="I6">
        <v>24</v>
      </c>
      <c r="J6" t="s">
        <v>35</v>
      </c>
      <c r="K6" t="s">
        <v>63</v>
      </c>
      <c r="L6">
        <v>30</v>
      </c>
      <c r="M6">
        <v>100</v>
      </c>
      <c r="N6">
        <v>30</v>
      </c>
      <c r="O6">
        <v>4</v>
      </c>
      <c r="P6" s="3">
        <v>44727.673432523145</v>
      </c>
      <c r="V6" t="s">
        <v>211</v>
      </c>
      <c r="AF6" s="7" t="s">
        <v>228</v>
      </c>
      <c r="AH6" t="s">
        <v>193</v>
      </c>
    </row>
    <row r="7" spans="1:34" x14ac:dyDescent="0.3">
      <c r="A7">
        <v>6</v>
      </c>
      <c r="B7" t="s">
        <v>28</v>
      </c>
      <c r="C7">
        <v>2021</v>
      </c>
      <c r="D7" t="s">
        <v>60</v>
      </c>
      <c r="E7" t="s">
        <v>26</v>
      </c>
      <c r="F7" t="s">
        <v>26</v>
      </c>
      <c r="G7" t="s">
        <v>26</v>
      </c>
      <c r="I7">
        <v>26</v>
      </c>
      <c r="J7" t="s">
        <v>37</v>
      </c>
      <c r="K7" t="s">
        <v>64</v>
      </c>
      <c r="L7">
        <v>5</v>
      </c>
      <c r="M7">
        <v>100</v>
      </c>
      <c r="N7">
        <v>5</v>
      </c>
      <c r="O7">
        <v>4</v>
      </c>
      <c r="P7" s="3">
        <v>44727.673432523145</v>
      </c>
      <c r="V7" t="s">
        <v>212</v>
      </c>
      <c r="AH7" s="11" t="s">
        <v>194</v>
      </c>
    </row>
    <row r="8" spans="1:34" x14ac:dyDescent="0.3">
      <c r="A8">
        <v>7</v>
      </c>
      <c r="B8" t="s">
        <v>28</v>
      </c>
      <c r="C8">
        <v>2021</v>
      </c>
      <c r="D8" t="s">
        <v>60</v>
      </c>
      <c r="E8" t="s">
        <v>26</v>
      </c>
      <c r="F8" t="s">
        <v>26</v>
      </c>
      <c r="G8" t="s">
        <v>26</v>
      </c>
      <c r="I8">
        <v>25</v>
      </c>
      <c r="J8" t="s">
        <v>36</v>
      </c>
      <c r="K8" t="s">
        <v>64</v>
      </c>
      <c r="L8">
        <v>5</v>
      </c>
      <c r="M8">
        <v>100</v>
      </c>
      <c r="N8">
        <v>5</v>
      </c>
      <c r="O8">
        <v>4</v>
      </c>
      <c r="P8" s="3">
        <v>44727.673432523145</v>
      </c>
      <c r="V8" t="s">
        <v>213</v>
      </c>
      <c r="AH8" s="11" t="s">
        <v>195</v>
      </c>
    </row>
    <row r="9" spans="1:34" x14ac:dyDescent="0.3">
      <c r="V9" t="s">
        <v>214</v>
      </c>
      <c r="AF9" s="6" t="s">
        <v>223</v>
      </c>
      <c r="AG9" s="7" t="s">
        <v>204</v>
      </c>
    </row>
    <row r="10" spans="1:34" x14ac:dyDescent="0.3">
      <c r="V10" t="s">
        <v>215</v>
      </c>
      <c r="AF10" t="s">
        <v>224</v>
      </c>
      <c r="AG10" t="s">
        <v>170</v>
      </c>
    </row>
    <row r="11" spans="1:34" x14ac:dyDescent="0.3">
      <c r="L11" s="7" t="s">
        <v>230</v>
      </c>
      <c r="N11" t="s">
        <v>231</v>
      </c>
      <c r="V11" t="s">
        <v>216</v>
      </c>
      <c r="AF11" t="s">
        <v>229</v>
      </c>
      <c r="AG11" t="s">
        <v>196</v>
      </c>
    </row>
    <row r="12" spans="1:34" x14ac:dyDescent="0.3">
      <c r="V12" t="s">
        <v>217</v>
      </c>
      <c r="AG12" s="11" t="s">
        <v>197</v>
      </c>
    </row>
    <row r="13" spans="1:34" x14ac:dyDescent="0.3">
      <c r="V13" s="11" t="s">
        <v>218</v>
      </c>
      <c r="AG13" s="11" t="s">
        <v>198</v>
      </c>
    </row>
    <row r="14" spans="1:34" x14ac:dyDescent="0.3">
      <c r="AG14" s="11" t="s">
        <v>199</v>
      </c>
    </row>
    <row r="15" spans="1:34" x14ac:dyDescent="0.3">
      <c r="AG15" s="11" t="s">
        <v>200</v>
      </c>
    </row>
    <row r="16" spans="1:34" x14ac:dyDescent="0.3">
      <c r="AG16" t="s">
        <v>201</v>
      </c>
    </row>
    <row r="17" spans="21:33" x14ac:dyDescent="0.3">
      <c r="U17" s="10" t="s">
        <v>220</v>
      </c>
      <c r="V17" t="s">
        <v>221</v>
      </c>
      <c r="AG17" t="s">
        <v>174</v>
      </c>
    </row>
    <row r="18" spans="21:33" x14ac:dyDescent="0.3">
      <c r="AG18" t="s">
        <v>202</v>
      </c>
    </row>
    <row r="22" spans="21:33" x14ac:dyDescent="0.3">
      <c r="AF22" s="2" t="s">
        <v>56</v>
      </c>
      <c r="AG22" s="12" t="s">
        <v>222</v>
      </c>
    </row>
    <row r="23" spans="21:33" x14ac:dyDescent="0.3">
      <c r="AF23" s="7" t="s">
        <v>364</v>
      </c>
    </row>
    <row r="25" spans="21:33" x14ac:dyDescent="0.3">
      <c r="AF25" s="8" t="s">
        <v>57</v>
      </c>
      <c r="AG25" t="s">
        <v>205</v>
      </c>
    </row>
    <row r="28" spans="21:33" x14ac:dyDescent="0.3">
      <c r="AF28" s="9" t="s">
        <v>58</v>
      </c>
      <c r="AG28" t="s">
        <v>206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9051-CB1A-44EE-B5E6-75F982D8FC69}">
  <dimension ref="A1:AZ59"/>
  <sheetViews>
    <sheetView zoomScale="85" zoomScaleNormal="85" workbookViewId="0">
      <pane xSplit="1" topLeftCell="AC1" activePane="topRight" state="frozen"/>
      <selection activeCell="AK1" sqref="AK1"/>
      <selection pane="topRight" activeCell="AK1" sqref="AK1"/>
    </sheetView>
  </sheetViews>
  <sheetFormatPr defaultRowHeight="14" x14ac:dyDescent="0.3"/>
  <cols>
    <col min="11" max="11" width="14" bestFit="1" customWidth="1"/>
    <col min="14" max="14" width="16.58203125" bestFit="1" customWidth="1"/>
    <col min="26" max="26" width="14.9140625" customWidth="1"/>
    <col min="27" max="27" width="8.83203125" customWidth="1"/>
    <col min="28" max="28" width="14.25" bestFit="1" customWidth="1"/>
    <col min="29" max="29" width="15.33203125" bestFit="1" customWidth="1"/>
    <col min="30" max="30" width="20.83203125" bestFit="1" customWidth="1"/>
    <col min="31" max="31" width="18.83203125" bestFit="1" customWidth="1"/>
    <col min="32" max="32" width="9.75" bestFit="1" customWidth="1"/>
    <col min="33" max="33" width="13" bestFit="1" customWidth="1"/>
    <col min="34" max="34" width="14" bestFit="1" customWidth="1"/>
    <col min="35" max="35" width="13.08203125" bestFit="1" customWidth="1"/>
    <col min="36" max="36" width="17.33203125" bestFit="1" customWidth="1"/>
    <col min="37" max="37" width="10.5" bestFit="1" customWidth="1"/>
    <col min="38" max="38" width="14.75" bestFit="1" customWidth="1"/>
    <col min="39" max="39" width="17.9140625" bestFit="1" customWidth="1"/>
    <col min="40" max="40" width="22.08203125" customWidth="1"/>
    <col min="50" max="50" width="49.25" bestFit="1" customWidth="1"/>
    <col min="51" max="51" width="8.83203125" customWidth="1"/>
  </cols>
  <sheetData>
    <row r="1" spans="1:52" x14ac:dyDescent="0.3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42</v>
      </c>
      <c r="AD1" t="s">
        <v>43</v>
      </c>
      <c r="AE1" t="s">
        <v>44</v>
      </c>
      <c r="AF1" s="8" t="s">
        <v>65</v>
      </c>
      <c r="AG1" t="s">
        <v>66</v>
      </c>
      <c r="AH1" t="s">
        <v>67</v>
      </c>
      <c r="AI1" t="s">
        <v>68</v>
      </c>
      <c r="AJ1" s="2" t="s">
        <v>69</v>
      </c>
      <c r="AK1" t="s">
        <v>70</v>
      </c>
      <c r="AL1" s="9" t="s">
        <v>71</v>
      </c>
      <c r="AM1" s="14" t="s">
        <v>72</v>
      </c>
      <c r="AN1" s="15" t="s">
        <v>73</v>
      </c>
      <c r="AQ1" s="10" t="s">
        <v>220</v>
      </c>
      <c r="AR1" t="s">
        <v>232</v>
      </c>
      <c r="AX1" s="8" t="s">
        <v>65</v>
      </c>
      <c r="AY1" t="s">
        <v>234</v>
      </c>
    </row>
    <row r="2" spans="1:52" x14ac:dyDescent="0.3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24</v>
      </c>
      <c r="Z2" t="s">
        <v>35</v>
      </c>
      <c r="AA2" s="6">
        <v>3</v>
      </c>
      <c r="AB2" s="6">
        <v>3</v>
      </c>
      <c r="AC2" s="6">
        <v>3</v>
      </c>
      <c r="AD2" s="6">
        <v>3</v>
      </c>
      <c r="AE2" s="6">
        <v>4</v>
      </c>
      <c r="AF2" s="6">
        <v>0.75</v>
      </c>
      <c r="AG2" s="6">
        <v>2021</v>
      </c>
      <c r="AH2" s="6" t="s">
        <v>63</v>
      </c>
      <c r="AI2" s="6">
        <v>30</v>
      </c>
      <c r="AJ2" s="6">
        <v>100</v>
      </c>
      <c r="AK2" s="6">
        <v>30</v>
      </c>
      <c r="AL2" s="6">
        <v>100</v>
      </c>
      <c r="AM2" s="6">
        <v>30</v>
      </c>
      <c r="AN2" s="6">
        <v>100</v>
      </c>
      <c r="AX2" s="6" t="s">
        <v>251</v>
      </c>
    </row>
    <row r="3" spans="1:52" x14ac:dyDescent="0.3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25</v>
      </c>
      <c r="Z3" t="s">
        <v>36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64</v>
      </c>
      <c r="AI3">
        <v>5</v>
      </c>
      <c r="AJ3">
        <v>100</v>
      </c>
      <c r="AK3">
        <v>5</v>
      </c>
      <c r="AL3">
        <v>100</v>
      </c>
      <c r="AM3">
        <v>5</v>
      </c>
      <c r="AN3">
        <v>100</v>
      </c>
      <c r="AQ3" s="10" t="s">
        <v>219</v>
      </c>
      <c r="AR3" t="s">
        <v>233</v>
      </c>
      <c r="AX3" s="6" t="s">
        <v>252</v>
      </c>
    </row>
    <row r="4" spans="1:52" x14ac:dyDescent="0.3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30</v>
      </c>
      <c r="Z4" t="s">
        <v>38</v>
      </c>
      <c r="AA4">
        <v>4</v>
      </c>
      <c r="AB4">
        <v>4</v>
      </c>
      <c r="AC4">
        <v>4</v>
      </c>
      <c r="AD4">
        <v>4</v>
      </c>
      <c r="AE4">
        <v>4</v>
      </c>
      <c r="AF4">
        <v>1</v>
      </c>
      <c r="AG4">
        <v>2021</v>
      </c>
      <c r="AH4" t="s">
        <v>62</v>
      </c>
      <c r="AI4">
        <v>15</v>
      </c>
      <c r="AJ4">
        <v>100</v>
      </c>
      <c r="AK4">
        <v>15</v>
      </c>
      <c r="AL4">
        <v>100</v>
      </c>
      <c r="AM4">
        <v>15</v>
      </c>
      <c r="AN4">
        <v>100</v>
      </c>
    </row>
    <row r="5" spans="1:52" x14ac:dyDescent="0.3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23</v>
      </c>
      <c r="Z5" t="s">
        <v>34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61</v>
      </c>
      <c r="AI5">
        <v>15</v>
      </c>
      <c r="AJ5">
        <v>100</v>
      </c>
      <c r="AK5">
        <v>15</v>
      </c>
      <c r="AL5">
        <v>100</v>
      </c>
      <c r="AM5">
        <v>15</v>
      </c>
      <c r="AN5">
        <v>100</v>
      </c>
      <c r="AX5" s="2" t="s">
        <v>69</v>
      </c>
      <c r="AY5" t="s">
        <v>236</v>
      </c>
    </row>
    <row r="6" spans="1:52" x14ac:dyDescent="0.3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26</v>
      </c>
      <c r="Z6" t="s">
        <v>37</v>
      </c>
      <c r="AA6">
        <v>3</v>
      </c>
      <c r="AB6">
        <v>3</v>
      </c>
      <c r="AC6">
        <v>3</v>
      </c>
      <c r="AD6">
        <v>3</v>
      </c>
      <c r="AE6">
        <v>4</v>
      </c>
      <c r="AF6">
        <v>0.75</v>
      </c>
      <c r="AG6">
        <v>2021</v>
      </c>
      <c r="AH6" t="s">
        <v>64</v>
      </c>
      <c r="AI6">
        <v>5</v>
      </c>
      <c r="AJ6">
        <v>100</v>
      </c>
      <c r="AK6">
        <v>5</v>
      </c>
      <c r="AL6">
        <v>100</v>
      </c>
      <c r="AM6">
        <v>5</v>
      </c>
      <c r="AN6">
        <v>100</v>
      </c>
      <c r="AY6" t="s">
        <v>237</v>
      </c>
    </row>
    <row r="7" spans="1:52" x14ac:dyDescent="0.3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22</v>
      </c>
      <c r="Z7" t="s">
        <v>33</v>
      </c>
      <c r="AA7">
        <v>4</v>
      </c>
      <c r="AB7">
        <v>4</v>
      </c>
      <c r="AC7">
        <v>4</v>
      </c>
      <c r="AD7">
        <v>4</v>
      </c>
      <c r="AE7">
        <v>4</v>
      </c>
      <c r="AF7">
        <v>1</v>
      </c>
      <c r="AG7">
        <v>2021</v>
      </c>
      <c r="AH7" t="s">
        <v>61</v>
      </c>
      <c r="AI7">
        <v>15</v>
      </c>
      <c r="AJ7">
        <v>100</v>
      </c>
      <c r="AK7">
        <v>15</v>
      </c>
      <c r="AL7">
        <v>100</v>
      </c>
      <c r="AM7">
        <v>15</v>
      </c>
      <c r="AN7">
        <v>100</v>
      </c>
    </row>
    <row r="8" spans="1:52" x14ac:dyDescent="0.3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31</v>
      </c>
      <c r="Z8" t="s">
        <v>39</v>
      </c>
      <c r="AA8">
        <v>4</v>
      </c>
      <c r="AB8">
        <v>4</v>
      </c>
      <c r="AC8">
        <v>4</v>
      </c>
      <c r="AD8">
        <v>4</v>
      </c>
      <c r="AE8">
        <v>4</v>
      </c>
      <c r="AF8">
        <v>1</v>
      </c>
      <c r="AG8">
        <v>2021</v>
      </c>
      <c r="AH8" t="s">
        <v>62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</row>
    <row r="10" spans="1:52" x14ac:dyDescent="0.3">
      <c r="AF10" s="7" t="s">
        <v>235</v>
      </c>
      <c r="AX10" s="9" t="s">
        <v>71</v>
      </c>
      <c r="AY10" t="s">
        <v>238</v>
      </c>
    </row>
    <row r="11" spans="1:52" x14ac:dyDescent="0.3">
      <c r="AM11" s="7" t="s">
        <v>262</v>
      </c>
      <c r="AN11" s="7" t="s">
        <v>264</v>
      </c>
      <c r="AX11" s="6" t="s">
        <v>253</v>
      </c>
      <c r="AZ11" t="s">
        <v>239</v>
      </c>
    </row>
    <row r="12" spans="1:52" x14ac:dyDescent="0.3">
      <c r="AX12" t="s">
        <v>254</v>
      </c>
      <c r="AY12" t="s">
        <v>240</v>
      </c>
    </row>
    <row r="13" spans="1:52" x14ac:dyDescent="0.3">
      <c r="AX13" s="6" t="s">
        <v>255</v>
      </c>
      <c r="AY13" t="s">
        <v>241</v>
      </c>
    </row>
    <row r="14" spans="1:52" x14ac:dyDescent="0.3">
      <c r="AX14" t="s">
        <v>256</v>
      </c>
      <c r="AY14" t="s">
        <v>242</v>
      </c>
    </row>
    <row r="15" spans="1:52" x14ac:dyDescent="0.3">
      <c r="AC15" s="13"/>
    </row>
    <row r="17" spans="50:52" x14ac:dyDescent="0.3">
      <c r="AX17" s="14" t="s">
        <v>72</v>
      </c>
      <c r="AY17" t="s">
        <v>159</v>
      </c>
    </row>
    <row r="18" spans="50:52" x14ac:dyDescent="0.3">
      <c r="AX18" s="6" t="s">
        <v>257</v>
      </c>
      <c r="AY18" t="s">
        <v>246</v>
      </c>
    </row>
    <row r="19" spans="50:52" x14ac:dyDescent="0.3">
      <c r="AX19" s="7" t="s">
        <v>258</v>
      </c>
      <c r="AY19" t="s">
        <v>245</v>
      </c>
    </row>
    <row r="20" spans="50:52" x14ac:dyDescent="0.3">
      <c r="AX20" s="6" t="s">
        <v>259</v>
      </c>
      <c r="AY20" t="s">
        <v>244</v>
      </c>
    </row>
    <row r="21" spans="50:52" x14ac:dyDescent="0.3">
      <c r="AX21" s="7" t="s">
        <v>260</v>
      </c>
    </row>
    <row r="24" spans="50:52" x14ac:dyDescent="0.3">
      <c r="AX24" s="15" t="s">
        <v>73</v>
      </c>
      <c r="AY24" t="s">
        <v>159</v>
      </c>
    </row>
    <row r="25" spans="50:52" x14ac:dyDescent="0.3">
      <c r="AX25" s="6" t="s">
        <v>257</v>
      </c>
      <c r="AY25" t="s">
        <v>243</v>
      </c>
    </row>
    <row r="26" spans="50:52" x14ac:dyDescent="0.3">
      <c r="AX26" s="7" t="s">
        <v>263</v>
      </c>
      <c r="AY26" t="s">
        <v>161</v>
      </c>
    </row>
    <row r="27" spans="50:52" x14ac:dyDescent="0.3">
      <c r="AX27" s="6" t="s">
        <v>259</v>
      </c>
      <c r="AZ27" t="s">
        <v>247</v>
      </c>
    </row>
    <row r="28" spans="50:52" x14ac:dyDescent="0.3">
      <c r="AX28" s="7" t="s">
        <v>260</v>
      </c>
      <c r="AZ28" t="s">
        <v>159</v>
      </c>
    </row>
    <row r="29" spans="50:52" x14ac:dyDescent="0.3">
      <c r="AZ29" t="s">
        <v>243</v>
      </c>
    </row>
    <row r="30" spans="50:52" x14ac:dyDescent="0.3">
      <c r="AZ30" t="s">
        <v>248</v>
      </c>
    </row>
    <row r="31" spans="50:52" x14ac:dyDescent="0.3">
      <c r="AZ31" t="s">
        <v>249</v>
      </c>
    </row>
    <row r="32" spans="50:52" x14ac:dyDescent="0.3">
      <c r="AY32" t="s">
        <v>245</v>
      </c>
    </row>
    <row r="33" spans="11:51" x14ac:dyDescent="0.3">
      <c r="AY33" t="s">
        <v>250</v>
      </c>
    </row>
    <row r="41" spans="11:51" x14ac:dyDescent="0.3">
      <c r="K41" s="1"/>
    </row>
    <row r="42" spans="11:51" x14ac:dyDescent="0.3">
      <c r="K42" s="1"/>
    </row>
    <row r="43" spans="11:51" x14ac:dyDescent="0.3">
      <c r="K43" s="1"/>
    </row>
    <row r="44" spans="11:51" x14ac:dyDescent="0.3">
      <c r="K44" s="1"/>
    </row>
    <row r="45" spans="11:51" x14ac:dyDescent="0.3">
      <c r="K45" s="1"/>
    </row>
    <row r="46" spans="11:51" x14ac:dyDescent="0.3">
      <c r="K46" s="1"/>
    </row>
    <row r="47" spans="11:51" x14ac:dyDescent="0.3">
      <c r="K47" s="1"/>
    </row>
    <row r="48" spans="11:51" x14ac:dyDescent="0.3">
      <c r="K48" s="1"/>
    </row>
    <row r="49" spans="11:11" x14ac:dyDescent="0.3">
      <c r="K49" s="1"/>
    </row>
    <row r="50" spans="11:11" x14ac:dyDescent="0.3">
      <c r="K50" s="1"/>
    </row>
    <row r="51" spans="11:11" x14ac:dyDescent="0.3">
      <c r="K51" s="1"/>
    </row>
    <row r="52" spans="11:11" x14ac:dyDescent="0.3">
      <c r="K52" s="1"/>
    </row>
    <row r="53" spans="11:11" x14ac:dyDescent="0.3">
      <c r="K53" s="1"/>
    </row>
    <row r="54" spans="11:11" x14ac:dyDescent="0.3">
      <c r="K54" s="1"/>
    </row>
    <row r="55" spans="11:11" x14ac:dyDescent="0.3">
      <c r="K55" s="1"/>
    </row>
    <row r="56" spans="11:11" x14ac:dyDescent="0.3">
      <c r="K56" s="1"/>
    </row>
    <row r="57" spans="11:11" x14ac:dyDescent="0.3">
      <c r="K57" s="1"/>
    </row>
    <row r="58" spans="11:11" x14ac:dyDescent="0.3">
      <c r="K58" s="1"/>
    </row>
    <row r="59" spans="11:11" x14ac:dyDescent="0.3">
      <c r="K59" s="1"/>
    </row>
  </sheetData>
  <sortState xmlns:xlrd2="http://schemas.microsoft.com/office/spreadsheetml/2017/richdata2" ref="B41:AN59">
    <sortCondition ref="Z41:Z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208-58A4-4693-96FA-1557AA01D152}">
  <dimension ref="A1:BB65"/>
  <sheetViews>
    <sheetView topLeftCell="A38" zoomScale="70" zoomScaleNormal="70" workbookViewId="0">
      <pane xSplit="1" topLeftCell="AL1" activePane="topRight" state="frozen"/>
      <selection pane="topRight" activeCell="AX55" sqref="AX55"/>
    </sheetView>
  </sheetViews>
  <sheetFormatPr defaultRowHeight="14" x14ac:dyDescent="0.3"/>
  <cols>
    <col min="8" max="8" width="13.25" customWidth="1"/>
    <col min="27" max="30" width="9" customWidth="1"/>
    <col min="31" max="31" width="18.83203125" bestFit="1" customWidth="1"/>
    <col min="32" max="32" width="9.75" bestFit="1" customWidth="1"/>
    <col min="33" max="33" width="9" customWidth="1"/>
    <col min="34" max="34" width="14" bestFit="1" customWidth="1"/>
    <col min="35" max="35" width="13.08203125" bestFit="1" customWidth="1"/>
    <col min="36" max="36" width="17.33203125" bestFit="1" customWidth="1"/>
    <col min="37" max="37" width="10.5" bestFit="1" customWidth="1"/>
    <col min="38" max="38" width="14.75" bestFit="1" customWidth="1"/>
    <col min="39" max="39" width="17.9140625" bestFit="1" customWidth="1"/>
    <col min="40" max="40" width="22.08203125" bestFit="1" customWidth="1"/>
    <col min="41" max="41" width="14" bestFit="1" customWidth="1"/>
    <col min="42" max="42" width="10" customWidth="1"/>
    <col min="43" max="43" width="10.58203125" bestFit="1" customWidth="1"/>
    <col min="46" max="46" width="34.5" customWidth="1"/>
  </cols>
  <sheetData>
    <row r="1" spans="1:46" x14ac:dyDescent="0.3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8" t="s">
        <v>24</v>
      </c>
      <c r="AB1" s="8" t="s">
        <v>25</v>
      </c>
      <c r="AC1" s="8" t="s">
        <v>42</v>
      </c>
      <c r="AD1" s="8" t="s">
        <v>43</v>
      </c>
      <c r="AE1" s="8" t="s">
        <v>44</v>
      </c>
      <c r="AF1" s="8" t="s">
        <v>65</v>
      </c>
      <c r="AG1" s="8" t="s">
        <v>66</v>
      </c>
      <c r="AH1" s="8" t="s">
        <v>67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2" t="s">
        <v>74</v>
      </c>
      <c r="AP1" s="15" t="s">
        <v>75</v>
      </c>
      <c r="AQ1" s="14" t="s">
        <v>76</v>
      </c>
      <c r="AT1" t="s">
        <v>265</v>
      </c>
    </row>
    <row r="2" spans="1:46" x14ac:dyDescent="0.3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s="6" t="s">
        <v>31</v>
      </c>
      <c r="R2" s="6" t="s">
        <v>31</v>
      </c>
      <c r="S2" s="6" t="s">
        <v>32</v>
      </c>
      <c r="T2" s="6" t="s">
        <v>31</v>
      </c>
      <c r="U2" s="6" t="s">
        <v>31</v>
      </c>
      <c r="V2" s="6" t="s">
        <v>31</v>
      </c>
      <c r="W2" s="6" t="s">
        <v>31</v>
      </c>
      <c r="X2" s="6" t="s">
        <v>31</v>
      </c>
      <c r="Y2" s="6">
        <v>24</v>
      </c>
      <c r="Z2" s="6" t="s">
        <v>35</v>
      </c>
      <c r="AA2" s="6">
        <v>3</v>
      </c>
      <c r="AB2" s="6">
        <v>3</v>
      </c>
      <c r="AC2" s="6">
        <v>3</v>
      </c>
      <c r="AD2" s="6">
        <v>3</v>
      </c>
      <c r="AE2" s="6">
        <v>4</v>
      </c>
      <c r="AF2" s="6">
        <v>0.75</v>
      </c>
      <c r="AG2" s="6">
        <v>2021</v>
      </c>
      <c r="AH2" s="6" t="s">
        <v>63</v>
      </c>
      <c r="AI2" s="6">
        <v>30</v>
      </c>
      <c r="AJ2" s="6">
        <v>100</v>
      </c>
      <c r="AK2" s="6">
        <v>30</v>
      </c>
      <c r="AL2" s="6">
        <v>100</v>
      </c>
      <c r="AM2" s="6">
        <v>30</v>
      </c>
      <c r="AN2" s="6">
        <v>100</v>
      </c>
      <c r="AO2" s="6">
        <v>22.5</v>
      </c>
      <c r="AP2" s="6">
        <v>30</v>
      </c>
      <c r="AQ2" s="6">
        <v>100</v>
      </c>
      <c r="AT2" s="8" t="s">
        <v>24</v>
      </c>
    </row>
    <row r="3" spans="1:46" x14ac:dyDescent="0.3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25</v>
      </c>
      <c r="Z3" t="s">
        <v>36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64</v>
      </c>
      <c r="AI3">
        <v>5</v>
      </c>
      <c r="AJ3">
        <v>100</v>
      </c>
      <c r="AK3">
        <v>5</v>
      </c>
      <c r="AL3">
        <v>100</v>
      </c>
      <c r="AM3">
        <v>5</v>
      </c>
      <c r="AN3">
        <v>100</v>
      </c>
      <c r="AO3">
        <v>5</v>
      </c>
      <c r="AP3">
        <v>5</v>
      </c>
      <c r="AQ3">
        <v>100</v>
      </c>
      <c r="AT3" s="8" t="s">
        <v>25</v>
      </c>
    </row>
    <row r="4" spans="1:46" x14ac:dyDescent="0.3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30</v>
      </c>
      <c r="Z4" t="s">
        <v>38</v>
      </c>
      <c r="AA4">
        <v>4</v>
      </c>
      <c r="AB4">
        <v>4</v>
      </c>
      <c r="AC4">
        <v>4</v>
      </c>
      <c r="AD4">
        <v>4</v>
      </c>
      <c r="AE4">
        <v>4</v>
      </c>
      <c r="AF4">
        <v>1</v>
      </c>
      <c r="AG4">
        <v>2021</v>
      </c>
      <c r="AH4" t="s">
        <v>62</v>
      </c>
      <c r="AI4">
        <v>15</v>
      </c>
      <c r="AJ4">
        <v>100</v>
      </c>
      <c r="AK4">
        <v>15</v>
      </c>
      <c r="AL4">
        <v>100</v>
      </c>
      <c r="AM4">
        <v>15</v>
      </c>
      <c r="AN4">
        <v>100</v>
      </c>
      <c r="AO4">
        <v>15</v>
      </c>
      <c r="AP4">
        <v>15</v>
      </c>
      <c r="AQ4">
        <v>100</v>
      </c>
      <c r="AT4" s="8" t="s">
        <v>42</v>
      </c>
    </row>
    <row r="5" spans="1:46" x14ac:dyDescent="0.3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23</v>
      </c>
      <c r="Z5" t="s">
        <v>34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61</v>
      </c>
      <c r="AI5">
        <v>15</v>
      </c>
      <c r="AJ5">
        <v>100</v>
      </c>
      <c r="AK5">
        <v>15</v>
      </c>
      <c r="AL5">
        <v>100</v>
      </c>
      <c r="AM5">
        <v>15</v>
      </c>
      <c r="AN5">
        <v>100</v>
      </c>
      <c r="AO5">
        <v>11.25</v>
      </c>
      <c r="AP5">
        <v>15</v>
      </c>
      <c r="AQ5">
        <v>100</v>
      </c>
      <c r="AT5" s="8" t="s">
        <v>43</v>
      </c>
    </row>
    <row r="6" spans="1:46" x14ac:dyDescent="0.3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31</v>
      </c>
      <c r="Z6" t="s">
        <v>39</v>
      </c>
      <c r="AA6">
        <v>4</v>
      </c>
      <c r="AB6">
        <v>4</v>
      </c>
      <c r="AC6">
        <v>4</v>
      </c>
      <c r="AD6">
        <v>4</v>
      </c>
      <c r="AE6">
        <v>4</v>
      </c>
      <c r="AF6">
        <v>1</v>
      </c>
      <c r="AG6">
        <v>2021</v>
      </c>
      <c r="AH6" t="s">
        <v>62</v>
      </c>
      <c r="AI6">
        <v>15</v>
      </c>
      <c r="AJ6">
        <v>100</v>
      </c>
      <c r="AK6">
        <v>15</v>
      </c>
      <c r="AL6">
        <v>100</v>
      </c>
      <c r="AM6">
        <v>15</v>
      </c>
      <c r="AN6">
        <v>100</v>
      </c>
      <c r="AO6">
        <v>15</v>
      </c>
      <c r="AP6">
        <v>15</v>
      </c>
      <c r="AQ6">
        <v>100</v>
      </c>
      <c r="AT6" s="8" t="s">
        <v>44</v>
      </c>
    </row>
    <row r="7" spans="1:46" x14ac:dyDescent="0.3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26</v>
      </c>
      <c r="Z7" t="s">
        <v>37</v>
      </c>
      <c r="AA7">
        <v>3</v>
      </c>
      <c r="AB7">
        <v>3</v>
      </c>
      <c r="AC7">
        <v>3</v>
      </c>
      <c r="AD7">
        <v>3</v>
      </c>
      <c r="AE7">
        <v>4</v>
      </c>
      <c r="AF7">
        <v>0.75</v>
      </c>
      <c r="AG7">
        <v>2021</v>
      </c>
      <c r="AH7" t="s">
        <v>64</v>
      </c>
      <c r="AI7">
        <v>5</v>
      </c>
      <c r="AJ7">
        <v>100</v>
      </c>
      <c r="AK7">
        <v>5</v>
      </c>
      <c r="AL7">
        <v>100</v>
      </c>
      <c r="AM7">
        <v>5</v>
      </c>
      <c r="AN7">
        <v>100</v>
      </c>
      <c r="AO7">
        <v>3.75</v>
      </c>
      <c r="AP7">
        <v>5</v>
      </c>
      <c r="AQ7">
        <v>100</v>
      </c>
      <c r="AT7" s="8" t="s">
        <v>65</v>
      </c>
    </row>
    <row r="8" spans="1:46" x14ac:dyDescent="0.3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22</v>
      </c>
      <c r="Z8" t="s">
        <v>33</v>
      </c>
      <c r="AA8">
        <v>4</v>
      </c>
      <c r="AB8">
        <v>4</v>
      </c>
      <c r="AC8">
        <v>4</v>
      </c>
      <c r="AD8">
        <v>4</v>
      </c>
      <c r="AE8">
        <v>4</v>
      </c>
      <c r="AF8">
        <v>1</v>
      </c>
      <c r="AG8">
        <v>2021</v>
      </c>
      <c r="AH8" t="s">
        <v>61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  <c r="AO8">
        <v>15</v>
      </c>
      <c r="AP8">
        <v>15</v>
      </c>
      <c r="AQ8">
        <v>100</v>
      </c>
      <c r="AT8" s="8" t="s">
        <v>66</v>
      </c>
    </row>
    <row r="9" spans="1:46" x14ac:dyDescent="0.3">
      <c r="AT9" s="8" t="s">
        <v>67</v>
      </c>
    </row>
    <row r="10" spans="1:46" x14ac:dyDescent="0.3">
      <c r="AO10" s="7" t="s">
        <v>267</v>
      </c>
      <c r="AP10" s="7" t="s">
        <v>276</v>
      </c>
      <c r="AT10" s="8" t="s">
        <v>68</v>
      </c>
    </row>
    <row r="11" spans="1:46" x14ac:dyDescent="0.3">
      <c r="AO11" s="7" t="s">
        <v>270</v>
      </c>
      <c r="AT11" s="8" t="s">
        <v>69</v>
      </c>
    </row>
    <row r="12" spans="1:46" x14ac:dyDescent="0.3">
      <c r="AT12" s="8" t="s">
        <v>70</v>
      </c>
    </row>
    <row r="13" spans="1:46" x14ac:dyDescent="0.3">
      <c r="AT13" s="8" t="s">
        <v>71</v>
      </c>
    </row>
    <row r="14" spans="1:46" x14ac:dyDescent="0.3">
      <c r="AT14" s="8" t="s">
        <v>72</v>
      </c>
    </row>
    <row r="15" spans="1:46" x14ac:dyDescent="0.3">
      <c r="AT15" s="8" t="s">
        <v>73</v>
      </c>
    </row>
    <row r="19" spans="2:54" x14ac:dyDescent="0.3">
      <c r="AT19" s="2" t="s">
        <v>74</v>
      </c>
      <c r="AU19" t="s">
        <v>266</v>
      </c>
    </row>
    <row r="20" spans="2:54" x14ac:dyDescent="0.3">
      <c r="AT20" s="6" t="s">
        <v>271</v>
      </c>
      <c r="AU20" s="7" t="s">
        <v>268</v>
      </c>
      <c r="BB20" t="s">
        <v>159</v>
      </c>
    </row>
    <row r="21" spans="2:54" x14ac:dyDescent="0.3">
      <c r="BB21" t="s">
        <v>246</v>
      </c>
    </row>
    <row r="22" spans="2:54" x14ac:dyDescent="0.3">
      <c r="BB22" t="s">
        <v>245</v>
      </c>
    </row>
    <row r="23" spans="2:54" x14ac:dyDescent="0.3">
      <c r="BB23" t="s">
        <v>244</v>
      </c>
    </row>
    <row r="24" spans="2:54" x14ac:dyDescent="0.3">
      <c r="AU24" s="7" t="s">
        <v>269</v>
      </c>
    </row>
    <row r="27" spans="2:54" x14ac:dyDescent="0.3">
      <c r="AT27" s="15" t="s">
        <v>75</v>
      </c>
      <c r="AU27" t="s">
        <v>275</v>
      </c>
    </row>
    <row r="29" spans="2:54" x14ac:dyDescent="0.3">
      <c r="B29" t="s">
        <v>2</v>
      </c>
      <c r="C29" t="s">
        <v>0</v>
      </c>
      <c r="D29" t="s">
        <v>1</v>
      </c>
      <c r="E29" t="s">
        <v>41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t="s">
        <v>13</v>
      </c>
      <c r="Q29" t="s">
        <v>14</v>
      </c>
      <c r="R29" t="s">
        <v>15</v>
      </c>
      <c r="S29" t="s">
        <v>16</v>
      </c>
      <c r="T29" t="s">
        <v>17</v>
      </c>
      <c r="U29" t="s">
        <v>18</v>
      </c>
      <c r="V29" t="s">
        <v>19</v>
      </c>
      <c r="W29" t="s">
        <v>20</v>
      </c>
      <c r="X29" t="s">
        <v>21</v>
      </c>
      <c r="Y29" t="s">
        <v>22</v>
      </c>
      <c r="Z29" t="s">
        <v>23</v>
      </c>
      <c r="AA29" t="s">
        <v>24</v>
      </c>
      <c r="AB29" t="s">
        <v>25</v>
      </c>
      <c r="AC29" t="s">
        <v>42</v>
      </c>
      <c r="AD29" t="s">
        <v>43</v>
      </c>
      <c r="AE29" t="s">
        <v>44</v>
      </c>
      <c r="AF29" t="s">
        <v>65</v>
      </c>
      <c r="AG29" t="s">
        <v>66</v>
      </c>
      <c r="AH29" t="s">
        <v>67</v>
      </c>
      <c r="AI29" t="s">
        <v>68</v>
      </c>
      <c r="AJ29" t="s">
        <v>69</v>
      </c>
      <c r="AK29" t="s">
        <v>70</v>
      </c>
      <c r="AL29" t="s">
        <v>71</v>
      </c>
      <c r="AM29" t="s">
        <v>72</v>
      </c>
      <c r="AN29" t="s">
        <v>73</v>
      </c>
      <c r="AO29" t="s">
        <v>74</v>
      </c>
      <c r="AP29" t="s">
        <v>75</v>
      </c>
      <c r="AQ29" t="s">
        <v>76</v>
      </c>
    </row>
    <row r="30" spans="2:54" x14ac:dyDescent="0.3">
      <c r="B30" t="s">
        <v>351</v>
      </c>
      <c r="C30" t="s">
        <v>352</v>
      </c>
      <c r="E30" t="s">
        <v>352</v>
      </c>
      <c r="F30">
        <v>2022</v>
      </c>
      <c r="G30">
        <v>1</v>
      </c>
      <c r="H30" t="s">
        <v>353</v>
      </c>
      <c r="I30">
        <v>1701</v>
      </c>
      <c r="J30">
        <v>1702</v>
      </c>
      <c r="K30" s="1">
        <v>44743.738877314812</v>
      </c>
      <c r="L30" t="s">
        <v>354</v>
      </c>
      <c r="M30" t="s">
        <v>355</v>
      </c>
      <c r="P30" t="s">
        <v>356</v>
      </c>
      <c r="Q30" t="s">
        <v>357</v>
      </c>
      <c r="R30" t="s">
        <v>355</v>
      </c>
      <c r="S30" t="s">
        <v>358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>
        <v>47</v>
      </c>
      <c r="Z30" t="s">
        <v>359</v>
      </c>
      <c r="AA30" t="s">
        <v>31</v>
      </c>
      <c r="AB30" t="s">
        <v>31</v>
      </c>
      <c r="AC30" t="s">
        <v>31</v>
      </c>
      <c r="AD30" t="s">
        <v>31</v>
      </c>
      <c r="AE30">
        <v>4</v>
      </c>
      <c r="AF30" t="s">
        <v>31</v>
      </c>
      <c r="AG30">
        <v>2022</v>
      </c>
      <c r="AH30" t="s">
        <v>63</v>
      </c>
      <c r="AI30">
        <v>20</v>
      </c>
      <c r="AJ30">
        <v>100</v>
      </c>
      <c r="AK30">
        <v>3.3332999999999999</v>
      </c>
      <c r="AL30">
        <v>100</v>
      </c>
      <c r="AM30" t="s">
        <v>31</v>
      </c>
      <c r="AN30" t="s">
        <v>31</v>
      </c>
      <c r="AO30" t="s">
        <v>31</v>
      </c>
      <c r="AP30" t="s">
        <v>31</v>
      </c>
      <c r="AQ30" t="s">
        <v>31</v>
      </c>
    </row>
    <row r="31" spans="2:54" x14ac:dyDescent="0.3">
      <c r="B31" t="s">
        <v>351</v>
      </c>
      <c r="C31" t="s">
        <v>352</v>
      </c>
      <c r="E31" t="s">
        <v>352</v>
      </c>
      <c r="F31">
        <v>2022</v>
      </c>
      <c r="G31">
        <v>1</v>
      </c>
      <c r="H31" t="s">
        <v>353</v>
      </c>
      <c r="I31">
        <v>1701</v>
      </c>
      <c r="J31">
        <v>1702</v>
      </c>
      <c r="K31" s="1">
        <v>44743.738877314812</v>
      </c>
      <c r="L31" t="s">
        <v>354</v>
      </c>
      <c r="M31" t="s">
        <v>355</v>
      </c>
      <c r="P31" t="s">
        <v>356</v>
      </c>
      <c r="Q31" t="s">
        <v>357</v>
      </c>
      <c r="R31" t="s">
        <v>355</v>
      </c>
      <c r="S31" t="s">
        <v>358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35</v>
      </c>
      <c r="Z31" t="s">
        <v>360</v>
      </c>
      <c r="AA31" t="s">
        <v>31</v>
      </c>
      <c r="AB31" t="s">
        <v>31</v>
      </c>
      <c r="AC31" t="s">
        <v>31</v>
      </c>
      <c r="AD31" t="s">
        <v>31</v>
      </c>
      <c r="AE31">
        <v>4</v>
      </c>
      <c r="AF31" t="s">
        <v>31</v>
      </c>
      <c r="AG31">
        <v>2022</v>
      </c>
      <c r="AH31" t="s">
        <v>64</v>
      </c>
      <c r="AI31">
        <v>15</v>
      </c>
      <c r="AJ31">
        <v>100</v>
      </c>
      <c r="AK31">
        <v>1.5</v>
      </c>
      <c r="AL31">
        <v>100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</row>
    <row r="32" spans="2:54" x14ac:dyDescent="0.3">
      <c r="B32" t="s">
        <v>351</v>
      </c>
      <c r="C32" t="s">
        <v>352</v>
      </c>
      <c r="E32" t="s">
        <v>352</v>
      </c>
      <c r="F32">
        <v>2022</v>
      </c>
      <c r="G32">
        <v>1</v>
      </c>
      <c r="H32" t="s">
        <v>353</v>
      </c>
      <c r="I32">
        <v>1701</v>
      </c>
      <c r="J32">
        <v>1702</v>
      </c>
      <c r="K32" s="1">
        <v>44743.738877314812</v>
      </c>
      <c r="L32" t="s">
        <v>354</v>
      </c>
      <c r="M32" t="s">
        <v>355</v>
      </c>
      <c r="P32" t="s">
        <v>356</v>
      </c>
      <c r="Q32" t="s">
        <v>357</v>
      </c>
      <c r="R32" t="s">
        <v>355</v>
      </c>
      <c r="S32" t="s">
        <v>358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33</v>
      </c>
      <c r="Z32" t="s">
        <v>361</v>
      </c>
      <c r="AA32" t="s">
        <v>31</v>
      </c>
      <c r="AB32" t="s">
        <v>31</v>
      </c>
      <c r="AC32" t="s">
        <v>31</v>
      </c>
      <c r="AD32" t="s">
        <v>31</v>
      </c>
      <c r="AE32">
        <v>4</v>
      </c>
      <c r="AF32" t="s">
        <v>31</v>
      </c>
      <c r="AG32">
        <v>2022</v>
      </c>
      <c r="AH32" t="s">
        <v>62</v>
      </c>
      <c r="AI32">
        <v>20</v>
      </c>
      <c r="AJ32">
        <v>100</v>
      </c>
      <c r="AK32">
        <v>10</v>
      </c>
      <c r="AL32">
        <v>100</v>
      </c>
      <c r="AM32" t="s">
        <v>31</v>
      </c>
      <c r="AN32" t="s">
        <v>31</v>
      </c>
      <c r="AO32" t="s">
        <v>31</v>
      </c>
      <c r="AP32" t="s">
        <v>31</v>
      </c>
      <c r="AQ32" t="s">
        <v>31</v>
      </c>
      <c r="AT32" s="14" t="s">
        <v>76</v>
      </c>
      <c r="AU32" t="s">
        <v>272</v>
      </c>
    </row>
    <row r="33" spans="2:47" x14ac:dyDescent="0.3">
      <c r="B33" t="s">
        <v>351</v>
      </c>
      <c r="C33" t="s">
        <v>352</v>
      </c>
      <c r="E33" t="s">
        <v>352</v>
      </c>
      <c r="F33">
        <v>2022</v>
      </c>
      <c r="G33">
        <v>1</v>
      </c>
      <c r="H33" t="s">
        <v>353</v>
      </c>
      <c r="I33">
        <v>1701</v>
      </c>
      <c r="J33">
        <v>1702</v>
      </c>
      <c r="K33" s="1">
        <v>44743.738877314812</v>
      </c>
      <c r="L33" t="s">
        <v>354</v>
      </c>
      <c r="M33" t="s">
        <v>355</v>
      </c>
      <c r="P33" t="s">
        <v>356</v>
      </c>
      <c r="Q33" t="s">
        <v>357</v>
      </c>
      <c r="R33" t="s">
        <v>355</v>
      </c>
      <c r="S33" t="s">
        <v>358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34</v>
      </c>
      <c r="Z33" t="s">
        <v>362</v>
      </c>
      <c r="AA33" t="s">
        <v>31</v>
      </c>
      <c r="AB33" t="s">
        <v>31</v>
      </c>
      <c r="AC33" t="s">
        <v>31</v>
      </c>
      <c r="AD33" t="s">
        <v>31</v>
      </c>
      <c r="AE33">
        <v>4</v>
      </c>
      <c r="AF33" t="s">
        <v>31</v>
      </c>
      <c r="AG33">
        <v>2022</v>
      </c>
      <c r="AH33" t="s">
        <v>64</v>
      </c>
      <c r="AI33">
        <v>15</v>
      </c>
      <c r="AJ33">
        <v>100</v>
      </c>
      <c r="AK33">
        <v>1.5</v>
      </c>
      <c r="AL33">
        <v>100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  <c r="AU33" t="s">
        <v>273</v>
      </c>
    </row>
    <row r="34" spans="2:47" x14ac:dyDescent="0.3">
      <c r="B34" t="s">
        <v>351</v>
      </c>
      <c r="C34" t="s">
        <v>352</v>
      </c>
      <c r="E34" t="s">
        <v>352</v>
      </c>
      <c r="F34">
        <v>2022</v>
      </c>
      <c r="G34">
        <v>1</v>
      </c>
      <c r="H34" t="s">
        <v>353</v>
      </c>
      <c r="I34">
        <v>1701</v>
      </c>
      <c r="J34">
        <v>1702</v>
      </c>
      <c r="K34" s="1">
        <v>44743.738877314812</v>
      </c>
      <c r="L34" t="s">
        <v>354</v>
      </c>
      <c r="M34" t="s">
        <v>355</v>
      </c>
      <c r="P34" t="s">
        <v>356</v>
      </c>
      <c r="Q34" t="s">
        <v>357</v>
      </c>
      <c r="R34" t="s">
        <v>355</v>
      </c>
      <c r="S34" t="s">
        <v>358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23</v>
      </c>
      <c r="Z34" t="s">
        <v>363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1</v>
      </c>
      <c r="AG34">
        <v>2022</v>
      </c>
      <c r="AH34" t="s">
        <v>61</v>
      </c>
      <c r="AI34">
        <v>30</v>
      </c>
      <c r="AJ34">
        <v>100</v>
      </c>
      <c r="AK34">
        <v>10</v>
      </c>
      <c r="AL34">
        <v>100</v>
      </c>
      <c r="AM34">
        <v>10</v>
      </c>
      <c r="AN34">
        <v>10</v>
      </c>
      <c r="AO34">
        <v>10</v>
      </c>
      <c r="AP34">
        <v>10</v>
      </c>
      <c r="AQ34">
        <v>10</v>
      </c>
      <c r="AU34" t="s">
        <v>274</v>
      </c>
    </row>
    <row r="35" spans="2:47" x14ac:dyDescent="0.3">
      <c r="B35" t="s">
        <v>351</v>
      </c>
      <c r="C35" t="s">
        <v>352</v>
      </c>
      <c r="E35" t="s">
        <v>352</v>
      </c>
      <c r="F35">
        <v>2022</v>
      </c>
      <c r="G35">
        <v>1</v>
      </c>
      <c r="H35" t="s">
        <v>353</v>
      </c>
      <c r="I35">
        <v>1701</v>
      </c>
      <c r="J35">
        <v>1702</v>
      </c>
      <c r="K35" s="1">
        <v>44743.738877314812</v>
      </c>
      <c r="L35" t="s">
        <v>354</v>
      </c>
      <c r="M35" t="s">
        <v>355</v>
      </c>
      <c r="P35" t="s">
        <v>356</v>
      </c>
      <c r="Q35" t="s">
        <v>357</v>
      </c>
      <c r="R35" t="s">
        <v>355</v>
      </c>
      <c r="S35" t="s">
        <v>358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>
        <v>40</v>
      </c>
      <c r="Z35" t="s">
        <v>31</v>
      </c>
      <c r="AA35">
        <v>4</v>
      </c>
      <c r="AB35">
        <v>4</v>
      </c>
      <c r="AC35">
        <v>4</v>
      </c>
      <c r="AD35">
        <v>4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>
        <v>100</v>
      </c>
      <c r="AK35" t="s">
        <v>31</v>
      </c>
      <c r="AL35">
        <v>100</v>
      </c>
      <c r="AM35" t="s">
        <v>31</v>
      </c>
      <c r="AN35">
        <v>10</v>
      </c>
      <c r="AO35" t="s">
        <v>31</v>
      </c>
      <c r="AP35" t="s">
        <v>31</v>
      </c>
      <c r="AQ35" t="s">
        <v>31</v>
      </c>
    </row>
    <row r="36" spans="2:47" x14ac:dyDescent="0.3">
      <c r="B36" t="s">
        <v>351</v>
      </c>
      <c r="C36" t="s">
        <v>352</v>
      </c>
      <c r="E36" t="s">
        <v>352</v>
      </c>
      <c r="F36">
        <v>2022</v>
      </c>
      <c r="G36">
        <v>1</v>
      </c>
      <c r="H36" t="s">
        <v>353</v>
      </c>
      <c r="I36">
        <v>1701</v>
      </c>
      <c r="J36">
        <v>1702</v>
      </c>
      <c r="K36" s="1">
        <v>44743.738877314812</v>
      </c>
      <c r="L36" t="s">
        <v>354</v>
      </c>
      <c r="M36" t="s">
        <v>355</v>
      </c>
      <c r="P36" t="s">
        <v>356</v>
      </c>
      <c r="Q36" t="s">
        <v>357</v>
      </c>
      <c r="R36" t="s">
        <v>355</v>
      </c>
      <c r="S36" t="s">
        <v>358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24</v>
      </c>
      <c r="Z36" t="s">
        <v>31</v>
      </c>
      <c r="AA36">
        <v>4</v>
      </c>
      <c r="AB36">
        <v>4</v>
      </c>
      <c r="AC36">
        <v>4</v>
      </c>
      <c r="AD36">
        <v>4</v>
      </c>
      <c r="AE36" t="s">
        <v>31</v>
      </c>
      <c r="AF36" t="s">
        <v>31</v>
      </c>
      <c r="AG36" t="s">
        <v>31</v>
      </c>
      <c r="AH36" t="s">
        <v>31</v>
      </c>
      <c r="AI36" t="s">
        <v>31</v>
      </c>
      <c r="AJ36">
        <v>100</v>
      </c>
      <c r="AK36" t="s">
        <v>31</v>
      </c>
      <c r="AL36">
        <v>100</v>
      </c>
      <c r="AM36" t="s">
        <v>31</v>
      </c>
      <c r="AN36">
        <v>10</v>
      </c>
      <c r="AO36" t="s">
        <v>31</v>
      </c>
      <c r="AP36" t="s">
        <v>31</v>
      </c>
      <c r="AQ36" t="s">
        <v>31</v>
      </c>
    </row>
    <row r="37" spans="2:47" x14ac:dyDescent="0.3">
      <c r="B37" t="s">
        <v>351</v>
      </c>
      <c r="C37" t="s">
        <v>352</v>
      </c>
      <c r="E37" t="s">
        <v>352</v>
      </c>
      <c r="F37">
        <v>2022</v>
      </c>
      <c r="G37">
        <v>1</v>
      </c>
      <c r="H37" t="s">
        <v>353</v>
      </c>
      <c r="I37">
        <v>1701</v>
      </c>
      <c r="J37">
        <v>1702</v>
      </c>
      <c r="K37" s="1">
        <v>44743.738877314812</v>
      </c>
      <c r="L37" t="s">
        <v>354</v>
      </c>
      <c r="M37" t="s">
        <v>355</v>
      </c>
      <c r="P37" t="s">
        <v>356</v>
      </c>
      <c r="Q37" t="s">
        <v>357</v>
      </c>
      <c r="R37" t="s">
        <v>355</v>
      </c>
      <c r="S37" t="s">
        <v>358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27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>
        <v>100</v>
      </c>
      <c r="AK37" t="s">
        <v>31</v>
      </c>
      <c r="AL37">
        <v>100</v>
      </c>
      <c r="AM37" t="s">
        <v>31</v>
      </c>
      <c r="AN37" t="s">
        <v>31</v>
      </c>
      <c r="AO37" t="s">
        <v>31</v>
      </c>
      <c r="AP37" t="s">
        <v>31</v>
      </c>
      <c r="AQ37" t="s">
        <v>31</v>
      </c>
    </row>
    <row r="38" spans="2:47" x14ac:dyDescent="0.3">
      <c r="B38" t="s">
        <v>351</v>
      </c>
      <c r="C38" t="s">
        <v>352</v>
      </c>
      <c r="E38" t="s">
        <v>352</v>
      </c>
      <c r="F38">
        <v>2022</v>
      </c>
      <c r="G38">
        <v>1</v>
      </c>
      <c r="H38" t="s">
        <v>353</v>
      </c>
      <c r="I38">
        <v>1701</v>
      </c>
      <c r="J38">
        <v>1702</v>
      </c>
      <c r="K38" s="1">
        <v>44743.738877314812</v>
      </c>
      <c r="L38" t="s">
        <v>354</v>
      </c>
      <c r="M38" t="s">
        <v>355</v>
      </c>
      <c r="P38" t="s">
        <v>356</v>
      </c>
      <c r="Q38" t="s">
        <v>357</v>
      </c>
      <c r="R38" t="s">
        <v>355</v>
      </c>
      <c r="S38" t="s">
        <v>358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>
        <v>29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  <c r="AE38" t="s">
        <v>31</v>
      </c>
      <c r="AF38" t="s">
        <v>31</v>
      </c>
      <c r="AG38" t="s">
        <v>31</v>
      </c>
      <c r="AH38" t="s">
        <v>31</v>
      </c>
      <c r="AI38" t="s">
        <v>31</v>
      </c>
      <c r="AJ38">
        <v>100</v>
      </c>
      <c r="AK38" t="s">
        <v>31</v>
      </c>
      <c r="AL38">
        <v>100</v>
      </c>
      <c r="AM38" t="s">
        <v>31</v>
      </c>
      <c r="AN38" t="s">
        <v>31</v>
      </c>
      <c r="AO38" t="s">
        <v>31</v>
      </c>
      <c r="AP38" t="s">
        <v>31</v>
      </c>
      <c r="AQ38" t="s">
        <v>31</v>
      </c>
    </row>
    <row r="39" spans="2:47" x14ac:dyDescent="0.3">
      <c r="B39" t="s">
        <v>351</v>
      </c>
      <c r="C39" t="s">
        <v>352</v>
      </c>
      <c r="E39" t="s">
        <v>352</v>
      </c>
      <c r="F39">
        <v>2022</v>
      </c>
      <c r="G39">
        <v>1</v>
      </c>
      <c r="H39" t="s">
        <v>353</v>
      </c>
      <c r="I39">
        <v>1701</v>
      </c>
      <c r="J39">
        <v>1702</v>
      </c>
      <c r="K39" s="1">
        <v>44743.738877314812</v>
      </c>
      <c r="L39" t="s">
        <v>354</v>
      </c>
      <c r="M39" t="s">
        <v>355</v>
      </c>
      <c r="P39" t="s">
        <v>356</v>
      </c>
      <c r="Q39" t="s">
        <v>357</v>
      </c>
      <c r="R39" t="s">
        <v>355</v>
      </c>
      <c r="S39" t="s">
        <v>358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>
        <v>28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  <c r="AF39" t="s">
        <v>31</v>
      </c>
      <c r="AG39" t="s">
        <v>31</v>
      </c>
      <c r="AH39" t="s">
        <v>31</v>
      </c>
      <c r="AI39" t="s">
        <v>31</v>
      </c>
      <c r="AJ39">
        <v>100</v>
      </c>
      <c r="AK39" t="s">
        <v>31</v>
      </c>
      <c r="AL39">
        <v>100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</row>
    <row r="40" spans="2:47" x14ac:dyDescent="0.3">
      <c r="B40" t="s">
        <v>351</v>
      </c>
      <c r="C40" t="s">
        <v>352</v>
      </c>
      <c r="E40" t="s">
        <v>352</v>
      </c>
      <c r="F40">
        <v>2022</v>
      </c>
      <c r="G40">
        <v>1</v>
      </c>
      <c r="H40" t="s">
        <v>353</v>
      </c>
      <c r="I40">
        <v>1701</v>
      </c>
      <c r="J40">
        <v>1702</v>
      </c>
      <c r="K40" s="1">
        <v>44743.738877314812</v>
      </c>
      <c r="L40" t="s">
        <v>354</v>
      </c>
      <c r="M40" t="s">
        <v>355</v>
      </c>
      <c r="P40" t="s">
        <v>356</v>
      </c>
      <c r="Q40" t="s">
        <v>357</v>
      </c>
      <c r="R40" t="s">
        <v>355</v>
      </c>
      <c r="S40" t="s">
        <v>358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>
        <v>25</v>
      </c>
      <c r="Z40" t="s">
        <v>31</v>
      </c>
      <c r="AA40">
        <v>4</v>
      </c>
      <c r="AB40">
        <v>4</v>
      </c>
      <c r="AC40">
        <v>4</v>
      </c>
      <c r="AD40">
        <v>4</v>
      </c>
      <c r="AE40" t="s">
        <v>31</v>
      </c>
      <c r="AF40" t="s">
        <v>31</v>
      </c>
      <c r="AG40" t="s">
        <v>31</v>
      </c>
      <c r="AH40" t="s">
        <v>31</v>
      </c>
      <c r="AI40" t="s">
        <v>31</v>
      </c>
      <c r="AJ40">
        <v>100</v>
      </c>
      <c r="AK40" t="s">
        <v>31</v>
      </c>
      <c r="AL40">
        <v>100</v>
      </c>
      <c r="AM40" t="s">
        <v>31</v>
      </c>
      <c r="AN40">
        <v>10</v>
      </c>
      <c r="AO40" t="s">
        <v>31</v>
      </c>
      <c r="AP40" t="s">
        <v>31</v>
      </c>
      <c r="AQ40" t="s">
        <v>31</v>
      </c>
    </row>
    <row r="41" spans="2:47" x14ac:dyDescent="0.3">
      <c r="B41" t="s">
        <v>351</v>
      </c>
      <c r="C41" t="s">
        <v>352</v>
      </c>
      <c r="E41" t="s">
        <v>352</v>
      </c>
      <c r="F41">
        <v>2022</v>
      </c>
      <c r="G41">
        <v>1</v>
      </c>
      <c r="H41" t="s">
        <v>353</v>
      </c>
      <c r="I41">
        <v>1701</v>
      </c>
      <c r="J41">
        <v>1702</v>
      </c>
      <c r="K41" s="1">
        <v>44743.738877314812</v>
      </c>
      <c r="L41" t="s">
        <v>354</v>
      </c>
      <c r="M41" t="s">
        <v>355</v>
      </c>
      <c r="P41" t="s">
        <v>356</v>
      </c>
      <c r="Q41" t="s">
        <v>357</v>
      </c>
      <c r="R41" t="s">
        <v>355</v>
      </c>
      <c r="S41" t="s">
        <v>358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>
        <v>26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>
        <v>100</v>
      </c>
      <c r="AK41" t="s">
        <v>31</v>
      </c>
      <c r="AL41">
        <v>100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</row>
    <row r="42" spans="2:47" x14ac:dyDescent="0.3">
      <c r="B42" t="s">
        <v>351</v>
      </c>
      <c r="C42" t="s">
        <v>352</v>
      </c>
      <c r="E42" t="s">
        <v>352</v>
      </c>
      <c r="F42">
        <v>2022</v>
      </c>
      <c r="G42">
        <v>1</v>
      </c>
      <c r="H42" t="s">
        <v>353</v>
      </c>
      <c r="I42">
        <v>1701</v>
      </c>
      <c r="J42">
        <v>1702</v>
      </c>
      <c r="K42" s="1">
        <v>44743.738877314812</v>
      </c>
      <c r="L42" t="s">
        <v>354</v>
      </c>
      <c r="M42" t="s">
        <v>355</v>
      </c>
      <c r="P42" t="s">
        <v>356</v>
      </c>
      <c r="Q42" t="s">
        <v>357</v>
      </c>
      <c r="R42" t="s">
        <v>355</v>
      </c>
      <c r="S42" t="s">
        <v>358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>
        <v>31</v>
      </c>
      <c r="Z42" t="s">
        <v>31</v>
      </c>
      <c r="AA42" t="s">
        <v>31</v>
      </c>
      <c r="AB42" t="s">
        <v>31</v>
      </c>
      <c r="AC42" t="s">
        <v>31</v>
      </c>
      <c r="AD42" t="s">
        <v>31</v>
      </c>
      <c r="AE42" t="s">
        <v>31</v>
      </c>
      <c r="AF42" t="s">
        <v>31</v>
      </c>
      <c r="AG42" t="s">
        <v>31</v>
      </c>
      <c r="AH42" t="s">
        <v>31</v>
      </c>
      <c r="AI42" t="s">
        <v>31</v>
      </c>
      <c r="AJ42">
        <v>100</v>
      </c>
      <c r="AK42" t="s">
        <v>31</v>
      </c>
      <c r="AL42">
        <v>100</v>
      </c>
      <c r="AM42" t="s">
        <v>31</v>
      </c>
      <c r="AN42" t="s">
        <v>31</v>
      </c>
      <c r="AO42" t="s">
        <v>31</v>
      </c>
      <c r="AP42" t="s">
        <v>31</v>
      </c>
      <c r="AQ42" t="s">
        <v>31</v>
      </c>
    </row>
    <row r="43" spans="2:47" x14ac:dyDescent="0.3">
      <c r="B43" t="s">
        <v>351</v>
      </c>
      <c r="C43" t="s">
        <v>352</v>
      </c>
      <c r="E43" t="s">
        <v>352</v>
      </c>
      <c r="F43">
        <v>2022</v>
      </c>
      <c r="G43">
        <v>1</v>
      </c>
      <c r="H43" t="s">
        <v>353</v>
      </c>
      <c r="I43">
        <v>1701</v>
      </c>
      <c r="J43">
        <v>1702</v>
      </c>
      <c r="K43" s="1">
        <v>44743.738877314812</v>
      </c>
      <c r="L43" t="s">
        <v>354</v>
      </c>
      <c r="M43" t="s">
        <v>355</v>
      </c>
      <c r="P43" t="s">
        <v>356</v>
      </c>
      <c r="Q43" t="s">
        <v>357</v>
      </c>
      <c r="R43" t="s">
        <v>355</v>
      </c>
      <c r="S43" t="s">
        <v>358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>
        <v>32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>
        <v>100</v>
      </c>
      <c r="AK43" t="s">
        <v>31</v>
      </c>
      <c r="AL43">
        <v>100</v>
      </c>
      <c r="AM43" t="s">
        <v>31</v>
      </c>
      <c r="AN43" t="s">
        <v>31</v>
      </c>
      <c r="AO43" t="s">
        <v>31</v>
      </c>
      <c r="AP43" t="s">
        <v>31</v>
      </c>
      <c r="AQ43" t="s">
        <v>31</v>
      </c>
    </row>
    <row r="44" spans="2:47" x14ac:dyDescent="0.3">
      <c r="B44" t="s">
        <v>351</v>
      </c>
      <c r="C44" t="s">
        <v>352</v>
      </c>
      <c r="E44" t="s">
        <v>352</v>
      </c>
      <c r="F44">
        <v>2022</v>
      </c>
      <c r="G44">
        <v>1</v>
      </c>
      <c r="H44" t="s">
        <v>353</v>
      </c>
      <c r="I44">
        <v>1701</v>
      </c>
      <c r="J44">
        <v>1702</v>
      </c>
      <c r="K44" s="1">
        <v>44743.738877314812</v>
      </c>
      <c r="L44" t="s">
        <v>354</v>
      </c>
      <c r="M44" t="s">
        <v>355</v>
      </c>
      <c r="P44" t="s">
        <v>356</v>
      </c>
      <c r="Q44" t="s">
        <v>357</v>
      </c>
      <c r="R44" t="s">
        <v>355</v>
      </c>
      <c r="S44" t="s">
        <v>358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>
        <v>30</v>
      </c>
      <c r="Z44" t="s">
        <v>31</v>
      </c>
      <c r="AA44" t="s">
        <v>31</v>
      </c>
      <c r="AB44" t="s">
        <v>31</v>
      </c>
      <c r="AC44" t="s">
        <v>31</v>
      </c>
      <c r="AD44" t="s">
        <v>31</v>
      </c>
      <c r="AE44" t="s">
        <v>31</v>
      </c>
      <c r="AF44" t="s">
        <v>31</v>
      </c>
      <c r="AG44" t="s">
        <v>31</v>
      </c>
      <c r="AH44" t="s">
        <v>31</v>
      </c>
      <c r="AI44" t="s">
        <v>31</v>
      </c>
      <c r="AJ44">
        <v>100</v>
      </c>
      <c r="AK44" t="s">
        <v>31</v>
      </c>
      <c r="AL44">
        <v>100</v>
      </c>
      <c r="AM44" t="s">
        <v>31</v>
      </c>
      <c r="AN44" t="s">
        <v>31</v>
      </c>
      <c r="AO44" t="s">
        <v>31</v>
      </c>
      <c r="AP44" t="s">
        <v>31</v>
      </c>
      <c r="AQ44" t="s">
        <v>31</v>
      </c>
    </row>
    <row r="45" spans="2:47" x14ac:dyDescent="0.3">
      <c r="B45" t="s">
        <v>351</v>
      </c>
      <c r="C45" t="s">
        <v>352</v>
      </c>
      <c r="E45" t="s">
        <v>352</v>
      </c>
      <c r="F45">
        <v>2022</v>
      </c>
      <c r="G45">
        <v>1</v>
      </c>
      <c r="H45" t="s">
        <v>353</v>
      </c>
      <c r="I45">
        <v>1701</v>
      </c>
      <c r="J45">
        <v>1702</v>
      </c>
      <c r="K45" s="1">
        <v>44743.738877314812</v>
      </c>
      <c r="L45" t="s">
        <v>354</v>
      </c>
      <c r="M45" t="s">
        <v>355</v>
      </c>
      <c r="P45" t="s">
        <v>356</v>
      </c>
      <c r="Q45" t="s">
        <v>357</v>
      </c>
      <c r="R45" t="s">
        <v>355</v>
      </c>
      <c r="S45" t="s">
        <v>358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>
        <v>36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>
        <v>100</v>
      </c>
      <c r="AK45" t="s">
        <v>31</v>
      </c>
      <c r="AL45">
        <v>100</v>
      </c>
      <c r="AM45" t="s">
        <v>31</v>
      </c>
      <c r="AN45" t="s">
        <v>31</v>
      </c>
      <c r="AO45" t="s">
        <v>31</v>
      </c>
      <c r="AP45" t="s">
        <v>31</v>
      </c>
      <c r="AQ45" t="s">
        <v>31</v>
      </c>
    </row>
    <row r="46" spans="2:47" x14ac:dyDescent="0.3">
      <c r="B46" t="s">
        <v>351</v>
      </c>
      <c r="C46" t="s">
        <v>352</v>
      </c>
      <c r="E46" t="s">
        <v>352</v>
      </c>
      <c r="F46">
        <v>2022</v>
      </c>
      <c r="G46">
        <v>1</v>
      </c>
      <c r="H46" t="s">
        <v>353</v>
      </c>
      <c r="I46">
        <v>1701</v>
      </c>
      <c r="J46">
        <v>1702</v>
      </c>
      <c r="K46" s="1">
        <v>44743.738877314812</v>
      </c>
      <c r="L46" t="s">
        <v>354</v>
      </c>
      <c r="M46" t="s">
        <v>355</v>
      </c>
      <c r="P46" t="s">
        <v>356</v>
      </c>
      <c r="Q46" t="s">
        <v>357</v>
      </c>
      <c r="R46" t="s">
        <v>355</v>
      </c>
      <c r="S46" t="s">
        <v>358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>
        <v>38</v>
      </c>
      <c r="Z46" t="s">
        <v>31</v>
      </c>
      <c r="AA46" t="s">
        <v>31</v>
      </c>
      <c r="AB46" t="s">
        <v>31</v>
      </c>
      <c r="AC46" t="s">
        <v>31</v>
      </c>
      <c r="AD46" t="s">
        <v>31</v>
      </c>
      <c r="AE46" t="s">
        <v>31</v>
      </c>
      <c r="AF46" t="s">
        <v>31</v>
      </c>
      <c r="AG46" t="s">
        <v>31</v>
      </c>
      <c r="AH46" t="s">
        <v>31</v>
      </c>
      <c r="AI46" t="s">
        <v>31</v>
      </c>
      <c r="AJ46">
        <v>100</v>
      </c>
      <c r="AK46" t="s">
        <v>31</v>
      </c>
      <c r="AL46">
        <v>100</v>
      </c>
      <c r="AM46" t="s">
        <v>31</v>
      </c>
      <c r="AN46" t="s">
        <v>31</v>
      </c>
      <c r="AO46" t="s">
        <v>31</v>
      </c>
      <c r="AP46" t="s">
        <v>31</v>
      </c>
      <c r="AQ46" t="s">
        <v>31</v>
      </c>
    </row>
    <row r="47" spans="2:47" x14ac:dyDescent="0.3">
      <c r="B47" t="s">
        <v>351</v>
      </c>
      <c r="C47" t="s">
        <v>352</v>
      </c>
      <c r="E47" t="s">
        <v>352</v>
      </c>
      <c r="F47">
        <v>2022</v>
      </c>
      <c r="G47">
        <v>1</v>
      </c>
      <c r="H47" t="s">
        <v>353</v>
      </c>
      <c r="I47">
        <v>1701</v>
      </c>
      <c r="J47">
        <v>1702</v>
      </c>
      <c r="K47" s="1">
        <v>44743.738877314812</v>
      </c>
      <c r="L47" t="s">
        <v>354</v>
      </c>
      <c r="M47" t="s">
        <v>355</v>
      </c>
      <c r="P47" t="s">
        <v>356</v>
      </c>
      <c r="Q47" t="s">
        <v>357</v>
      </c>
      <c r="R47" t="s">
        <v>355</v>
      </c>
      <c r="S47" t="s">
        <v>358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>
        <v>37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  <c r="AF47" t="s">
        <v>31</v>
      </c>
      <c r="AG47" t="s">
        <v>31</v>
      </c>
      <c r="AH47" t="s">
        <v>31</v>
      </c>
      <c r="AI47" t="s">
        <v>31</v>
      </c>
      <c r="AJ47">
        <v>100</v>
      </c>
      <c r="AK47" t="s">
        <v>31</v>
      </c>
      <c r="AL47">
        <v>100</v>
      </c>
      <c r="AM47" t="s">
        <v>31</v>
      </c>
      <c r="AN47" t="s">
        <v>31</v>
      </c>
      <c r="AO47" t="s">
        <v>31</v>
      </c>
      <c r="AP47" t="s">
        <v>31</v>
      </c>
      <c r="AQ47" t="s">
        <v>31</v>
      </c>
    </row>
    <row r="48" spans="2:47" x14ac:dyDescent="0.3">
      <c r="B48" t="s">
        <v>351</v>
      </c>
      <c r="C48" t="s">
        <v>352</v>
      </c>
      <c r="E48" t="s">
        <v>352</v>
      </c>
      <c r="F48">
        <v>2022</v>
      </c>
      <c r="G48">
        <v>1</v>
      </c>
      <c r="H48" t="s">
        <v>353</v>
      </c>
      <c r="I48">
        <v>1701</v>
      </c>
      <c r="J48">
        <v>1702</v>
      </c>
      <c r="K48" s="1">
        <v>44743.738877314812</v>
      </c>
      <c r="L48" t="s">
        <v>354</v>
      </c>
      <c r="M48" t="s">
        <v>355</v>
      </c>
      <c r="P48" t="s">
        <v>356</v>
      </c>
      <c r="Q48" t="s">
        <v>357</v>
      </c>
      <c r="R48" t="s">
        <v>355</v>
      </c>
      <c r="S48" t="s">
        <v>358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>
        <v>39</v>
      </c>
      <c r="Z48" t="s">
        <v>31</v>
      </c>
      <c r="AA48" t="s">
        <v>31</v>
      </c>
      <c r="AB48" t="s">
        <v>31</v>
      </c>
      <c r="AC48" t="s">
        <v>31</v>
      </c>
      <c r="AD48" t="s">
        <v>31</v>
      </c>
      <c r="AE48" t="s">
        <v>31</v>
      </c>
      <c r="AF48" t="s">
        <v>31</v>
      </c>
      <c r="AG48" t="s">
        <v>31</v>
      </c>
      <c r="AH48" t="s">
        <v>31</v>
      </c>
      <c r="AI48" t="s">
        <v>31</v>
      </c>
      <c r="AJ48">
        <v>100</v>
      </c>
      <c r="AK48" t="s">
        <v>31</v>
      </c>
      <c r="AL48">
        <v>100</v>
      </c>
      <c r="AM48" t="s">
        <v>31</v>
      </c>
      <c r="AN48" t="s">
        <v>31</v>
      </c>
      <c r="AO48" t="s">
        <v>31</v>
      </c>
      <c r="AP48" t="s">
        <v>31</v>
      </c>
      <c r="AQ48" t="s">
        <v>31</v>
      </c>
      <c r="AT48" s="4" t="s">
        <v>55</v>
      </c>
      <c r="AU48" t="s">
        <v>159</v>
      </c>
    </row>
    <row r="49" spans="46:47" x14ac:dyDescent="0.3">
      <c r="AU49" t="s">
        <v>192</v>
      </c>
    </row>
    <row r="50" spans="46:47" x14ac:dyDescent="0.3">
      <c r="AT50" s="6" t="s">
        <v>225</v>
      </c>
      <c r="AU50" s="7" t="s">
        <v>203</v>
      </c>
    </row>
    <row r="51" spans="46:47" x14ac:dyDescent="0.3">
      <c r="AT51" t="s">
        <v>226</v>
      </c>
      <c r="AU51" t="s">
        <v>161</v>
      </c>
    </row>
    <row r="52" spans="46:47" x14ac:dyDescent="0.3">
      <c r="AT52" s="6" t="s">
        <v>227</v>
      </c>
    </row>
    <row r="53" spans="46:47" x14ac:dyDescent="0.3">
      <c r="AT53" s="7" t="s">
        <v>228</v>
      </c>
    </row>
    <row r="56" spans="46:47" x14ac:dyDescent="0.3">
      <c r="AT56" s="6" t="s">
        <v>223</v>
      </c>
      <c r="AU56" s="7" t="s">
        <v>204</v>
      </c>
    </row>
    <row r="57" spans="46:47" x14ac:dyDescent="0.3">
      <c r="AT57" t="s">
        <v>224</v>
      </c>
      <c r="AU57" t="s">
        <v>170</v>
      </c>
    </row>
    <row r="58" spans="46:47" x14ac:dyDescent="0.3">
      <c r="AT58" t="s">
        <v>229</v>
      </c>
      <c r="AU58" t="s">
        <v>196</v>
      </c>
    </row>
    <row r="59" spans="46:47" x14ac:dyDescent="0.3">
      <c r="AU59" s="11" t="s">
        <v>197</v>
      </c>
    </row>
    <row r="60" spans="46:47" x14ac:dyDescent="0.3">
      <c r="AU60" s="11" t="s">
        <v>198</v>
      </c>
    </row>
    <row r="61" spans="46:47" x14ac:dyDescent="0.3">
      <c r="AU61" s="11" t="s">
        <v>199</v>
      </c>
    </row>
    <row r="62" spans="46:47" x14ac:dyDescent="0.3">
      <c r="AU62" s="11" t="s">
        <v>200</v>
      </c>
    </row>
    <row r="63" spans="46:47" x14ac:dyDescent="0.3">
      <c r="AU63" t="s">
        <v>201</v>
      </c>
    </row>
    <row r="64" spans="46:47" x14ac:dyDescent="0.3">
      <c r="AU64" t="s">
        <v>174</v>
      </c>
    </row>
    <row r="65" spans="47:47" x14ac:dyDescent="0.3">
      <c r="AU65" t="s">
        <v>202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55DF-8901-4BEB-9DA9-FD81B0C9BE89}">
  <dimension ref="A1:BW70"/>
  <sheetViews>
    <sheetView zoomScaleNormal="100" workbookViewId="0">
      <pane xSplit="1" topLeftCell="BA1" activePane="topRight" state="frozen"/>
      <selection pane="topRight" activeCell="BG15" sqref="BG15"/>
    </sheetView>
  </sheetViews>
  <sheetFormatPr defaultRowHeight="14" x14ac:dyDescent="0.3"/>
  <cols>
    <col min="5" max="5" width="12.58203125" bestFit="1" customWidth="1"/>
    <col min="33" max="33" width="12.83203125" bestFit="1" customWidth="1"/>
    <col min="34" max="34" width="13.9140625" bestFit="1" customWidth="1"/>
    <col min="35" max="35" width="13" bestFit="1" customWidth="1"/>
    <col min="36" max="36" width="17.1640625" bestFit="1" customWidth="1"/>
    <col min="37" max="37" width="10.4140625" bestFit="1" customWidth="1"/>
    <col min="38" max="38" width="14.58203125" bestFit="1" customWidth="1"/>
    <col min="39" max="39" width="17.9140625" bestFit="1" customWidth="1"/>
    <col min="40" max="40" width="22.08203125" bestFit="1" customWidth="1"/>
    <col min="41" max="41" width="5.75" bestFit="1" customWidth="1"/>
    <col min="42" max="42" width="6.5" bestFit="1" customWidth="1"/>
    <col min="43" max="43" width="10.58203125" bestFit="1" customWidth="1"/>
    <col min="44" max="44" width="5.33203125" bestFit="1" customWidth="1"/>
    <col min="45" max="45" width="13.83203125" bestFit="1" customWidth="1"/>
    <col min="46" max="46" width="15" bestFit="1" customWidth="1"/>
    <col min="47" max="47" width="19.1640625" bestFit="1" customWidth="1"/>
    <col min="48" max="48" width="27.83203125" bestFit="1" customWidth="1"/>
    <col min="49" max="49" width="27" bestFit="1" customWidth="1"/>
    <col min="50" max="50" width="25.58203125" bestFit="1" customWidth="1"/>
    <col min="51" max="52" width="24.5" bestFit="1" customWidth="1"/>
    <col min="53" max="53" width="12" bestFit="1" customWidth="1"/>
    <col min="54" max="54" width="11" bestFit="1" customWidth="1"/>
    <col min="55" max="55" width="9.58203125" bestFit="1" customWidth="1"/>
    <col min="56" max="56" width="38.75" bestFit="1" customWidth="1"/>
    <col min="57" max="57" width="10.25" bestFit="1" customWidth="1"/>
    <col min="58" max="58" width="9" bestFit="1" customWidth="1"/>
    <col min="59" max="59" width="15.75" bestFit="1" customWidth="1"/>
    <col min="60" max="60" width="11.25" bestFit="1" customWidth="1"/>
    <col min="61" max="61" width="10" bestFit="1" customWidth="1"/>
    <col min="62" max="62" width="16.75" bestFit="1" customWidth="1"/>
    <col min="65" max="65" width="28" customWidth="1"/>
  </cols>
  <sheetData>
    <row r="1" spans="1:65" x14ac:dyDescent="0.3">
      <c r="A1" s="2" t="s">
        <v>40</v>
      </c>
      <c r="B1" t="s">
        <v>2</v>
      </c>
      <c r="C1" t="s">
        <v>0</v>
      </c>
      <c r="D1" t="s">
        <v>1</v>
      </c>
      <c r="E1" t="s">
        <v>41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8" t="s">
        <v>24</v>
      </c>
      <c r="AB1" s="8" t="s">
        <v>25</v>
      </c>
      <c r="AC1" s="8" t="s">
        <v>42</v>
      </c>
      <c r="AD1" s="8" t="s">
        <v>43</v>
      </c>
      <c r="AE1" s="8" t="s">
        <v>44</v>
      </c>
      <c r="AF1" s="8" t="s">
        <v>65</v>
      </c>
      <c r="AG1" s="8" t="s">
        <v>66</v>
      </c>
      <c r="AH1" s="8" t="s">
        <v>67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9" t="s">
        <v>77</v>
      </c>
      <c r="AS1" s="14" t="s">
        <v>78</v>
      </c>
      <c r="AT1" s="15" t="s">
        <v>79</v>
      </c>
      <c r="AU1" s="16" t="s">
        <v>80</v>
      </c>
      <c r="AV1" s="4" t="s">
        <v>81</v>
      </c>
      <c r="AW1" s="17" t="s">
        <v>82</v>
      </c>
      <c r="AX1" s="18" t="s">
        <v>83</v>
      </c>
      <c r="AY1" s="2" t="s">
        <v>84</v>
      </c>
      <c r="AZ1" t="s">
        <v>85</v>
      </c>
      <c r="BA1" t="s">
        <v>86</v>
      </c>
      <c r="BB1" s="19" t="s">
        <v>87</v>
      </c>
      <c r="BC1" s="20" t="s">
        <v>88</v>
      </c>
      <c r="BD1" t="s">
        <v>89</v>
      </c>
      <c r="BE1" s="21" t="s">
        <v>90</v>
      </c>
      <c r="BF1" s="22" t="s">
        <v>91</v>
      </c>
      <c r="BG1" t="s">
        <v>92</v>
      </c>
      <c r="BH1" s="23" t="s">
        <v>93</v>
      </c>
      <c r="BI1" s="24" t="s">
        <v>94</v>
      </c>
      <c r="BJ1" t="s">
        <v>95</v>
      </c>
      <c r="BM1" t="s">
        <v>277</v>
      </c>
    </row>
    <row r="2" spans="1:65" x14ac:dyDescent="0.3">
      <c r="A2">
        <v>1</v>
      </c>
      <c r="B2" t="s">
        <v>27</v>
      </c>
      <c r="C2" t="s">
        <v>26</v>
      </c>
      <c r="E2" t="s">
        <v>26</v>
      </c>
      <c r="F2">
        <v>2021</v>
      </c>
      <c r="G2">
        <v>1</v>
      </c>
      <c r="H2" t="s">
        <v>28</v>
      </c>
      <c r="I2">
        <v>123</v>
      </c>
      <c r="J2">
        <v>123</v>
      </c>
      <c r="K2" s="1">
        <v>44414.390844907408</v>
      </c>
      <c r="L2" t="s">
        <v>29</v>
      </c>
      <c r="M2" t="s">
        <v>26</v>
      </c>
      <c r="N2" t="s">
        <v>30</v>
      </c>
      <c r="Q2" t="s">
        <v>31</v>
      </c>
      <c r="R2" t="s">
        <v>31</v>
      </c>
      <c r="S2" t="s">
        <v>32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30</v>
      </c>
      <c r="Z2" t="s">
        <v>38</v>
      </c>
      <c r="AA2" s="6">
        <v>4</v>
      </c>
      <c r="AB2" s="6">
        <v>4</v>
      </c>
      <c r="AC2" s="6">
        <v>4</v>
      </c>
      <c r="AD2" s="6">
        <v>4</v>
      </c>
      <c r="AE2" s="6">
        <v>4</v>
      </c>
      <c r="AF2" s="6">
        <v>1</v>
      </c>
      <c r="AG2" s="6">
        <v>2021</v>
      </c>
      <c r="AH2" s="6" t="s">
        <v>62</v>
      </c>
      <c r="AI2" s="6">
        <v>15</v>
      </c>
      <c r="AJ2" s="6">
        <v>100</v>
      </c>
      <c r="AK2" s="6">
        <v>15</v>
      </c>
      <c r="AL2" s="6">
        <v>100</v>
      </c>
      <c r="AM2" s="6">
        <v>15</v>
      </c>
      <c r="AN2" s="6">
        <v>100</v>
      </c>
      <c r="AO2" s="6">
        <v>15</v>
      </c>
      <c r="AP2" s="6">
        <v>15</v>
      </c>
      <c r="AQ2" s="6">
        <v>100</v>
      </c>
      <c r="AR2" s="6">
        <v>1</v>
      </c>
      <c r="AS2" s="6">
        <v>15</v>
      </c>
      <c r="AT2" s="6">
        <v>15</v>
      </c>
      <c r="AU2" s="6">
        <v>100</v>
      </c>
      <c r="AV2" s="6">
        <v>65</v>
      </c>
      <c r="AW2" s="6">
        <v>120</v>
      </c>
      <c r="AX2" s="6">
        <v>60</v>
      </c>
      <c r="AY2" s="6">
        <v>4</v>
      </c>
      <c r="AZ2" s="6" t="s">
        <v>31</v>
      </c>
      <c r="BA2" s="6" t="s">
        <v>31</v>
      </c>
      <c r="BB2" s="6">
        <v>15</v>
      </c>
      <c r="BC2" s="6">
        <v>15</v>
      </c>
      <c r="BD2" s="6" t="s">
        <v>96</v>
      </c>
      <c r="BE2" s="6" t="s">
        <v>31</v>
      </c>
      <c r="BF2" s="6" t="s">
        <v>31</v>
      </c>
      <c r="BG2" s="6" t="s">
        <v>31</v>
      </c>
      <c r="BH2" s="6" t="s">
        <v>31</v>
      </c>
      <c r="BI2" s="6" t="s">
        <v>31</v>
      </c>
      <c r="BJ2" s="6" t="s">
        <v>31</v>
      </c>
      <c r="BM2" s="8" t="s">
        <v>24</v>
      </c>
    </row>
    <row r="3" spans="1:65" x14ac:dyDescent="0.3">
      <c r="A3">
        <v>2</v>
      </c>
      <c r="B3" t="s">
        <v>27</v>
      </c>
      <c r="C3" t="s">
        <v>26</v>
      </c>
      <c r="E3" t="s">
        <v>26</v>
      </c>
      <c r="F3">
        <v>2021</v>
      </c>
      <c r="G3">
        <v>1</v>
      </c>
      <c r="H3" t="s">
        <v>28</v>
      </c>
      <c r="I3">
        <v>123</v>
      </c>
      <c r="J3">
        <v>123</v>
      </c>
      <c r="K3" s="1">
        <v>44414.390844907408</v>
      </c>
      <c r="L3" t="s">
        <v>29</v>
      </c>
      <c r="M3" t="s">
        <v>26</v>
      </c>
      <c r="N3" t="s">
        <v>30</v>
      </c>
      <c r="Q3" t="s">
        <v>31</v>
      </c>
      <c r="R3" t="s">
        <v>31</v>
      </c>
      <c r="S3" t="s">
        <v>32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31</v>
      </c>
      <c r="Z3" t="s">
        <v>39</v>
      </c>
      <c r="AA3">
        <v>4</v>
      </c>
      <c r="AB3">
        <v>4</v>
      </c>
      <c r="AC3">
        <v>4</v>
      </c>
      <c r="AD3">
        <v>4</v>
      </c>
      <c r="AE3">
        <v>4</v>
      </c>
      <c r="AF3">
        <v>1</v>
      </c>
      <c r="AG3">
        <v>2021</v>
      </c>
      <c r="AH3" t="s">
        <v>62</v>
      </c>
      <c r="AI3">
        <v>15</v>
      </c>
      <c r="AJ3">
        <v>100</v>
      </c>
      <c r="AK3">
        <v>15</v>
      </c>
      <c r="AL3">
        <v>100</v>
      </c>
      <c r="AM3">
        <v>15</v>
      </c>
      <c r="AN3">
        <v>100</v>
      </c>
      <c r="AO3">
        <v>15</v>
      </c>
      <c r="AP3">
        <v>15</v>
      </c>
      <c r="AQ3">
        <v>100</v>
      </c>
      <c r="AR3">
        <v>1</v>
      </c>
      <c r="AS3">
        <v>15</v>
      </c>
      <c r="AT3">
        <v>15</v>
      </c>
      <c r="AU3">
        <v>100</v>
      </c>
      <c r="AV3">
        <v>65</v>
      </c>
      <c r="AW3">
        <v>120</v>
      </c>
      <c r="AX3">
        <v>60</v>
      </c>
      <c r="AY3">
        <v>4</v>
      </c>
      <c r="AZ3" t="s">
        <v>31</v>
      </c>
      <c r="BA3" t="s">
        <v>31</v>
      </c>
      <c r="BB3">
        <v>15</v>
      </c>
      <c r="BC3">
        <v>15</v>
      </c>
      <c r="BD3" t="s">
        <v>96</v>
      </c>
      <c r="BE3" t="s">
        <v>31</v>
      </c>
      <c r="BF3" t="s">
        <v>31</v>
      </c>
      <c r="BG3" t="s">
        <v>31</v>
      </c>
      <c r="BH3" t="s">
        <v>31</v>
      </c>
      <c r="BI3" t="s">
        <v>31</v>
      </c>
      <c r="BJ3" t="s">
        <v>31</v>
      </c>
      <c r="BM3" s="8" t="s">
        <v>25</v>
      </c>
    </row>
    <row r="4" spans="1:65" x14ac:dyDescent="0.3">
      <c r="A4">
        <v>3</v>
      </c>
      <c r="B4" t="s">
        <v>27</v>
      </c>
      <c r="C4" t="s">
        <v>26</v>
      </c>
      <c r="E4" t="s">
        <v>26</v>
      </c>
      <c r="F4">
        <v>2021</v>
      </c>
      <c r="G4">
        <v>1</v>
      </c>
      <c r="H4" t="s">
        <v>28</v>
      </c>
      <c r="I4">
        <v>123</v>
      </c>
      <c r="J4">
        <v>123</v>
      </c>
      <c r="K4" s="1">
        <v>44414.390844907408</v>
      </c>
      <c r="L4" t="s">
        <v>29</v>
      </c>
      <c r="M4" t="s">
        <v>26</v>
      </c>
      <c r="N4" t="s">
        <v>30</v>
      </c>
      <c r="Q4" t="s">
        <v>31</v>
      </c>
      <c r="R4" t="s">
        <v>31</v>
      </c>
      <c r="S4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24</v>
      </c>
      <c r="Z4" t="s">
        <v>35</v>
      </c>
      <c r="AA4">
        <v>3</v>
      </c>
      <c r="AB4">
        <v>3</v>
      </c>
      <c r="AC4">
        <v>3</v>
      </c>
      <c r="AD4">
        <v>3</v>
      </c>
      <c r="AE4">
        <v>4</v>
      </c>
      <c r="AF4">
        <v>0.75</v>
      </c>
      <c r="AG4">
        <v>2021</v>
      </c>
      <c r="AH4" t="s">
        <v>63</v>
      </c>
      <c r="AI4">
        <v>30</v>
      </c>
      <c r="AJ4">
        <v>100</v>
      </c>
      <c r="AK4">
        <v>30</v>
      </c>
      <c r="AL4">
        <v>100</v>
      </c>
      <c r="AM4">
        <v>30</v>
      </c>
      <c r="AN4">
        <v>100</v>
      </c>
      <c r="AO4">
        <v>22.5</v>
      </c>
      <c r="AP4">
        <v>30</v>
      </c>
      <c r="AQ4">
        <v>100</v>
      </c>
      <c r="AR4">
        <v>0.75</v>
      </c>
      <c r="AS4">
        <v>22.5</v>
      </c>
      <c r="AT4">
        <v>30</v>
      </c>
      <c r="AU4">
        <v>100</v>
      </c>
      <c r="AV4">
        <v>65</v>
      </c>
      <c r="AW4">
        <v>120</v>
      </c>
      <c r="AX4">
        <v>120</v>
      </c>
      <c r="AY4">
        <v>4</v>
      </c>
      <c r="AZ4" t="s">
        <v>31</v>
      </c>
      <c r="BA4" t="s">
        <v>31</v>
      </c>
      <c r="BB4">
        <v>30</v>
      </c>
      <c r="BC4">
        <v>22.5</v>
      </c>
      <c r="BD4" t="s">
        <v>97</v>
      </c>
      <c r="BE4" t="s">
        <v>31</v>
      </c>
      <c r="BF4" t="s">
        <v>31</v>
      </c>
      <c r="BG4" t="s">
        <v>31</v>
      </c>
      <c r="BH4" t="s">
        <v>31</v>
      </c>
      <c r="BI4" t="s">
        <v>31</v>
      </c>
      <c r="BJ4" t="s">
        <v>31</v>
      </c>
      <c r="BM4" s="8" t="s">
        <v>42</v>
      </c>
    </row>
    <row r="5" spans="1:65" x14ac:dyDescent="0.3">
      <c r="A5">
        <v>4</v>
      </c>
      <c r="B5" t="s">
        <v>27</v>
      </c>
      <c r="C5" t="s">
        <v>26</v>
      </c>
      <c r="E5" t="s">
        <v>26</v>
      </c>
      <c r="F5">
        <v>2021</v>
      </c>
      <c r="G5">
        <v>1</v>
      </c>
      <c r="H5" t="s">
        <v>28</v>
      </c>
      <c r="I5">
        <v>123</v>
      </c>
      <c r="J5">
        <v>123</v>
      </c>
      <c r="K5" s="1">
        <v>44414.390844907408</v>
      </c>
      <c r="L5" t="s">
        <v>29</v>
      </c>
      <c r="M5" t="s">
        <v>26</v>
      </c>
      <c r="N5" t="s">
        <v>30</v>
      </c>
      <c r="Q5" t="s">
        <v>31</v>
      </c>
      <c r="R5" t="s">
        <v>31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26</v>
      </c>
      <c r="Z5" t="s">
        <v>37</v>
      </c>
      <c r="AA5">
        <v>3</v>
      </c>
      <c r="AB5">
        <v>3</v>
      </c>
      <c r="AC5">
        <v>3</v>
      </c>
      <c r="AD5">
        <v>3</v>
      </c>
      <c r="AE5">
        <v>4</v>
      </c>
      <c r="AF5">
        <v>0.75</v>
      </c>
      <c r="AG5">
        <v>2021</v>
      </c>
      <c r="AH5" t="s">
        <v>64</v>
      </c>
      <c r="AI5">
        <v>5</v>
      </c>
      <c r="AJ5">
        <v>100</v>
      </c>
      <c r="AK5">
        <v>5</v>
      </c>
      <c r="AL5">
        <v>100</v>
      </c>
      <c r="AM5">
        <v>5</v>
      </c>
      <c r="AN5">
        <v>100</v>
      </c>
      <c r="AO5">
        <v>3.75</v>
      </c>
      <c r="AP5">
        <v>5</v>
      </c>
      <c r="AQ5">
        <v>100</v>
      </c>
      <c r="AR5">
        <v>0.75</v>
      </c>
      <c r="AS5">
        <v>3.75</v>
      </c>
      <c r="AT5">
        <v>5</v>
      </c>
      <c r="AU5">
        <v>100</v>
      </c>
      <c r="AV5">
        <v>65</v>
      </c>
      <c r="AW5">
        <v>40</v>
      </c>
      <c r="AX5">
        <v>20</v>
      </c>
      <c r="AY5">
        <v>4</v>
      </c>
      <c r="AZ5" t="s">
        <v>31</v>
      </c>
      <c r="BA5" t="s">
        <v>31</v>
      </c>
      <c r="BB5">
        <v>5</v>
      </c>
      <c r="BC5">
        <v>3.75</v>
      </c>
      <c r="BD5" t="s">
        <v>98</v>
      </c>
      <c r="BE5" t="s">
        <v>31</v>
      </c>
      <c r="BF5" t="s">
        <v>31</v>
      </c>
      <c r="BG5" t="s">
        <v>31</v>
      </c>
      <c r="BH5" t="s">
        <v>31</v>
      </c>
      <c r="BI5" t="s">
        <v>31</v>
      </c>
      <c r="BJ5" t="s">
        <v>31</v>
      </c>
      <c r="BM5" s="8" t="s">
        <v>43</v>
      </c>
    </row>
    <row r="6" spans="1:65" x14ac:dyDescent="0.3">
      <c r="A6">
        <v>5</v>
      </c>
      <c r="B6" t="s">
        <v>27</v>
      </c>
      <c r="C6" t="s">
        <v>26</v>
      </c>
      <c r="E6" t="s">
        <v>26</v>
      </c>
      <c r="F6">
        <v>2021</v>
      </c>
      <c r="G6">
        <v>1</v>
      </c>
      <c r="H6" t="s">
        <v>28</v>
      </c>
      <c r="I6">
        <v>123</v>
      </c>
      <c r="J6">
        <v>123</v>
      </c>
      <c r="K6" s="1">
        <v>44414.390844907408</v>
      </c>
      <c r="L6" t="s">
        <v>29</v>
      </c>
      <c r="M6" t="s">
        <v>26</v>
      </c>
      <c r="N6" t="s">
        <v>30</v>
      </c>
      <c r="Q6" t="s">
        <v>31</v>
      </c>
      <c r="R6" t="s">
        <v>31</v>
      </c>
      <c r="S6" t="s">
        <v>32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25</v>
      </c>
      <c r="Z6" t="s">
        <v>36</v>
      </c>
      <c r="AA6">
        <v>4</v>
      </c>
      <c r="AB6">
        <v>4</v>
      </c>
      <c r="AC6">
        <v>4</v>
      </c>
      <c r="AD6">
        <v>4</v>
      </c>
      <c r="AE6">
        <v>4</v>
      </c>
      <c r="AF6">
        <v>1</v>
      </c>
      <c r="AG6">
        <v>2021</v>
      </c>
      <c r="AH6" t="s">
        <v>64</v>
      </c>
      <c r="AI6">
        <v>5</v>
      </c>
      <c r="AJ6">
        <v>100</v>
      </c>
      <c r="AK6">
        <v>5</v>
      </c>
      <c r="AL6">
        <v>100</v>
      </c>
      <c r="AM6">
        <v>5</v>
      </c>
      <c r="AN6">
        <v>100</v>
      </c>
      <c r="AO6">
        <v>5</v>
      </c>
      <c r="AP6">
        <v>5</v>
      </c>
      <c r="AQ6">
        <v>100</v>
      </c>
      <c r="AR6">
        <v>1</v>
      </c>
      <c r="AS6">
        <v>5</v>
      </c>
      <c r="AT6">
        <v>5</v>
      </c>
      <c r="AU6">
        <v>100</v>
      </c>
      <c r="AV6">
        <v>65</v>
      </c>
      <c r="AW6">
        <v>40</v>
      </c>
      <c r="AX6">
        <v>20</v>
      </c>
      <c r="AY6">
        <v>4</v>
      </c>
      <c r="AZ6" t="s">
        <v>31</v>
      </c>
      <c r="BA6" t="s">
        <v>31</v>
      </c>
      <c r="BB6">
        <v>5</v>
      </c>
      <c r="BC6">
        <v>5</v>
      </c>
      <c r="BD6" t="s">
        <v>99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M6" s="8" t="s">
        <v>44</v>
      </c>
    </row>
    <row r="7" spans="1:65" x14ac:dyDescent="0.3">
      <c r="A7">
        <v>6</v>
      </c>
      <c r="B7" t="s">
        <v>27</v>
      </c>
      <c r="C7" t="s">
        <v>26</v>
      </c>
      <c r="E7" t="s">
        <v>26</v>
      </c>
      <c r="F7">
        <v>2021</v>
      </c>
      <c r="G7">
        <v>1</v>
      </c>
      <c r="H7" t="s">
        <v>28</v>
      </c>
      <c r="I7">
        <v>123</v>
      </c>
      <c r="J7">
        <v>123</v>
      </c>
      <c r="K7" s="1">
        <v>44414.390844907408</v>
      </c>
      <c r="L7" t="s">
        <v>29</v>
      </c>
      <c r="M7" t="s">
        <v>26</v>
      </c>
      <c r="N7" t="s">
        <v>30</v>
      </c>
      <c r="Q7" t="s">
        <v>31</v>
      </c>
      <c r="R7" t="s">
        <v>31</v>
      </c>
      <c r="S7" t="s">
        <v>32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22</v>
      </c>
      <c r="Z7" t="s">
        <v>33</v>
      </c>
      <c r="AA7">
        <v>4</v>
      </c>
      <c r="AB7">
        <v>4</v>
      </c>
      <c r="AC7">
        <v>4</v>
      </c>
      <c r="AD7">
        <v>4</v>
      </c>
      <c r="AE7">
        <v>4</v>
      </c>
      <c r="AF7">
        <v>1</v>
      </c>
      <c r="AG7">
        <v>2021</v>
      </c>
      <c r="AH7" t="s">
        <v>61</v>
      </c>
      <c r="AI7">
        <v>15</v>
      </c>
      <c r="AJ7">
        <v>100</v>
      </c>
      <c r="AK7">
        <v>15</v>
      </c>
      <c r="AL7">
        <v>100</v>
      </c>
      <c r="AM7">
        <v>15</v>
      </c>
      <c r="AN7">
        <v>100</v>
      </c>
      <c r="AO7">
        <v>15</v>
      </c>
      <c r="AP7">
        <v>15</v>
      </c>
      <c r="AQ7">
        <v>100</v>
      </c>
      <c r="AR7">
        <v>1</v>
      </c>
      <c r="AS7">
        <v>15</v>
      </c>
      <c r="AT7">
        <v>15</v>
      </c>
      <c r="AU7">
        <v>100</v>
      </c>
      <c r="AV7">
        <v>65</v>
      </c>
      <c r="AW7">
        <v>120</v>
      </c>
      <c r="AX7">
        <v>60</v>
      </c>
      <c r="AY7">
        <v>4</v>
      </c>
      <c r="AZ7" t="s">
        <v>31</v>
      </c>
      <c r="BA7" t="s">
        <v>31</v>
      </c>
      <c r="BB7">
        <v>15</v>
      </c>
      <c r="BC7">
        <v>15</v>
      </c>
      <c r="BD7" t="s">
        <v>96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M7" s="8" t="s">
        <v>65</v>
      </c>
    </row>
    <row r="8" spans="1:65" x14ac:dyDescent="0.3">
      <c r="A8">
        <v>7</v>
      </c>
      <c r="B8" t="s">
        <v>27</v>
      </c>
      <c r="C8" t="s">
        <v>26</v>
      </c>
      <c r="E8" t="s">
        <v>26</v>
      </c>
      <c r="F8">
        <v>2021</v>
      </c>
      <c r="G8">
        <v>1</v>
      </c>
      <c r="H8" t="s">
        <v>28</v>
      </c>
      <c r="I8">
        <v>123</v>
      </c>
      <c r="J8">
        <v>123</v>
      </c>
      <c r="K8" s="1">
        <v>44414.390844907408</v>
      </c>
      <c r="L8" t="s">
        <v>29</v>
      </c>
      <c r="M8" t="s">
        <v>26</v>
      </c>
      <c r="N8" t="s">
        <v>30</v>
      </c>
      <c r="Q8" t="s">
        <v>31</v>
      </c>
      <c r="R8" t="s">
        <v>31</v>
      </c>
      <c r="S8" t="s">
        <v>32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23</v>
      </c>
      <c r="Z8" t="s">
        <v>34</v>
      </c>
      <c r="AA8">
        <v>3</v>
      </c>
      <c r="AB8">
        <v>3</v>
      </c>
      <c r="AC8">
        <v>3</v>
      </c>
      <c r="AD8">
        <v>3</v>
      </c>
      <c r="AE8">
        <v>4</v>
      </c>
      <c r="AF8">
        <v>0.75</v>
      </c>
      <c r="AG8">
        <v>2021</v>
      </c>
      <c r="AH8" t="s">
        <v>61</v>
      </c>
      <c r="AI8">
        <v>15</v>
      </c>
      <c r="AJ8">
        <v>100</v>
      </c>
      <c r="AK8">
        <v>15</v>
      </c>
      <c r="AL8">
        <v>100</v>
      </c>
      <c r="AM8">
        <v>15</v>
      </c>
      <c r="AN8">
        <v>100</v>
      </c>
      <c r="AO8">
        <v>11.25</v>
      </c>
      <c r="AP8">
        <v>15</v>
      </c>
      <c r="AQ8">
        <v>100</v>
      </c>
      <c r="AR8">
        <v>0.75</v>
      </c>
      <c r="AS8">
        <v>11.25</v>
      </c>
      <c r="AT8">
        <v>15</v>
      </c>
      <c r="AU8">
        <v>100</v>
      </c>
      <c r="AV8">
        <v>65</v>
      </c>
      <c r="AW8">
        <v>120</v>
      </c>
      <c r="AX8">
        <v>60</v>
      </c>
      <c r="AY8">
        <v>4</v>
      </c>
      <c r="AZ8" t="s">
        <v>31</v>
      </c>
      <c r="BA8" t="s">
        <v>31</v>
      </c>
      <c r="BB8">
        <v>15</v>
      </c>
      <c r="BC8">
        <v>11.25</v>
      </c>
      <c r="BD8" t="s">
        <v>100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J8" t="s">
        <v>31</v>
      </c>
      <c r="BM8" s="8" t="s">
        <v>66</v>
      </c>
    </row>
    <row r="9" spans="1:65" x14ac:dyDescent="0.3">
      <c r="BM9" s="8" t="s">
        <v>67</v>
      </c>
    </row>
    <row r="10" spans="1:65" x14ac:dyDescent="0.3">
      <c r="AR10" s="7" t="s">
        <v>279</v>
      </c>
      <c r="AS10" s="7" t="s">
        <v>281</v>
      </c>
      <c r="AT10" s="7" t="s">
        <v>283</v>
      </c>
      <c r="AU10" s="7" t="s">
        <v>285</v>
      </c>
      <c r="BB10" s="7" t="s">
        <v>283</v>
      </c>
      <c r="BC10" s="7" t="s">
        <v>303</v>
      </c>
      <c r="BM10" s="8" t="s">
        <v>68</v>
      </c>
    </row>
    <row r="11" spans="1:65" x14ac:dyDescent="0.3">
      <c r="BM11" s="8" t="s">
        <v>69</v>
      </c>
    </row>
    <row r="12" spans="1:65" x14ac:dyDescent="0.3">
      <c r="BM12" s="8" t="s">
        <v>70</v>
      </c>
    </row>
    <row r="13" spans="1:65" x14ac:dyDescent="0.3">
      <c r="BM13" s="8" t="s">
        <v>71</v>
      </c>
    </row>
    <row r="14" spans="1:65" x14ac:dyDescent="0.3">
      <c r="BM14" s="8" t="s">
        <v>72</v>
      </c>
    </row>
    <row r="15" spans="1:65" x14ac:dyDescent="0.3">
      <c r="AU15" t="s">
        <v>118</v>
      </c>
      <c r="AV15" t="s">
        <v>2</v>
      </c>
      <c r="AW15" t="s">
        <v>67</v>
      </c>
      <c r="AX15" t="s">
        <v>68</v>
      </c>
      <c r="BM15" s="8" t="s">
        <v>73</v>
      </c>
    </row>
    <row r="16" spans="1:65" x14ac:dyDescent="0.3">
      <c r="AV16" t="s">
        <v>27</v>
      </c>
      <c r="AW16" t="s">
        <v>63</v>
      </c>
      <c r="AX16">
        <v>30</v>
      </c>
      <c r="BM16" s="8" t="s">
        <v>74</v>
      </c>
    </row>
    <row r="17" spans="47:66" x14ac:dyDescent="0.3">
      <c r="AV17" t="s">
        <v>27</v>
      </c>
      <c r="AW17" t="s">
        <v>62</v>
      </c>
      <c r="AX17">
        <v>15</v>
      </c>
      <c r="BM17" s="8" t="s">
        <v>75</v>
      </c>
    </row>
    <row r="18" spans="47:66" x14ac:dyDescent="0.3">
      <c r="AV18" t="s">
        <v>27</v>
      </c>
      <c r="AW18" t="s">
        <v>61</v>
      </c>
      <c r="AX18">
        <v>15</v>
      </c>
      <c r="BM18" s="8" t="s">
        <v>76</v>
      </c>
    </row>
    <row r="19" spans="47:66" x14ac:dyDescent="0.3">
      <c r="AV19" t="s">
        <v>27</v>
      </c>
      <c r="AW19" t="s">
        <v>64</v>
      </c>
      <c r="AX19">
        <v>5</v>
      </c>
    </row>
    <row r="21" spans="47:66" x14ac:dyDescent="0.3">
      <c r="BM21" s="9" t="s">
        <v>77</v>
      </c>
      <c r="BN21" t="s">
        <v>278</v>
      </c>
    </row>
    <row r="22" spans="47:66" x14ac:dyDescent="0.3">
      <c r="AU22" t="s">
        <v>297</v>
      </c>
      <c r="AV22" t="s">
        <v>2</v>
      </c>
      <c r="AW22" s="4" t="s">
        <v>81</v>
      </c>
    </row>
    <row r="23" spans="47:66" x14ac:dyDescent="0.3">
      <c r="AV23" t="s">
        <v>27</v>
      </c>
      <c r="AW23" s="4">
        <v>65</v>
      </c>
      <c r="BM23" s="14" t="s">
        <v>78</v>
      </c>
      <c r="BN23" t="s">
        <v>280</v>
      </c>
    </row>
    <row r="25" spans="47:66" x14ac:dyDescent="0.3">
      <c r="BM25" s="15" t="s">
        <v>79</v>
      </c>
      <c r="BN25" t="s">
        <v>282</v>
      </c>
    </row>
    <row r="27" spans="47:66" x14ac:dyDescent="0.3">
      <c r="BM27" s="16" t="s">
        <v>80</v>
      </c>
      <c r="BN27" t="s">
        <v>284</v>
      </c>
    </row>
    <row r="31" spans="47:66" x14ac:dyDescent="0.3">
      <c r="BM31" s="4" t="s">
        <v>81</v>
      </c>
      <c r="BN31" t="s">
        <v>286</v>
      </c>
    </row>
    <row r="32" spans="47:66" x14ac:dyDescent="0.3">
      <c r="BN32" t="s">
        <v>295</v>
      </c>
    </row>
    <row r="33" spans="65:75" x14ac:dyDescent="0.3">
      <c r="BN33" t="s">
        <v>287</v>
      </c>
    </row>
    <row r="34" spans="65:75" x14ac:dyDescent="0.3">
      <c r="BN34" t="s">
        <v>288</v>
      </c>
    </row>
    <row r="35" spans="65:75" x14ac:dyDescent="0.3">
      <c r="BN35" t="s">
        <v>289</v>
      </c>
      <c r="BU35" t="s">
        <v>118</v>
      </c>
      <c r="BV35" t="s">
        <v>2</v>
      </c>
      <c r="BW35" t="s">
        <v>67</v>
      </c>
    </row>
    <row r="36" spans="65:75" x14ac:dyDescent="0.3">
      <c r="BN36" t="s">
        <v>296</v>
      </c>
      <c r="BV36" t="s">
        <v>27</v>
      </c>
      <c r="BW36" t="s">
        <v>63</v>
      </c>
    </row>
    <row r="37" spans="65:75" x14ac:dyDescent="0.3">
      <c r="BN37" t="s">
        <v>291</v>
      </c>
      <c r="BV37" t="s">
        <v>27</v>
      </c>
      <c r="BW37" t="s">
        <v>62</v>
      </c>
    </row>
    <row r="38" spans="65:75" x14ac:dyDescent="0.3">
      <c r="BN38" t="s">
        <v>292</v>
      </c>
      <c r="BV38" t="s">
        <v>27</v>
      </c>
      <c r="BW38" t="s">
        <v>61</v>
      </c>
    </row>
    <row r="39" spans="65:75" x14ac:dyDescent="0.3">
      <c r="BN39" t="s">
        <v>290</v>
      </c>
      <c r="BV39" t="s">
        <v>27</v>
      </c>
      <c r="BW39" t="s">
        <v>64</v>
      </c>
    </row>
    <row r="40" spans="65:75" x14ac:dyDescent="0.3">
      <c r="BN40" t="s">
        <v>293</v>
      </c>
    </row>
    <row r="41" spans="65:75" x14ac:dyDescent="0.3">
      <c r="BN41" t="s">
        <v>294</v>
      </c>
    </row>
    <row r="42" spans="65:75" x14ac:dyDescent="0.3">
      <c r="BU42" t="s">
        <v>297</v>
      </c>
      <c r="BV42" t="s">
        <v>2</v>
      </c>
      <c r="BW42" t="s">
        <v>81</v>
      </c>
    </row>
    <row r="43" spans="65:75" x14ac:dyDescent="0.3">
      <c r="BV43" t="s">
        <v>27</v>
      </c>
      <c r="BW43">
        <v>65</v>
      </c>
    </row>
    <row r="46" spans="65:75" x14ac:dyDescent="0.3">
      <c r="BM46" s="17" t="s">
        <v>82</v>
      </c>
      <c r="BN46" t="s">
        <v>298</v>
      </c>
    </row>
    <row r="49" spans="65:66" x14ac:dyDescent="0.3">
      <c r="BM49" s="18" t="s">
        <v>83</v>
      </c>
      <c r="BN49" t="s">
        <v>299</v>
      </c>
    </row>
    <row r="52" spans="65:66" x14ac:dyDescent="0.3">
      <c r="BM52" s="2" t="s">
        <v>84</v>
      </c>
      <c r="BN52" t="s">
        <v>300</v>
      </c>
    </row>
    <row r="56" spans="65:66" x14ac:dyDescent="0.3">
      <c r="BM56" s="19" t="s">
        <v>87</v>
      </c>
      <c r="BN56" t="s">
        <v>301</v>
      </c>
    </row>
    <row r="58" spans="65:66" x14ac:dyDescent="0.3">
      <c r="BM58" s="20" t="s">
        <v>88</v>
      </c>
      <c r="BN58" t="s">
        <v>302</v>
      </c>
    </row>
    <row r="59" spans="65:66" x14ac:dyDescent="0.3">
      <c r="BN59" s="7" t="s">
        <v>269</v>
      </c>
    </row>
    <row r="60" spans="65:66" x14ac:dyDescent="0.3">
      <c r="BN60" s="7" t="s">
        <v>304</v>
      </c>
    </row>
    <row r="63" spans="65:66" x14ac:dyDescent="0.3">
      <c r="BM63" s="21" t="s">
        <v>90</v>
      </c>
      <c r="BN63" t="s">
        <v>305</v>
      </c>
    </row>
    <row r="65" spans="65:66" x14ac:dyDescent="0.3">
      <c r="BM65" s="22" t="s">
        <v>91</v>
      </c>
      <c r="BN65" t="s">
        <v>306</v>
      </c>
    </row>
    <row r="68" spans="65:66" x14ac:dyDescent="0.3">
      <c r="BM68" s="23" t="s">
        <v>93</v>
      </c>
      <c r="BN68" t="s">
        <v>307</v>
      </c>
    </row>
    <row r="70" spans="65:66" x14ac:dyDescent="0.3">
      <c r="BM70" s="24" t="s">
        <v>94</v>
      </c>
      <c r="BN70" t="s">
        <v>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7DC6-607E-40FB-A6C9-E153A0261A85}">
  <dimension ref="A1:CG59"/>
  <sheetViews>
    <sheetView zoomScale="55" zoomScaleNormal="55" workbookViewId="0">
      <pane xSplit="1" topLeftCell="AP1" activePane="topRight" state="frozen"/>
      <selection pane="topRight" activeCell="BF21" sqref="BF21"/>
    </sheetView>
  </sheetViews>
  <sheetFormatPr defaultRowHeight="14" x14ac:dyDescent="0.3"/>
  <cols>
    <col min="39" max="39" width="11.1640625" customWidth="1"/>
    <col min="47" max="47" width="15.25" bestFit="1" customWidth="1"/>
    <col min="61" max="61" width="16.25" bestFit="1" customWidth="1"/>
  </cols>
  <sheetData>
    <row r="1" spans="1:63" x14ac:dyDescent="0.3">
      <c r="A1" s="2" t="s">
        <v>40</v>
      </c>
      <c r="B1" t="s">
        <v>2</v>
      </c>
      <c r="C1" t="s">
        <v>3</v>
      </c>
      <c r="D1" t="s">
        <v>4</v>
      </c>
      <c r="E1" t="s">
        <v>101</v>
      </c>
      <c r="F1" t="s">
        <v>102</v>
      </c>
      <c r="G1" t="s">
        <v>0</v>
      </c>
      <c r="H1" t="s">
        <v>1</v>
      </c>
      <c r="I1" t="s">
        <v>41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103</v>
      </c>
      <c r="W1" t="s">
        <v>21</v>
      </c>
      <c r="X1" t="s">
        <v>67</v>
      </c>
      <c r="Y1" t="s">
        <v>22</v>
      </c>
      <c r="Z1" t="s">
        <v>104</v>
      </c>
      <c r="AA1" t="s">
        <v>23</v>
      </c>
      <c r="AB1" t="s">
        <v>24</v>
      </c>
      <c r="AC1" t="s">
        <v>25</v>
      </c>
      <c r="AD1" t="s">
        <v>44</v>
      </c>
      <c r="AE1" t="s">
        <v>65</v>
      </c>
      <c r="AF1" t="s">
        <v>79</v>
      </c>
      <c r="AG1" t="s">
        <v>78</v>
      </c>
      <c r="AH1" t="s">
        <v>68</v>
      </c>
      <c r="AI1" t="s">
        <v>75</v>
      </c>
      <c r="AJ1" s="25" t="s">
        <v>74</v>
      </c>
      <c r="AK1" t="s">
        <v>76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s="4" t="s">
        <v>105</v>
      </c>
      <c r="AV1" t="s">
        <v>106</v>
      </c>
      <c r="AW1" t="s">
        <v>107</v>
      </c>
      <c r="AX1" t="s">
        <v>108</v>
      </c>
      <c r="AY1" s="27" t="s">
        <v>109</v>
      </c>
      <c r="AZ1" t="s">
        <v>110</v>
      </c>
      <c r="BA1" t="s">
        <v>111</v>
      </c>
      <c r="BB1" t="s">
        <v>112</v>
      </c>
      <c r="BC1" s="2" t="s">
        <v>113</v>
      </c>
      <c r="BD1" t="s">
        <v>114</v>
      </c>
      <c r="BH1" s="26"/>
      <c r="BI1" s="4" t="s">
        <v>105</v>
      </c>
      <c r="BJ1" t="s">
        <v>162</v>
      </c>
    </row>
    <row r="2" spans="1:63" x14ac:dyDescent="0.3">
      <c r="A2">
        <v>1</v>
      </c>
      <c r="B2" t="s">
        <v>27</v>
      </c>
      <c r="C2">
        <v>2021</v>
      </c>
      <c r="D2">
        <v>1</v>
      </c>
      <c r="E2" t="s">
        <v>115</v>
      </c>
      <c r="F2" t="s">
        <v>116</v>
      </c>
      <c r="G2" t="s">
        <v>26</v>
      </c>
      <c r="I2" t="s">
        <v>26</v>
      </c>
      <c r="J2" t="s">
        <v>28</v>
      </c>
      <c r="K2">
        <v>123</v>
      </c>
      <c r="L2">
        <v>123</v>
      </c>
      <c r="M2" s="1">
        <v>44414.390844907408</v>
      </c>
      <c r="N2" t="s">
        <v>29</v>
      </c>
      <c r="O2" t="s">
        <v>26</v>
      </c>
      <c r="P2" t="s">
        <v>30</v>
      </c>
      <c r="T2" t="s">
        <v>31</v>
      </c>
      <c r="U2" t="s">
        <v>32</v>
      </c>
      <c r="W2" t="s">
        <v>31</v>
      </c>
      <c r="X2" t="s">
        <v>61</v>
      </c>
      <c r="Y2">
        <v>1</v>
      </c>
      <c r="Z2" s="6" t="s">
        <v>117</v>
      </c>
      <c r="AA2" s="6" t="s">
        <v>33</v>
      </c>
      <c r="AB2" s="6">
        <v>4</v>
      </c>
      <c r="AC2" s="6">
        <v>4</v>
      </c>
      <c r="AD2" s="6">
        <v>4</v>
      </c>
      <c r="AE2" s="6">
        <v>1</v>
      </c>
      <c r="AF2" s="6">
        <v>15</v>
      </c>
      <c r="AG2" s="6">
        <v>15</v>
      </c>
      <c r="AH2" s="6">
        <v>15</v>
      </c>
      <c r="AI2" s="6">
        <v>15</v>
      </c>
      <c r="AJ2" s="6">
        <v>15</v>
      </c>
      <c r="AK2" s="6">
        <v>100</v>
      </c>
      <c r="AL2" s="6">
        <v>15</v>
      </c>
      <c r="AM2" s="6">
        <v>15</v>
      </c>
      <c r="AN2" s="6" t="s">
        <v>96</v>
      </c>
      <c r="AO2" s="6" t="s">
        <v>31</v>
      </c>
      <c r="AP2" s="6" t="s">
        <v>31</v>
      </c>
      <c r="AQ2" s="6" t="s">
        <v>31</v>
      </c>
      <c r="AR2" s="6" t="s">
        <v>31</v>
      </c>
      <c r="AS2" s="6" t="s">
        <v>31</v>
      </c>
      <c r="AT2" s="6" t="s">
        <v>31</v>
      </c>
      <c r="AU2" s="6" t="s">
        <v>118</v>
      </c>
      <c r="AV2" s="6">
        <v>290</v>
      </c>
      <c r="AW2" s="6">
        <v>4</v>
      </c>
      <c r="AX2" s="6">
        <v>72.5</v>
      </c>
      <c r="AY2" s="6" t="s">
        <v>119</v>
      </c>
      <c r="AZ2" s="6">
        <v>72.5</v>
      </c>
      <c r="BA2" s="6">
        <v>1</v>
      </c>
      <c r="BB2" s="6">
        <v>72.5</v>
      </c>
      <c r="BC2" s="6" t="s">
        <v>119</v>
      </c>
      <c r="BD2" s="6">
        <v>-4</v>
      </c>
      <c r="BK2" t="s">
        <v>309</v>
      </c>
    </row>
    <row r="3" spans="1:63" x14ac:dyDescent="0.3">
      <c r="A3">
        <v>2</v>
      </c>
      <c r="B3" t="s">
        <v>27</v>
      </c>
      <c r="C3">
        <v>2021</v>
      </c>
      <c r="D3">
        <v>1</v>
      </c>
      <c r="E3" t="s">
        <v>115</v>
      </c>
      <c r="F3" t="s">
        <v>116</v>
      </c>
      <c r="G3" t="s">
        <v>26</v>
      </c>
      <c r="I3" t="s">
        <v>26</v>
      </c>
      <c r="J3" t="s">
        <v>28</v>
      </c>
      <c r="K3">
        <v>123</v>
      </c>
      <c r="L3">
        <v>123</v>
      </c>
      <c r="M3" s="1">
        <v>44414.390844907408</v>
      </c>
      <c r="N3" t="s">
        <v>29</v>
      </c>
      <c r="O3" t="s">
        <v>26</v>
      </c>
      <c r="P3" t="s">
        <v>30</v>
      </c>
      <c r="T3" t="s">
        <v>31</v>
      </c>
      <c r="U3" t="s">
        <v>32</v>
      </c>
      <c r="W3" t="s">
        <v>31</v>
      </c>
      <c r="X3" t="s">
        <v>61</v>
      </c>
      <c r="Y3">
        <v>2</v>
      </c>
      <c r="Z3" t="s">
        <v>120</v>
      </c>
      <c r="AA3" t="s">
        <v>34</v>
      </c>
      <c r="AB3">
        <v>3</v>
      </c>
      <c r="AC3">
        <v>3</v>
      </c>
      <c r="AD3">
        <v>4</v>
      </c>
      <c r="AE3">
        <v>0.75</v>
      </c>
      <c r="AF3">
        <v>15</v>
      </c>
      <c r="AG3">
        <v>11.25</v>
      </c>
      <c r="AH3">
        <v>15</v>
      </c>
      <c r="AI3">
        <v>15</v>
      </c>
      <c r="AJ3">
        <v>11.25</v>
      </c>
      <c r="AK3">
        <v>100</v>
      </c>
      <c r="AL3">
        <v>15</v>
      </c>
      <c r="AM3">
        <v>11.25</v>
      </c>
      <c r="AN3" t="s">
        <v>100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t="s">
        <v>31</v>
      </c>
      <c r="AU3" t="s">
        <v>118</v>
      </c>
      <c r="AV3">
        <v>290</v>
      </c>
      <c r="AW3">
        <v>4</v>
      </c>
      <c r="AX3">
        <v>72.5</v>
      </c>
      <c r="AY3" t="s">
        <v>119</v>
      </c>
      <c r="AZ3">
        <v>72.5</v>
      </c>
      <c r="BA3">
        <v>1</v>
      </c>
      <c r="BB3">
        <v>72.5</v>
      </c>
      <c r="BC3" t="s">
        <v>119</v>
      </c>
      <c r="BD3">
        <v>-4</v>
      </c>
      <c r="BK3" t="s">
        <v>310</v>
      </c>
    </row>
    <row r="4" spans="1:63" x14ac:dyDescent="0.3">
      <c r="A4">
        <v>3</v>
      </c>
      <c r="B4" t="s">
        <v>27</v>
      </c>
      <c r="C4">
        <v>2021</v>
      </c>
      <c r="D4">
        <v>1</v>
      </c>
      <c r="E4" t="s">
        <v>115</v>
      </c>
      <c r="F4" t="s">
        <v>116</v>
      </c>
      <c r="G4" t="s">
        <v>26</v>
      </c>
      <c r="I4" t="s">
        <v>26</v>
      </c>
      <c r="J4" t="s">
        <v>28</v>
      </c>
      <c r="K4">
        <v>123</v>
      </c>
      <c r="L4">
        <v>123</v>
      </c>
      <c r="M4" s="1">
        <v>44414.390844907408</v>
      </c>
      <c r="N4" t="s">
        <v>29</v>
      </c>
      <c r="O4" t="s">
        <v>26</v>
      </c>
      <c r="P4" t="s">
        <v>30</v>
      </c>
      <c r="T4" t="s">
        <v>31</v>
      </c>
      <c r="U4" t="s">
        <v>32</v>
      </c>
      <c r="W4" t="s">
        <v>31</v>
      </c>
      <c r="X4" t="s">
        <v>64</v>
      </c>
      <c r="Y4">
        <v>4</v>
      </c>
      <c r="Z4" t="s">
        <v>121</v>
      </c>
      <c r="AA4" t="s">
        <v>36</v>
      </c>
      <c r="AB4">
        <v>4</v>
      </c>
      <c r="AC4">
        <v>4</v>
      </c>
      <c r="AD4">
        <v>4</v>
      </c>
      <c r="AE4">
        <v>1</v>
      </c>
      <c r="AF4">
        <v>5</v>
      </c>
      <c r="AG4">
        <v>5</v>
      </c>
      <c r="AH4">
        <v>5</v>
      </c>
      <c r="AI4">
        <v>5</v>
      </c>
      <c r="AJ4">
        <v>5</v>
      </c>
      <c r="AK4">
        <v>100</v>
      </c>
      <c r="AL4">
        <v>5</v>
      </c>
      <c r="AM4">
        <v>5</v>
      </c>
      <c r="AN4" t="s">
        <v>99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  <c r="AU4" t="s">
        <v>118</v>
      </c>
      <c r="AV4">
        <v>290</v>
      </c>
      <c r="AW4">
        <v>4</v>
      </c>
      <c r="AX4">
        <v>72.5</v>
      </c>
      <c r="AY4" t="s">
        <v>119</v>
      </c>
      <c r="AZ4">
        <v>72.5</v>
      </c>
      <c r="BA4">
        <v>1</v>
      </c>
      <c r="BB4">
        <v>72.5</v>
      </c>
      <c r="BC4" t="s">
        <v>119</v>
      </c>
      <c r="BD4">
        <v>-4</v>
      </c>
      <c r="BK4" t="s">
        <v>311</v>
      </c>
    </row>
    <row r="5" spans="1:63" x14ac:dyDescent="0.3">
      <c r="A5">
        <v>4</v>
      </c>
      <c r="B5" t="s">
        <v>27</v>
      </c>
      <c r="C5">
        <v>2021</v>
      </c>
      <c r="D5">
        <v>1</v>
      </c>
      <c r="E5" t="s">
        <v>115</v>
      </c>
      <c r="F5" t="s">
        <v>116</v>
      </c>
      <c r="G5" t="s">
        <v>26</v>
      </c>
      <c r="I5" t="s">
        <v>26</v>
      </c>
      <c r="J5" t="s">
        <v>28</v>
      </c>
      <c r="K5">
        <v>123</v>
      </c>
      <c r="L5">
        <v>123</v>
      </c>
      <c r="M5" s="1">
        <v>44414.390844907408</v>
      </c>
      <c r="N5" t="s">
        <v>29</v>
      </c>
      <c r="O5" t="s">
        <v>26</v>
      </c>
      <c r="P5" t="s">
        <v>30</v>
      </c>
      <c r="T5" t="s">
        <v>31</v>
      </c>
      <c r="U5" t="s">
        <v>32</v>
      </c>
      <c r="W5" t="s">
        <v>31</v>
      </c>
      <c r="X5" t="s">
        <v>63</v>
      </c>
      <c r="Y5">
        <v>3</v>
      </c>
      <c r="Z5" t="s">
        <v>122</v>
      </c>
      <c r="AA5" t="s">
        <v>35</v>
      </c>
      <c r="AB5">
        <v>3</v>
      </c>
      <c r="AC5">
        <v>3</v>
      </c>
      <c r="AD5">
        <v>4</v>
      </c>
      <c r="AE5">
        <v>0.75</v>
      </c>
      <c r="AF5">
        <v>30</v>
      </c>
      <c r="AG5">
        <v>22.5</v>
      </c>
      <c r="AH5">
        <v>30</v>
      </c>
      <c r="AI5">
        <v>30</v>
      </c>
      <c r="AJ5">
        <v>22.5</v>
      </c>
      <c r="AK5">
        <v>100</v>
      </c>
      <c r="AL5">
        <v>30</v>
      </c>
      <c r="AM5">
        <v>22.5</v>
      </c>
      <c r="AN5" t="s">
        <v>97</v>
      </c>
      <c r="AO5" t="s">
        <v>31</v>
      </c>
      <c r="AP5" t="s">
        <v>31</v>
      </c>
      <c r="AQ5" t="s">
        <v>31</v>
      </c>
      <c r="AR5" t="s">
        <v>31</v>
      </c>
      <c r="AS5" t="s">
        <v>31</v>
      </c>
      <c r="AT5" t="s">
        <v>31</v>
      </c>
      <c r="AU5" t="s">
        <v>118</v>
      </c>
      <c r="AV5">
        <v>290</v>
      </c>
      <c r="AW5">
        <v>4</v>
      </c>
      <c r="AX5">
        <v>72.5</v>
      </c>
      <c r="AY5" t="s">
        <v>119</v>
      </c>
      <c r="AZ5">
        <v>72.5</v>
      </c>
      <c r="BA5">
        <v>1</v>
      </c>
      <c r="BB5">
        <v>72.5</v>
      </c>
      <c r="BC5" t="s">
        <v>119</v>
      </c>
      <c r="BD5">
        <v>-4</v>
      </c>
      <c r="BK5" t="s">
        <v>312</v>
      </c>
    </row>
    <row r="6" spans="1:63" x14ac:dyDescent="0.3">
      <c r="A6">
        <v>5</v>
      </c>
      <c r="B6" t="s">
        <v>27</v>
      </c>
      <c r="C6">
        <v>2021</v>
      </c>
      <c r="D6">
        <v>1</v>
      </c>
      <c r="E6" t="s">
        <v>115</v>
      </c>
      <c r="F6" t="s">
        <v>116</v>
      </c>
      <c r="G6" t="s">
        <v>26</v>
      </c>
      <c r="I6" t="s">
        <v>26</v>
      </c>
      <c r="J6" t="s">
        <v>28</v>
      </c>
      <c r="K6">
        <v>123</v>
      </c>
      <c r="L6">
        <v>123</v>
      </c>
      <c r="M6" s="1">
        <v>44414.390844907408</v>
      </c>
      <c r="N6" t="s">
        <v>29</v>
      </c>
      <c r="O6" t="s">
        <v>26</v>
      </c>
      <c r="P6" t="s">
        <v>30</v>
      </c>
      <c r="T6" t="s">
        <v>31</v>
      </c>
      <c r="U6" t="s">
        <v>32</v>
      </c>
      <c r="W6" t="s">
        <v>31</v>
      </c>
      <c r="X6" t="s">
        <v>62</v>
      </c>
      <c r="Y6">
        <v>7</v>
      </c>
      <c r="Z6" t="s">
        <v>123</v>
      </c>
      <c r="AA6" t="s">
        <v>39</v>
      </c>
      <c r="AB6">
        <v>4</v>
      </c>
      <c r="AC6">
        <v>4</v>
      </c>
      <c r="AD6">
        <v>4</v>
      </c>
      <c r="AE6">
        <v>1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100</v>
      </c>
      <c r="AL6">
        <v>15</v>
      </c>
      <c r="AM6">
        <v>15</v>
      </c>
      <c r="AN6" t="s">
        <v>96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118</v>
      </c>
      <c r="AV6">
        <v>290</v>
      </c>
      <c r="AW6">
        <v>4</v>
      </c>
      <c r="AX6">
        <v>72.5</v>
      </c>
      <c r="AY6" t="s">
        <v>119</v>
      </c>
      <c r="AZ6">
        <v>72.5</v>
      </c>
      <c r="BA6">
        <v>1</v>
      </c>
      <c r="BB6">
        <v>72.5</v>
      </c>
      <c r="BC6" t="s">
        <v>119</v>
      </c>
      <c r="BD6">
        <v>-4</v>
      </c>
      <c r="BK6" t="s">
        <v>313</v>
      </c>
    </row>
    <row r="7" spans="1:63" x14ac:dyDescent="0.3">
      <c r="A7">
        <v>6</v>
      </c>
      <c r="B7" t="s">
        <v>27</v>
      </c>
      <c r="C7">
        <v>2021</v>
      </c>
      <c r="D7">
        <v>1</v>
      </c>
      <c r="E7" t="s">
        <v>115</v>
      </c>
      <c r="F7" t="s">
        <v>116</v>
      </c>
      <c r="G7" t="s">
        <v>26</v>
      </c>
      <c r="I7" t="s">
        <v>26</v>
      </c>
      <c r="J7" t="s">
        <v>28</v>
      </c>
      <c r="K7">
        <v>123</v>
      </c>
      <c r="L7">
        <v>123</v>
      </c>
      <c r="M7" s="1">
        <v>44414.390844907408</v>
      </c>
      <c r="N7" t="s">
        <v>29</v>
      </c>
      <c r="O7" t="s">
        <v>26</v>
      </c>
      <c r="P7" t="s">
        <v>30</v>
      </c>
      <c r="T7" t="s">
        <v>31</v>
      </c>
      <c r="U7" t="s">
        <v>32</v>
      </c>
      <c r="W7" t="s">
        <v>31</v>
      </c>
      <c r="X7" t="s">
        <v>62</v>
      </c>
      <c r="Y7">
        <v>6</v>
      </c>
      <c r="Z7" t="s">
        <v>124</v>
      </c>
      <c r="AA7" t="s">
        <v>38</v>
      </c>
      <c r="AB7">
        <v>4</v>
      </c>
      <c r="AC7">
        <v>4</v>
      </c>
      <c r="AD7">
        <v>4</v>
      </c>
      <c r="AE7">
        <v>1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100</v>
      </c>
      <c r="AL7">
        <v>15</v>
      </c>
      <c r="AM7">
        <v>15</v>
      </c>
      <c r="AN7" t="s">
        <v>96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31</v>
      </c>
      <c r="AU7" t="s">
        <v>118</v>
      </c>
      <c r="AV7">
        <v>290</v>
      </c>
      <c r="AW7">
        <v>4</v>
      </c>
      <c r="AX7">
        <v>72.5</v>
      </c>
      <c r="AY7" t="s">
        <v>119</v>
      </c>
      <c r="AZ7">
        <v>72.5</v>
      </c>
      <c r="BA7">
        <v>1</v>
      </c>
      <c r="BB7">
        <v>72.5</v>
      </c>
      <c r="BC7" t="s">
        <v>119</v>
      </c>
      <c r="BD7">
        <v>-4</v>
      </c>
      <c r="BJ7" t="s">
        <v>314</v>
      </c>
    </row>
    <row r="8" spans="1:63" x14ac:dyDescent="0.3">
      <c r="A8">
        <v>7</v>
      </c>
      <c r="B8" t="s">
        <v>27</v>
      </c>
      <c r="C8">
        <v>2021</v>
      </c>
      <c r="D8">
        <v>1</v>
      </c>
      <c r="E8" t="s">
        <v>115</v>
      </c>
      <c r="F8" t="s">
        <v>116</v>
      </c>
      <c r="G8" t="s">
        <v>26</v>
      </c>
      <c r="I8" t="s">
        <v>26</v>
      </c>
      <c r="J8" t="s">
        <v>28</v>
      </c>
      <c r="K8">
        <v>123</v>
      </c>
      <c r="L8">
        <v>123</v>
      </c>
      <c r="M8" s="1">
        <v>44414.390844907408</v>
      </c>
      <c r="N8" t="s">
        <v>29</v>
      </c>
      <c r="O8" t="s">
        <v>26</v>
      </c>
      <c r="P8" t="s">
        <v>30</v>
      </c>
      <c r="T8" t="s">
        <v>31</v>
      </c>
      <c r="U8" t="s">
        <v>32</v>
      </c>
      <c r="W8" t="s">
        <v>31</v>
      </c>
      <c r="X8" t="s">
        <v>64</v>
      </c>
      <c r="Y8">
        <v>5</v>
      </c>
      <c r="Z8" t="s">
        <v>125</v>
      </c>
      <c r="AA8" t="s">
        <v>37</v>
      </c>
      <c r="AB8">
        <v>3</v>
      </c>
      <c r="AC8">
        <v>3</v>
      </c>
      <c r="AD8">
        <v>4</v>
      </c>
      <c r="AE8">
        <v>0.75</v>
      </c>
      <c r="AF8">
        <v>5</v>
      </c>
      <c r="AG8">
        <v>3.75</v>
      </c>
      <c r="AH8">
        <v>5</v>
      </c>
      <c r="AI8">
        <v>5</v>
      </c>
      <c r="AJ8">
        <v>3.75</v>
      </c>
      <c r="AK8">
        <v>100</v>
      </c>
      <c r="AL8">
        <v>5</v>
      </c>
      <c r="AM8">
        <v>3.75</v>
      </c>
      <c r="AN8" t="s">
        <v>98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31</v>
      </c>
      <c r="AU8" t="s">
        <v>118</v>
      </c>
      <c r="AV8">
        <v>290</v>
      </c>
      <c r="AW8">
        <v>4</v>
      </c>
      <c r="AX8">
        <v>72.5</v>
      </c>
      <c r="AY8" t="s">
        <v>119</v>
      </c>
      <c r="AZ8">
        <v>72.5</v>
      </c>
      <c r="BA8">
        <v>1</v>
      </c>
      <c r="BB8">
        <v>72.5</v>
      </c>
      <c r="BC8" t="s">
        <v>119</v>
      </c>
      <c r="BD8">
        <v>-4</v>
      </c>
    </row>
    <row r="9" spans="1:63" x14ac:dyDescent="0.3">
      <c r="BJ9" s="7" t="s">
        <v>315</v>
      </c>
    </row>
    <row r="11" spans="1:63" x14ac:dyDescent="0.3">
      <c r="AU11" s="7" t="s">
        <v>317</v>
      </c>
      <c r="BJ11" s="7" t="s">
        <v>316</v>
      </c>
    </row>
    <row r="15" spans="1:63" x14ac:dyDescent="0.3">
      <c r="BI15" s="27" t="s">
        <v>109</v>
      </c>
      <c r="BJ15" t="s">
        <v>162</v>
      </c>
    </row>
    <row r="16" spans="1:63" x14ac:dyDescent="0.3">
      <c r="BK16" t="s">
        <v>318</v>
      </c>
    </row>
    <row r="17" spans="62:85" x14ac:dyDescent="0.3">
      <c r="BK17" t="s">
        <v>319</v>
      </c>
    </row>
    <row r="18" spans="62:85" x14ac:dyDescent="0.3">
      <c r="BK18" t="s">
        <v>320</v>
      </c>
    </row>
    <row r="19" spans="62:85" x14ac:dyDescent="0.3">
      <c r="BK19" t="s">
        <v>321</v>
      </c>
    </row>
    <row r="20" spans="62:85" x14ac:dyDescent="0.3">
      <c r="BK20" t="s">
        <v>313</v>
      </c>
    </row>
    <row r="21" spans="62:85" x14ac:dyDescent="0.3">
      <c r="BJ21" t="s">
        <v>322</v>
      </c>
    </row>
    <row r="24" spans="62:85" x14ac:dyDescent="0.3">
      <c r="BJ24" s="7" t="s">
        <v>323</v>
      </c>
      <c r="CA24">
        <f>CF28/CG28</f>
        <v>72.5</v>
      </c>
      <c r="CB24" s="7" t="s">
        <v>341</v>
      </c>
    </row>
    <row r="27" spans="62:85" x14ac:dyDescent="0.3">
      <c r="BJ27" s="7" t="s">
        <v>327</v>
      </c>
      <c r="BK27" t="s">
        <v>324</v>
      </c>
      <c r="CA27" t="s">
        <v>340</v>
      </c>
      <c r="CB27" t="s">
        <v>3</v>
      </c>
      <c r="CC27" t="s">
        <v>0</v>
      </c>
      <c r="CD27" t="s">
        <v>1</v>
      </c>
      <c r="CE27" t="s">
        <v>16</v>
      </c>
      <c r="CF27" t="s">
        <v>106</v>
      </c>
      <c r="CG27" t="s">
        <v>107</v>
      </c>
    </row>
    <row r="28" spans="62:85" x14ac:dyDescent="0.3">
      <c r="BK28" t="s">
        <v>325</v>
      </c>
      <c r="CB28">
        <v>2021</v>
      </c>
      <c r="CC28" t="s">
        <v>26</v>
      </c>
      <c r="CE28" t="s">
        <v>32</v>
      </c>
      <c r="CF28">
        <v>290</v>
      </c>
      <c r="CG28">
        <v>4</v>
      </c>
    </row>
    <row r="29" spans="62:85" x14ac:dyDescent="0.3">
      <c r="BK29" t="s">
        <v>326</v>
      </c>
    </row>
    <row r="31" spans="62:85" x14ac:dyDescent="0.3">
      <c r="BJ31" s="7" t="s">
        <v>261</v>
      </c>
      <c r="BK31" t="s">
        <v>328</v>
      </c>
    </row>
    <row r="32" spans="62:85" x14ac:dyDescent="0.3">
      <c r="BM32" t="s">
        <v>329</v>
      </c>
    </row>
    <row r="33" spans="63:67" x14ac:dyDescent="0.3">
      <c r="BO33" t="s">
        <v>330</v>
      </c>
    </row>
    <row r="34" spans="63:67" x14ac:dyDescent="0.3">
      <c r="BO34" t="s">
        <v>331</v>
      </c>
    </row>
    <row r="35" spans="63:67" x14ac:dyDescent="0.3">
      <c r="BO35" t="s">
        <v>332</v>
      </c>
    </row>
    <row r="36" spans="63:67" x14ac:dyDescent="0.3">
      <c r="BO36" t="s">
        <v>333</v>
      </c>
    </row>
    <row r="37" spans="63:67" x14ac:dyDescent="0.3">
      <c r="BO37" t="s">
        <v>334</v>
      </c>
    </row>
    <row r="38" spans="63:67" x14ac:dyDescent="0.3">
      <c r="BM38" t="s">
        <v>335</v>
      </c>
    </row>
    <row r="39" spans="63:67" x14ac:dyDescent="0.3">
      <c r="BK39" t="s">
        <v>336</v>
      </c>
    </row>
    <row r="40" spans="63:67" x14ac:dyDescent="0.3">
      <c r="BK40" t="s">
        <v>326</v>
      </c>
    </row>
    <row r="41" spans="63:67" x14ac:dyDescent="0.3">
      <c r="BK41" t="s">
        <v>337</v>
      </c>
    </row>
    <row r="42" spans="63:67" x14ac:dyDescent="0.3">
      <c r="BM42" t="s">
        <v>338</v>
      </c>
    </row>
    <row r="43" spans="63:67" x14ac:dyDescent="0.3">
      <c r="BM43" t="s">
        <v>339</v>
      </c>
    </row>
    <row r="49" spans="61:62" x14ac:dyDescent="0.3">
      <c r="BI49" s="2" t="s">
        <v>113</v>
      </c>
      <c r="BJ49" t="s">
        <v>342</v>
      </c>
    </row>
    <row r="50" spans="61:62" x14ac:dyDescent="0.3">
      <c r="BJ50" t="s">
        <v>343</v>
      </c>
    </row>
    <row r="51" spans="61:62" x14ac:dyDescent="0.3">
      <c r="BJ51" t="s">
        <v>344</v>
      </c>
    </row>
    <row r="52" spans="61:62" x14ac:dyDescent="0.3">
      <c r="BJ52" t="s">
        <v>345</v>
      </c>
    </row>
    <row r="53" spans="61:62" x14ac:dyDescent="0.3">
      <c r="BJ53" t="s">
        <v>346</v>
      </c>
    </row>
    <row r="54" spans="61:62" x14ac:dyDescent="0.3">
      <c r="BJ54" t="s">
        <v>347</v>
      </c>
    </row>
    <row r="55" spans="61:62" x14ac:dyDescent="0.3">
      <c r="BJ55" t="s">
        <v>348</v>
      </c>
    </row>
    <row r="56" spans="61:62" x14ac:dyDescent="0.3">
      <c r="BJ56" t="s">
        <v>349</v>
      </c>
    </row>
    <row r="59" spans="61:62" x14ac:dyDescent="0.3">
      <c r="BJ59" s="7" t="s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EB2-3E6E-46B5-9A43-C66E360B8ACE}">
  <dimension ref="A1:AF8"/>
  <sheetViews>
    <sheetView zoomScale="85" zoomScaleNormal="85" workbookViewId="0">
      <pane xSplit="1" topLeftCell="S1" activePane="topRight" state="frozen"/>
      <selection pane="topRight" activeCell="Y19" sqref="Y19"/>
    </sheetView>
  </sheetViews>
  <sheetFormatPr defaultRowHeight="14" x14ac:dyDescent="0.3"/>
  <cols>
    <col min="23" max="23" width="14.25" bestFit="1" customWidth="1"/>
    <col min="24" max="24" width="18.83203125" bestFit="1" customWidth="1"/>
    <col min="25" max="25" width="9.75" bestFit="1" customWidth="1"/>
    <col min="26" max="26" width="10.75" bestFit="1" customWidth="1"/>
    <col min="27" max="27" width="22.08203125" bestFit="1" customWidth="1"/>
    <col min="28" max="28" width="13.08203125" bestFit="1" customWidth="1"/>
    <col min="29" max="29" width="15.9140625" bestFit="1" customWidth="1"/>
    <col min="30" max="30" width="15.83203125" bestFit="1" customWidth="1"/>
    <col min="31" max="31" width="5.83203125" bestFit="1" customWidth="1"/>
    <col min="32" max="32" width="45.33203125" bestFit="1" customWidth="1"/>
  </cols>
  <sheetData>
    <row r="1" spans="1:32" x14ac:dyDescent="0.3">
      <c r="A1" s="2" t="s">
        <v>40</v>
      </c>
      <c r="B1" t="s">
        <v>2</v>
      </c>
      <c r="C1" t="s">
        <v>3</v>
      </c>
      <c r="D1" t="s">
        <v>0</v>
      </c>
      <c r="E1" t="s">
        <v>1</v>
      </c>
      <c r="F1" t="s">
        <v>41</v>
      </c>
      <c r="G1" t="s">
        <v>4</v>
      </c>
      <c r="H1" t="s">
        <v>5</v>
      </c>
      <c r="I1" t="s">
        <v>8</v>
      </c>
      <c r="J1" t="s">
        <v>9</v>
      </c>
      <c r="K1" t="s">
        <v>14</v>
      </c>
      <c r="L1" t="s">
        <v>13</v>
      </c>
      <c r="M1" t="s">
        <v>10</v>
      </c>
      <c r="N1" t="s">
        <v>11</v>
      </c>
      <c r="O1" t="s">
        <v>12</v>
      </c>
      <c r="P1" t="s">
        <v>16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23</v>
      </c>
      <c r="W1" t="s">
        <v>25</v>
      </c>
      <c r="X1" t="s">
        <v>44</v>
      </c>
      <c r="Y1" t="s">
        <v>65</v>
      </c>
      <c r="Z1" t="s">
        <v>87</v>
      </c>
      <c r="AA1" t="s">
        <v>126</v>
      </c>
      <c r="AB1" t="s">
        <v>68</v>
      </c>
      <c r="AC1" t="s">
        <v>127</v>
      </c>
      <c r="AD1" t="s">
        <v>128</v>
      </c>
      <c r="AE1" t="s">
        <v>74</v>
      </c>
      <c r="AF1" t="s">
        <v>129</v>
      </c>
    </row>
    <row r="2" spans="1:32" x14ac:dyDescent="0.3">
      <c r="A2">
        <v>1</v>
      </c>
      <c r="B2" t="s">
        <v>27</v>
      </c>
      <c r="C2">
        <v>2021</v>
      </c>
      <c r="D2" t="s">
        <v>26</v>
      </c>
      <c r="F2" t="s">
        <v>26</v>
      </c>
      <c r="G2">
        <v>1</v>
      </c>
      <c r="H2" t="s">
        <v>28</v>
      </c>
      <c r="I2" s="1">
        <v>44414.390844907408</v>
      </c>
      <c r="J2" t="s">
        <v>29</v>
      </c>
      <c r="M2" t="s">
        <v>26</v>
      </c>
      <c r="N2" t="s">
        <v>30</v>
      </c>
      <c r="P2" t="s">
        <v>32</v>
      </c>
      <c r="Q2" t="s">
        <v>31</v>
      </c>
      <c r="S2" t="s">
        <v>31</v>
      </c>
      <c r="T2" t="s">
        <v>63</v>
      </c>
      <c r="U2" t="s">
        <v>122</v>
      </c>
      <c r="V2" t="s">
        <v>35</v>
      </c>
      <c r="W2">
        <v>3</v>
      </c>
      <c r="X2">
        <v>4</v>
      </c>
      <c r="Y2">
        <v>0.75</v>
      </c>
      <c r="Z2">
        <v>30</v>
      </c>
      <c r="AA2" t="s">
        <v>31</v>
      </c>
      <c r="AB2">
        <v>30</v>
      </c>
      <c r="AC2">
        <v>30</v>
      </c>
      <c r="AD2">
        <v>30</v>
      </c>
      <c r="AE2">
        <v>22.5</v>
      </c>
      <c r="AF2" t="s">
        <v>130</v>
      </c>
    </row>
    <row r="3" spans="1:32" x14ac:dyDescent="0.3">
      <c r="A3">
        <v>2</v>
      </c>
      <c r="B3" t="s">
        <v>27</v>
      </c>
      <c r="C3">
        <v>2021</v>
      </c>
      <c r="D3" t="s">
        <v>26</v>
      </c>
      <c r="F3" t="s">
        <v>26</v>
      </c>
      <c r="G3">
        <v>1</v>
      </c>
      <c r="H3" t="s">
        <v>28</v>
      </c>
      <c r="I3" s="1">
        <v>44414.390844907408</v>
      </c>
      <c r="J3" t="s">
        <v>29</v>
      </c>
      <c r="M3" t="s">
        <v>26</v>
      </c>
      <c r="N3" t="s">
        <v>30</v>
      </c>
      <c r="P3" t="s">
        <v>32</v>
      </c>
      <c r="Q3" t="s">
        <v>31</v>
      </c>
      <c r="S3" t="s">
        <v>31</v>
      </c>
      <c r="T3" t="s">
        <v>62</v>
      </c>
      <c r="U3" t="s">
        <v>124</v>
      </c>
      <c r="V3" t="s">
        <v>38</v>
      </c>
      <c r="W3">
        <v>4</v>
      </c>
      <c r="X3">
        <v>4</v>
      </c>
      <c r="Y3">
        <v>1</v>
      </c>
      <c r="Z3">
        <v>15</v>
      </c>
      <c r="AA3" t="s">
        <v>31</v>
      </c>
      <c r="AB3">
        <v>15</v>
      </c>
      <c r="AC3">
        <v>15</v>
      </c>
      <c r="AD3">
        <v>15</v>
      </c>
      <c r="AE3">
        <v>15</v>
      </c>
      <c r="AF3" t="s">
        <v>131</v>
      </c>
    </row>
    <row r="4" spans="1:32" x14ac:dyDescent="0.3">
      <c r="A4">
        <v>3</v>
      </c>
      <c r="B4" t="s">
        <v>27</v>
      </c>
      <c r="C4">
        <v>2021</v>
      </c>
      <c r="D4" t="s">
        <v>26</v>
      </c>
      <c r="F4" t="s">
        <v>26</v>
      </c>
      <c r="G4">
        <v>1</v>
      </c>
      <c r="H4" t="s">
        <v>28</v>
      </c>
      <c r="I4" s="1">
        <v>44414.390844907408</v>
      </c>
      <c r="J4" t="s">
        <v>29</v>
      </c>
      <c r="M4" t="s">
        <v>26</v>
      </c>
      <c r="N4" t="s">
        <v>30</v>
      </c>
      <c r="P4" t="s">
        <v>32</v>
      </c>
      <c r="Q4" t="s">
        <v>31</v>
      </c>
      <c r="S4" t="s">
        <v>31</v>
      </c>
      <c r="T4" t="s">
        <v>62</v>
      </c>
      <c r="U4" t="s">
        <v>123</v>
      </c>
      <c r="V4" t="s">
        <v>39</v>
      </c>
      <c r="W4">
        <v>4</v>
      </c>
      <c r="X4">
        <v>4</v>
      </c>
      <c r="Y4">
        <v>1</v>
      </c>
      <c r="Z4">
        <v>15</v>
      </c>
      <c r="AA4" t="s">
        <v>31</v>
      </c>
      <c r="AB4">
        <v>15</v>
      </c>
      <c r="AC4">
        <v>15</v>
      </c>
      <c r="AD4">
        <v>15</v>
      </c>
      <c r="AE4">
        <v>15</v>
      </c>
      <c r="AF4" t="s">
        <v>131</v>
      </c>
    </row>
    <row r="5" spans="1:32" x14ac:dyDescent="0.3">
      <c r="A5">
        <v>4</v>
      </c>
      <c r="B5" t="s">
        <v>27</v>
      </c>
      <c r="C5">
        <v>2021</v>
      </c>
      <c r="D5" t="s">
        <v>26</v>
      </c>
      <c r="F5" t="s">
        <v>26</v>
      </c>
      <c r="G5">
        <v>1</v>
      </c>
      <c r="H5" t="s">
        <v>28</v>
      </c>
      <c r="I5" s="1">
        <v>44414.390844907408</v>
      </c>
      <c r="J5" t="s">
        <v>29</v>
      </c>
      <c r="M5" t="s">
        <v>26</v>
      </c>
      <c r="N5" t="s">
        <v>30</v>
      </c>
      <c r="P5" t="s">
        <v>32</v>
      </c>
      <c r="Q5" t="s">
        <v>31</v>
      </c>
      <c r="S5" t="s">
        <v>31</v>
      </c>
      <c r="T5" t="s">
        <v>61</v>
      </c>
      <c r="U5" t="s">
        <v>117</v>
      </c>
      <c r="V5" t="s">
        <v>33</v>
      </c>
      <c r="W5">
        <v>4</v>
      </c>
      <c r="X5">
        <v>4</v>
      </c>
      <c r="Y5">
        <v>1</v>
      </c>
      <c r="Z5">
        <v>15</v>
      </c>
      <c r="AA5" t="s">
        <v>31</v>
      </c>
      <c r="AB5">
        <v>15</v>
      </c>
      <c r="AC5">
        <v>15</v>
      </c>
      <c r="AD5">
        <v>15</v>
      </c>
      <c r="AE5">
        <v>15</v>
      </c>
      <c r="AF5" t="s">
        <v>131</v>
      </c>
    </row>
    <row r="6" spans="1:32" x14ac:dyDescent="0.3">
      <c r="A6">
        <v>5</v>
      </c>
      <c r="B6" t="s">
        <v>27</v>
      </c>
      <c r="C6">
        <v>2021</v>
      </c>
      <c r="D6" t="s">
        <v>26</v>
      </c>
      <c r="F6" t="s">
        <v>26</v>
      </c>
      <c r="G6">
        <v>1</v>
      </c>
      <c r="H6" t="s">
        <v>28</v>
      </c>
      <c r="I6" s="1">
        <v>44414.390844907408</v>
      </c>
      <c r="J6" t="s">
        <v>29</v>
      </c>
      <c r="M6" t="s">
        <v>26</v>
      </c>
      <c r="N6" t="s">
        <v>30</v>
      </c>
      <c r="P6" t="s">
        <v>32</v>
      </c>
      <c r="Q6" t="s">
        <v>31</v>
      </c>
      <c r="S6" t="s">
        <v>31</v>
      </c>
      <c r="T6" t="s">
        <v>61</v>
      </c>
      <c r="U6" t="s">
        <v>120</v>
      </c>
      <c r="V6" t="s">
        <v>34</v>
      </c>
      <c r="W6">
        <v>3</v>
      </c>
      <c r="X6">
        <v>4</v>
      </c>
      <c r="Y6">
        <v>0.75</v>
      </c>
      <c r="Z6">
        <v>15</v>
      </c>
      <c r="AA6" t="s">
        <v>31</v>
      </c>
      <c r="AB6">
        <v>15</v>
      </c>
      <c r="AC6">
        <v>15</v>
      </c>
      <c r="AD6">
        <v>15</v>
      </c>
      <c r="AE6">
        <v>11.25</v>
      </c>
      <c r="AF6" t="s">
        <v>132</v>
      </c>
    </row>
    <row r="7" spans="1:32" x14ac:dyDescent="0.3">
      <c r="A7">
        <v>6</v>
      </c>
      <c r="B7" t="s">
        <v>27</v>
      </c>
      <c r="C7">
        <v>2021</v>
      </c>
      <c r="D7" t="s">
        <v>26</v>
      </c>
      <c r="F7" t="s">
        <v>26</v>
      </c>
      <c r="G7">
        <v>1</v>
      </c>
      <c r="H7" t="s">
        <v>28</v>
      </c>
      <c r="I7" s="1">
        <v>44414.390844907408</v>
      </c>
      <c r="J7" t="s">
        <v>29</v>
      </c>
      <c r="M7" t="s">
        <v>26</v>
      </c>
      <c r="N7" t="s">
        <v>30</v>
      </c>
      <c r="P7" t="s">
        <v>32</v>
      </c>
      <c r="Q7" t="s">
        <v>31</v>
      </c>
      <c r="S7" t="s">
        <v>31</v>
      </c>
      <c r="T7" t="s">
        <v>64</v>
      </c>
      <c r="U7" t="s">
        <v>121</v>
      </c>
      <c r="V7" t="s">
        <v>36</v>
      </c>
      <c r="W7">
        <v>4</v>
      </c>
      <c r="X7">
        <v>4</v>
      </c>
      <c r="Y7">
        <v>1</v>
      </c>
      <c r="Z7">
        <v>5</v>
      </c>
      <c r="AA7" t="s">
        <v>31</v>
      </c>
      <c r="AB7">
        <v>5</v>
      </c>
      <c r="AC7">
        <v>5</v>
      </c>
      <c r="AD7">
        <v>5</v>
      </c>
      <c r="AE7">
        <v>5</v>
      </c>
      <c r="AF7" t="s">
        <v>133</v>
      </c>
    </row>
    <row r="8" spans="1:32" x14ac:dyDescent="0.3">
      <c r="A8">
        <v>7</v>
      </c>
      <c r="B8" t="s">
        <v>27</v>
      </c>
      <c r="C8">
        <v>2021</v>
      </c>
      <c r="D8" t="s">
        <v>26</v>
      </c>
      <c r="F8" t="s">
        <v>26</v>
      </c>
      <c r="G8">
        <v>1</v>
      </c>
      <c r="H8" t="s">
        <v>28</v>
      </c>
      <c r="I8" s="1">
        <v>44414.390844907408</v>
      </c>
      <c r="J8" t="s">
        <v>29</v>
      </c>
      <c r="M8" t="s">
        <v>26</v>
      </c>
      <c r="N8" t="s">
        <v>30</v>
      </c>
      <c r="P8" t="s">
        <v>32</v>
      </c>
      <c r="Q8" t="s">
        <v>31</v>
      </c>
      <c r="S8" t="s">
        <v>31</v>
      </c>
      <c r="T8" t="s">
        <v>64</v>
      </c>
      <c r="U8" t="s">
        <v>125</v>
      </c>
      <c r="V8" t="s">
        <v>37</v>
      </c>
      <c r="W8">
        <v>3</v>
      </c>
      <c r="X8">
        <v>4</v>
      </c>
      <c r="Y8">
        <v>0.75</v>
      </c>
      <c r="Z8">
        <v>5</v>
      </c>
      <c r="AA8" t="s">
        <v>31</v>
      </c>
      <c r="AB8">
        <v>5</v>
      </c>
      <c r="AC8">
        <v>5</v>
      </c>
      <c r="AD8">
        <v>5</v>
      </c>
      <c r="AE8">
        <v>3.75</v>
      </c>
      <c r="AF8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DB1-723C-4D91-8AAF-6BF8F7E57A0C}">
  <dimension ref="A1:AD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defaultRowHeight="14" x14ac:dyDescent="0.3"/>
  <cols>
    <col min="2" max="2" width="22.83203125" bestFit="1" customWidth="1"/>
    <col min="3" max="3" width="53.08203125" bestFit="1" customWidth="1"/>
    <col min="4" max="4" width="17.58203125" bestFit="1" customWidth="1"/>
    <col min="11" max="11" width="13.83203125" bestFit="1" customWidth="1"/>
    <col min="14" max="14" width="16.58203125" bestFit="1" customWidth="1"/>
    <col min="21" max="21" width="14" bestFit="1" customWidth="1"/>
    <col min="22" max="22" width="15.58203125" bestFit="1" customWidth="1"/>
    <col min="23" max="23" width="20" bestFit="1" customWidth="1"/>
    <col min="24" max="24" width="107.58203125" bestFit="1" customWidth="1"/>
    <col min="25" max="25" width="9.1640625" bestFit="1" customWidth="1"/>
    <col min="26" max="26" width="14.25" bestFit="1" customWidth="1"/>
    <col min="27" max="27" width="18.83203125" bestFit="1" customWidth="1"/>
    <col min="28" max="28" width="13.08203125" bestFit="1" customWidth="1"/>
    <col min="29" max="29" width="10.75" bestFit="1" customWidth="1"/>
    <col min="30" max="30" width="15.9140625" bestFit="1" customWidth="1"/>
  </cols>
  <sheetData>
    <row r="1" spans="1:30" x14ac:dyDescent="0.3">
      <c r="A1" s="2" t="s">
        <v>40</v>
      </c>
      <c r="B1" t="s">
        <v>135</v>
      </c>
      <c r="C1" t="s">
        <v>102</v>
      </c>
      <c r="D1" t="s">
        <v>2</v>
      </c>
      <c r="E1" t="s">
        <v>3</v>
      </c>
      <c r="F1" t="s">
        <v>0</v>
      </c>
      <c r="G1" t="s">
        <v>1</v>
      </c>
      <c r="H1" t="s">
        <v>41</v>
      </c>
      <c r="I1" t="s">
        <v>4</v>
      </c>
      <c r="J1" t="s">
        <v>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16</v>
      </c>
      <c r="Q1" t="s">
        <v>14</v>
      </c>
      <c r="R1" t="s">
        <v>15</v>
      </c>
      <c r="S1" t="s">
        <v>103</v>
      </c>
      <c r="T1" t="s">
        <v>21</v>
      </c>
      <c r="U1" t="s">
        <v>67</v>
      </c>
      <c r="V1" t="s">
        <v>104</v>
      </c>
      <c r="W1" t="s">
        <v>136</v>
      </c>
      <c r="X1" t="s">
        <v>23</v>
      </c>
      <c r="Y1" t="s">
        <v>137</v>
      </c>
      <c r="Z1" t="s">
        <v>25</v>
      </c>
      <c r="AA1" t="s">
        <v>44</v>
      </c>
      <c r="AB1" t="s">
        <v>68</v>
      </c>
      <c r="AC1" t="s">
        <v>87</v>
      </c>
      <c r="AD1" t="s">
        <v>127</v>
      </c>
    </row>
    <row r="2" spans="1:30" x14ac:dyDescent="0.3">
      <c r="A2">
        <v>18</v>
      </c>
      <c r="B2" t="s">
        <v>156</v>
      </c>
      <c r="C2" t="s">
        <v>116</v>
      </c>
      <c r="D2" t="s">
        <v>27</v>
      </c>
      <c r="E2">
        <v>2021</v>
      </c>
      <c r="F2" t="s">
        <v>26</v>
      </c>
      <c r="H2" t="s">
        <v>26</v>
      </c>
      <c r="I2">
        <v>1</v>
      </c>
      <c r="J2" t="s">
        <v>28</v>
      </c>
      <c r="K2" s="1">
        <v>44414.390844907408</v>
      </c>
      <c r="L2" t="s">
        <v>29</v>
      </c>
      <c r="M2" t="s">
        <v>26</v>
      </c>
      <c r="N2" t="s">
        <v>30</v>
      </c>
      <c r="P2" t="s">
        <v>32</v>
      </c>
      <c r="R2" t="s">
        <v>31</v>
      </c>
      <c r="T2" t="s">
        <v>31</v>
      </c>
      <c r="V2" t="s">
        <v>103</v>
      </c>
      <c r="W2" t="s">
        <v>157</v>
      </c>
      <c r="X2" t="s">
        <v>158</v>
      </c>
      <c r="Y2">
        <v>87.5</v>
      </c>
      <c r="Z2">
        <v>25</v>
      </c>
      <c r="AA2">
        <v>4</v>
      </c>
      <c r="AB2">
        <v>30</v>
      </c>
      <c r="AC2">
        <v>30</v>
      </c>
      <c r="AD2">
        <v>30</v>
      </c>
    </row>
    <row r="3" spans="1:30" x14ac:dyDescent="0.3">
      <c r="A3">
        <v>4</v>
      </c>
      <c r="B3" t="s">
        <v>138</v>
      </c>
      <c r="C3" t="s">
        <v>116</v>
      </c>
      <c r="D3" t="s">
        <v>27</v>
      </c>
      <c r="E3">
        <v>2021</v>
      </c>
      <c r="F3" t="s">
        <v>26</v>
      </c>
      <c r="H3" t="s">
        <v>26</v>
      </c>
      <c r="I3">
        <v>1</v>
      </c>
      <c r="J3" t="s">
        <v>28</v>
      </c>
      <c r="K3" s="1">
        <v>44414.390844907408</v>
      </c>
      <c r="L3" t="s">
        <v>29</v>
      </c>
      <c r="M3" t="s">
        <v>26</v>
      </c>
      <c r="N3" t="s">
        <v>30</v>
      </c>
      <c r="P3" t="s">
        <v>32</v>
      </c>
      <c r="R3" t="s">
        <v>31</v>
      </c>
      <c r="T3" t="s">
        <v>31</v>
      </c>
      <c r="U3" t="s">
        <v>61</v>
      </c>
      <c r="V3" t="s">
        <v>117</v>
      </c>
      <c r="W3" t="s">
        <v>117</v>
      </c>
      <c r="X3" t="s">
        <v>33</v>
      </c>
      <c r="Y3">
        <v>4</v>
      </c>
      <c r="Z3">
        <v>4</v>
      </c>
      <c r="AA3">
        <v>4</v>
      </c>
      <c r="AB3">
        <v>15</v>
      </c>
      <c r="AC3">
        <v>15</v>
      </c>
      <c r="AD3">
        <v>15</v>
      </c>
    </row>
    <row r="4" spans="1:30" x14ac:dyDescent="0.3">
      <c r="A4">
        <v>5</v>
      </c>
      <c r="B4" t="s">
        <v>138</v>
      </c>
      <c r="C4" t="s">
        <v>116</v>
      </c>
      <c r="D4" t="s">
        <v>27</v>
      </c>
      <c r="E4">
        <v>2021</v>
      </c>
      <c r="F4" t="s">
        <v>26</v>
      </c>
      <c r="H4" t="s">
        <v>26</v>
      </c>
      <c r="I4">
        <v>1</v>
      </c>
      <c r="J4" t="s">
        <v>28</v>
      </c>
      <c r="K4" s="1">
        <v>44414.390844907408</v>
      </c>
      <c r="L4" t="s">
        <v>29</v>
      </c>
      <c r="M4" t="s">
        <v>26</v>
      </c>
      <c r="N4" t="s">
        <v>30</v>
      </c>
      <c r="P4" t="s">
        <v>32</v>
      </c>
      <c r="R4" t="s">
        <v>31</v>
      </c>
      <c r="T4" t="s">
        <v>31</v>
      </c>
      <c r="U4" t="s">
        <v>61</v>
      </c>
      <c r="V4" t="s">
        <v>120</v>
      </c>
      <c r="W4" t="s">
        <v>120</v>
      </c>
      <c r="X4" t="s">
        <v>34</v>
      </c>
      <c r="Y4">
        <v>3</v>
      </c>
      <c r="Z4">
        <v>3</v>
      </c>
      <c r="AA4">
        <v>4</v>
      </c>
      <c r="AB4">
        <v>15</v>
      </c>
      <c r="AC4">
        <v>15</v>
      </c>
      <c r="AD4">
        <v>15</v>
      </c>
    </row>
    <row r="5" spans="1:30" x14ac:dyDescent="0.3">
      <c r="A5">
        <v>1</v>
      </c>
      <c r="B5" t="s">
        <v>138</v>
      </c>
      <c r="C5" t="s">
        <v>116</v>
      </c>
      <c r="D5" t="s">
        <v>27</v>
      </c>
      <c r="E5">
        <v>2021</v>
      </c>
      <c r="F5" t="s">
        <v>26</v>
      </c>
      <c r="H5" t="s">
        <v>26</v>
      </c>
      <c r="I5">
        <v>1</v>
      </c>
      <c r="J5" t="s">
        <v>28</v>
      </c>
      <c r="K5" s="1">
        <v>44414.390844907408</v>
      </c>
      <c r="L5" t="s">
        <v>29</v>
      </c>
      <c r="M5" t="s">
        <v>26</v>
      </c>
      <c r="N5" t="s">
        <v>30</v>
      </c>
      <c r="P5" t="s">
        <v>32</v>
      </c>
      <c r="R5" t="s">
        <v>31</v>
      </c>
      <c r="T5" t="s">
        <v>31</v>
      </c>
      <c r="U5" t="s">
        <v>63</v>
      </c>
      <c r="V5" t="s">
        <v>122</v>
      </c>
      <c r="W5" t="s">
        <v>122</v>
      </c>
      <c r="X5" t="s">
        <v>35</v>
      </c>
      <c r="Y5">
        <v>3</v>
      </c>
      <c r="Z5">
        <v>3</v>
      </c>
      <c r="AA5">
        <v>4</v>
      </c>
      <c r="AB5">
        <v>30</v>
      </c>
      <c r="AC5">
        <v>30</v>
      </c>
      <c r="AD5">
        <v>30</v>
      </c>
    </row>
    <row r="6" spans="1:30" x14ac:dyDescent="0.3">
      <c r="A6">
        <v>6</v>
      </c>
      <c r="B6" t="s">
        <v>138</v>
      </c>
      <c r="C6" t="s">
        <v>116</v>
      </c>
      <c r="D6" t="s">
        <v>27</v>
      </c>
      <c r="E6">
        <v>2021</v>
      </c>
      <c r="F6" t="s">
        <v>26</v>
      </c>
      <c r="H6" t="s">
        <v>26</v>
      </c>
      <c r="I6">
        <v>1</v>
      </c>
      <c r="J6" t="s">
        <v>28</v>
      </c>
      <c r="K6" s="1">
        <v>44414.390844907408</v>
      </c>
      <c r="L6" t="s">
        <v>29</v>
      </c>
      <c r="M6" t="s">
        <v>26</v>
      </c>
      <c r="N6" t="s">
        <v>30</v>
      </c>
      <c r="P6" t="s">
        <v>32</v>
      </c>
      <c r="R6" t="s">
        <v>31</v>
      </c>
      <c r="T6" t="s">
        <v>31</v>
      </c>
      <c r="U6" t="s">
        <v>64</v>
      </c>
      <c r="V6" t="s">
        <v>121</v>
      </c>
      <c r="W6" t="s">
        <v>121</v>
      </c>
      <c r="X6" t="s">
        <v>36</v>
      </c>
      <c r="Y6">
        <v>4</v>
      </c>
      <c r="Z6">
        <v>4</v>
      </c>
      <c r="AA6">
        <v>4</v>
      </c>
      <c r="AB6">
        <v>5</v>
      </c>
      <c r="AC6">
        <v>5</v>
      </c>
      <c r="AD6">
        <v>5</v>
      </c>
    </row>
    <row r="7" spans="1:30" x14ac:dyDescent="0.3">
      <c r="A7">
        <v>7</v>
      </c>
      <c r="B7" t="s">
        <v>138</v>
      </c>
      <c r="C7" t="s">
        <v>116</v>
      </c>
      <c r="D7" t="s">
        <v>27</v>
      </c>
      <c r="E7">
        <v>2021</v>
      </c>
      <c r="F7" t="s">
        <v>26</v>
      </c>
      <c r="H7" t="s">
        <v>26</v>
      </c>
      <c r="I7">
        <v>1</v>
      </c>
      <c r="J7" t="s">
        <v>28</v>
      </c>
      <c r="K7" s="1">
        <v>44414.390844907408</v>
      </c>
      <c r="L7" t="s">
        <v>29</v>
      </c>
      <c r="M7" t="s">
        <v>26</v>
      </c>
      <c r="N7" t="s">
        <v>30</v>
      </c>
      <c r="P7" t="s">
        <v>32</v>
      </c>
      <c r="R7" t="s">
        <v>31</v>
      </c>
      <c r="T7" t="s">
        <v>31</v>
      </c>
      <c r="U7" t="s">
        <v>64</v>
      </c>
      <c r="V7" t="s">
        <v>125</v>
      </c>
      <c r="W7" t="s">
        <v>125</v>
      </c>
      <c r="X7" t="s">
        <v>37</v>
      </c>
      <c r="Y7">
        <v>3</v>
      </c>
      <c r="Z7">
        <v>3</v>
      </c>
      <c r="AA7">
        <v>4</v>
      </c>
      <c r="AB7">
        <v>5</v>
      </c>
      <c r="AC7">
        <v>5</v>
      </c>
      <c r="AD7">
        <v>5</v>
      </c>
    </row>
    <row r="8" spans="1:30" x14ac:dyDescent="0.3">
      <c r="A8">
        <v>2</v>
      </c>
      <c r="B8" t="s">
        <v>138</v>
      </c>
      <c r="C8" t="s">
        <v>116</v>
      </c>
      <c r="D8" t="s">
        <v>27</v>
      </c>
      <c r="E8">
        <v>2021</v>
      </c>
      <c r="F8" t="s">
        <v>26</v>
      </c>
      <c r="H8" t="s">
        <v>26</v>
      </c>
      <c r="I8">
        <v>1</v>
      </c>
      <c r="J8" t="s">
        <v>28</v>
      </c>
      <c r="K8" s="1">
        <v>44414.390844907408</v>
      </c>
      <c r="L8" t="s">
        <v>29</v>
      </c>
      <c r="M8" t="s">
        <v>26</v>
      </c>
      <c r="N8" t="s">
        <v>30</v>
      </c>
      <c r="P8" t="s">
        <v>32</v>
      </c>
      <c r="R8" t="s">
        <v>31</v>
      </c>
      <c r="T8" t="s">
        <v>31</v>
      </c>
      <c r="U8" t="s">
        <v>62</v>
      </c>
      <c r="V8" t="s">
        <v>124</v>
      </c>
      <c r="W8" t="s">
        <v>124</v>
      </c>
      <c r="X8" t="s">
        <v>38</v>
      </c>
      <c r="Y8">
        <v>4</v>
      </c>
      <c r="Z8">
        <v>4</v>
      </c>
      <c r="AA8">
        <v>4</v>
      </c>
      <c r="AB8">
        <v>15</v>
      </c>
      <c r="AC8">
        <v>15</v>
      </c>
      <c r="AD8">
        <v>15</v>
      </c>
    </row>
    <row r="9" spans="1:30" x14ac:dyDescent="0.3">
      <c r="A9">
        <v>3</v>
      </c>
      <c r="B9" t="s">
        <v>138</v>
      </c>
      <c r="C9" t="s">
        <v>116</v>
      </c>
      <c r="D9" t="s">
        <v>27</v>
      </c>
      <c r="E9">
        <v>2021</v>
      </c>
      <c r="F9" t="s">
        <v>26</v>
      </c>
      <c r="H9" t="s">
        <v>26</v>
      </c>
      <c r="I9">
        <v>1</v>
      </c>
      <c r="J9" t="s">
        <v>28</v>
      </c>
      <c r="K9" s="1">
        <v>44414.390844907408</v>
      </c>
      <c r="L9" t="s">
        <v>29</v>
      </c>
      <c r="M9" t="s">
        <v>26</v>
      </c>
      <c r="N9" t="s">
        <v>30</v>
      </c>
      <c r="P9" t="s">
        <v>32</v>
      </c>
      <c r="R9" t="s">
        <v>31</v>
      </c>
      <c r="T9" t="s">
        <v>31</v>
      </c>
      <c r="U9" t="s">
        <v>62</v>
      </c>
      <c r="V9" t="s">
        <v>123</v>
      </c>
      <c r="W9" t="s">
        <v>123</v>
      </c>
      <c r="X9" t="s">
        <v>39</v>
      </c>
      <c r="Y9">
        <v>4</v>
      </c>
      <c r="Z9">
        <v>4</v>
      </c>
      <c r="AA9">
        <v>4</v>
      </c>
      <c r="AB9">
        <v>15</v>
      </c>
      <c r="AC9">
        <v>15</v>
      </c>
      <c r="AD9">
        <v>15</v>
      </c>
    </row>
    <row r="10" spans="1:30" x14ac:dyDescent="0.3">
      <c r="A10">
        <v>8</v>
      </c>
      <c r="B10" t="s">
        <v>139</v>
      </c>
      <c r="C10" t="s">
        <v>116</v>
      </c>
      <c r="D10" t="s">
        <v>27</v>
      </c>
      <c r="E10">
        <v>2021</v>
      </c>
      <c r="F10" t="s">
        <v>26</v>
      </c>
      <c r="H10" t="s">
        <v>26</v>
      </c>
      <c r="I10">
        <v>1</v>
      </c>
      <c r="J10" t="s">
        <v>28</v>
      </c>
      <c r="K10" s="1">
        <v>44414.390844907408</v>
      </c>
      <c r="L10" t="s">
        <v>29</v>
      </c>
      <c r="M10" t="s">
        <v>26</v>
      </c>
      <c r="N10" t="s">
        <v>30</v>
      </c>
      <c r="P10" t="s">
        <v>32</v>
      </c>
      <c r="R10" t="s">
        <v>31</v>
      </c>
      <c r="T10" t="s">
        <v>31</v>
      </c>
      <c r="V10" t="s">
        <v>140</v>
      </c>
      <c r="W10" t="s">
        <v>140</v>
      </c>
      <c r="X10" t="s">
        <v>141</v>
      </c>
      <c r="Y10">
        <v>25</v>
      </c>
      <c r="Z10">
        <v>25</v>
      </c>
      <c r="AA10">
        <v>4</v>
      </c>
      <c r="AB10">
        <v>30</v>
      </c>
      <c r="AC10">
        <v>30</v>
      </c>
      <c r="AD10">
        <v>30</v>
      </c>
    </row>
    <row r="11" spans="1:30" x14ac:dyDescent="0.3">
      <c r="A11">
        <v>12</v>
      </c>
      <c r="B11" t="s">
        <v>142</v>
      </c>
      <c r="C11" t="s">
        <v>116</v>
      </c>
      <c r="D11" t="s">
        <v>27</v>
      </c>
      <c r="E11">
        <v>2021</v>
      </c>
      <c r="F11" t="s">
        <v>26</v>
      </c>
      <c r="H11" t="s">
        <v>26</v>
      </c>
      <c r="I11">
        <v>1</v>
      </c>
      <c r="J11" t="s">
        <v>28</v>
      </c>
      <c r="K11" s="1">
        <v>44414.390844907408</v>
      </c>
      <c r="L11" t="s">
        <v>29</v>
      </c>
      <c r="M11" t="s">
        <v>26</v>
      </c>
      <c r="N11" t="s">
        <v>30</v>
      </c>
      <c r="P11" t="s">
        <v>32</v>
      </c>
      <c r="R11" t="s">
        <v>31</v>
      </c>
      <c r="T11" t="s">
        <v>31</v>
      </c>
      <c r="U11" t="s">
        <v>61</v>
      </c>
      <c r="V11" t="s">
        <v>146</v>
      </c>
      <c r="W11" t="s">
        <v>146</v>
      </c>
      <c r="X11" t="s">
        <v>33</v>
      </c>
      <c r="Y11">
        <v>15</v>
      </c>
      <c r="Z11">
        <v>4</v>
      </c>
      <c r="AA11">
        <v>4</v>
      </c>
      <c r="AB11">
        <v>15</v>
      </c>
      <c r="AC11">
        <v>15</v>
      </c>
      <c r="AD11">
        <v>15</v>
      </c>
    </row>
    <row r="12" spans="1:30" x14ac:dyDescent="0.3">
      <c r="A12">
        <v>13</v>
      </c>
      <c r="B12" t="s">
        <v>142</v>
      </c>
      <c r="C12" t="s">
        <v>116</v>
      </c>
      <c r="D12" t="s">
        <v>27</v>
      </c>
      <c r="E12">
        <v>2021</v>
      </c>
      <c r="F12" t="s">
        <v>26</v>
      </c>
      <c r="H12" t="s">
        <v>26</v>
      </c>
      <c r="I12">
        <v>1</v>
      </c>
      <c r="J12" t="s">
        <v>28</v>
      </c>
      <c r="K12" s="1">
        <v>44414.390844907408</v>
      </c>
      <c r="L12" t="s">
        <v>29</v>
      </c>
      <c r="M12" t="s">
        <v>26</v>
      </c>
      <c r="N12" t="s">
        <v>30</v>
      </c>
      <c r="P12" t="s">
        <v>32</v>
      </c>
      <c r="R12" t="s">
        <v>31</v>
      </c>
      <c r="T12" t="s">
        <v>31</v>
      </c>
      <c r="U12" t="s">
        <v>61</v>
      </c>
      <c r="V12" t="s">
        <v>147</v>
      </c>
      <c r="W12" t="s">
        <v>147</v>
      </c>
      <c r="X12" t="s">
        <v>34</v>
      </c>
      <c r="Y12">
        <v>11.25</v>
      </c>
      <c r="Z12">
        <v>3</v>
      </c>
      <c r="AA12">
        <v>4</v>
      </c>
      <c r="AB12">
        <v>15</v>
      </c>
      <c r="AC12">
        <v>15</v>
      </c>
      <c r="AD12">
        <v>15</v>
      </c>
    </row>
    <row r="13" spans="1:30" x14ac:dyDescent="0.3">
      <c r="A13">
        <v>9</v>
      </c>
      <c r="B13" t="s">
        <v>142</v>
      </c>
      <c r="C13" t="s">
        <v>116</v>
      </c>
      <c r="D13" t="s">
        <v>27</v>
      </c>
      <c r="E13">
        <v>2021</v>
      </c>
      <c r="F13" t="s">
        <v>26</v>
      </c>
      <c r="H13" t="s">
        <v>26</v>
      </c>
      <c r="I13">
        <v>1</v>
      </c>
      <c r="J13" t="s">
        <v>28</v>
      </c>
      <c r="K13" s="1">
        <v>44414.390844907408</v>
      </c>
      <c r="L13" t="s">
        <v>29</v>
      </c>
      <c r="M13" t="s">
        <v>26</v>
      </c>
      <c r="N13" t="s">
        <v>30</v>
      </c>
      <c r="P13" t="s">
        <v>32</v>
      </c>
      <c r="R13" t="s">
        <v>31</v>
      </c>
      <c r="T13" t="s">
        <v>31</v>
      </c>
      <c r="U13" t="s">
        <v>63</v>
      </c>
      <c r="V13" t="s">
        <v>143</v>
      </c>
      <c r="W13" t="s">
        <v>143</v>
      </c>
      <c r="X13" t="s">
        <v>35</v>
      </c>
      <c r="Y13">
        <v>22.5</v>
      </c>
      <c r="Z13">
        <v>3</v>
      </c>
      <c r="AA13">
        <v>4</v>
      </c>
      <c r="AB13">
        <v>30</v>
      </c>
      <c r="AC13">
        <v>30</v>
      </c>
      <c r="AD13">
        <v>30</v>
      </c>
    </row>
    <row r="14" spans="1:30" x14ac:dyDescent="0.3">
      <c r="A14">
        <v>14</v>
      </c>
      <c r="B14" t="s">
        <v>142</v>
      </c>
      <c r="C14" t="s">
        <v>116</v>
      </c>
      <c r="D14" t="s">
        <v>27</v>
      </c>
      <c r="E14">
        <v>2021</v>
      </c>
      <c r="F14" t="s">
        <v>26</v>
      </c>
      <c r="H14" t="s">
        <v>26</v>
      </c>
      <c r="I14">
        <v>1</v>
      </c>
      <c r="J14" t="s">
        <v>28</v>
      </c>
      <c r="K14" s="1">
        <v>44414.390844907408</v>
      </c>
      <c r="L14" t="s">
        <v>29</v>
      </c>
      <c r="M14" t="s">
        <v>26</v>
      </c>
      <c r="N14" t="s">
        <v>30</v>
      </c>
      <c r="P14" t="s">
        <v>32</v>
      </c>
      <c r="R14" t="s">
        <v>31</v>
      </c>
      <c r="T14" t="s">
        <v>31</v>
      </c>
      <c r="U14" t="s">
        <v>64</v>
      </c>
      <c r="V14" t="s">
        <v>148</v>
      </c>
      <c r="W14" t="s">
        <v>148</v>
      </c>
      <c r="X14" t="s">
        <v>36</v>
      </c>
      <c r="Y14">
        <v>5</v>
      </c>
      <c r="Z14">
        <v>4</v>
      </c>
      <c r="AA14">
        <v>4</v>
      </c>
      <c r="AB14">
        <v>5</v>
      </c>
      <c r="AC14">
        <v>5</v>
      </c>
      <c r="AD14">
        <v>5</v>
      </c>
    </row>
    <row r="15" spans="1:30" x14ac:dyDescent="0.3">
      <c r="A15">
        <v>15</v>
      </c>
      <c r="B15" t="s">
        <v>142</v>
      </c>
      <c r="C15" t="s">
        <v>116</v>
      </c>
      <c r="D15" t="s">
        <v>27</v>
      </c>
      <c r="E15">
        <v>2021</v>
      </c>
      <c r="F15" t="s">
        <v>26</v>
      </c>
      <c r="H15" t="s">
        <v>26</v>
      </c>
      <c r="I15">
        <v>1</v>
      </c>
      <c r="J15" t="s">
        <v>28</v>
      </c>
      <c r="K15" s="1">
        <v>44414.390844907408</v>
      </c>
      <c r="L15" t="s">
        <v>29</v>
      </c>
      <c r="M15" t="s">
        <v>26</v>
      </c>
      <c r="N15" t="s">
        <v>30</v>
      </c>
      <c r="P15" t="s">
        <v>32</v>
      </c>
      <c r="R15" t="s">
        <v>31</v>
      </c>
      <c r="T15" t="s">
        <v>31</v>
      </c>
      <c r="U15" t="s">
        <v>64</v>
      </c>
      <c r="V15" t="s">
        <v>149</v>
      </c>
      <c r="W15" t="s">
        <v>149</v>
      </c>
      <c r="X15" t="s">
        <v>37</v>
      </c>
      <c r="Y15">
        <v>3.75</v>
      </c>
      <c r="Z15">
        <v>3</v>
      </c>
      <c r="AA15">
        <v>4</v>
      </c>
      <c r="AB15">
        <v>5</v>
      </c>
      <c r="AC15">
        <v>5</v>
      </c>
      <c r="AD15">
        <v>5</v>
      </c>
    </row>
    <row r="16" spans="1:30" x14ac:dyDescent="0.3">
      <c r="A16">
        <v>10</v>
      </c>
      <c r="B16" t="s">
        <v>142</v>
      </c>
      <c r="C16" t="s">
        <v>116</v>
      </c>
      <c r="D16" t="s">
        <v>27</v>
      </c>
      <c r="E16">
        <v>2021</v>
      </c>
      <c r="F16" t="s">
        <v>26</v>
      </c>
      <c r="H16" t="s">
        <v>26</v>
      </c>
      <c r="I16">
        <v>1</v>
      </c>
      <c r="J16" t="s">
        <v>28</v>
      </c>
      <c r="K16" s="1">
        <v>44414.390844907408</v>
      </c>
      <c r="L16" t="s">
        <v>29</v>
      </c>
      <c r="M16" t="s">
        <v>26</v>
      </c>
      <c r="N16" t="s">
        <v>30</v>
      </c>
      <c r="P16" t="s">
        <v>32</v>
      </c>
      <c r="R16" t="s">
        <v>31</v>
      </c>
      <c r="T16" t="s">
        <v>31</v>
      </c>
      <c r="U16" t="s">
        <v>62</v>
      </c>
      <c r="V16" t="s">
        <v>144</v>
      </c>
      <c r="W16" t="s">
        <v>144</v>
      </c>
      <c r="X16" t="s">
        <v>38</v>
      </c>
      <c r="Y16">
        <v>15</v>
      </c>
      <c r="Z16">
        <v>4</v>
      </c>
      <c r="AA16">
        <v>4</v>
      </c>
      <c r="AB16">
        <v>15</v>
      </c>
      <c r="AC16">
        <v>15</v>
      </c>
      <c r="AD16">
        <v>15</v>
      </c>
    </row>
    <row r="17" spans="1:30" x14ac:dyDescent="0.3">
      <c r="A17">
        <v>11</v>
      </c>
      <c r="B17" t="s">
        <v>142</v>
      </c>
      <c r="C17" t="s">
        <v>116</v>
      </c>
      <c r="D17" t="s">
        <v>27</v>
      </c>
      <c r="E17">
        <v>2021</v>
      </c>
      <c r="F17" t="s">
        <v>26</v>
      </c>
      <c r="H17" t="s">
        <v>26</v>
      </c>
      <c r="I17">
        <v>1</v>
      </c>
      <c r="J17" t="s">
        <v>28</v>
      </c>
      <c r="K17" s="1">
        <v>44414.390844907408</v>
      </c>
      <c r="L17" t="s">
        <v>29</v>
      </c>
      <c r="M17" t="s">
        <v>26</v>
      </c>
      <c r="N17" t="s">
        <v>30</v>
      </c>
      <c r="P17" t="s">
        <v>32</v>
      </c>
      <c r="R17" t="s">
        <v>31</v>
      </c>
      <c r="T17" t="s">
        <v>31</v>
      </c>
      <c r="U17" t="s">
        <v>62</v>
      </c>
      <c r="V17" t="s">
        <v>145</v>
      </c>
      <c r="W17" t="s">
        <v>145</v>
      </c>
      <c r="X17" t="s">
        <v>39</v>
      </c>
      <c r="Y17">
        <v>15</v>
      </c>
      <c r="Z17">
        <v>4</v>
      </c>
      <c r="AA17">
        <v>4</v>
      </c>
      <c r="AB17">
        <v>15</v>
      </c>
      <c r="AC17">
        <v>15</v>
      </c>
      <c r="AD17">
        <v>15</v>
      </c>
    </row>
    <row r="18" spans="1:30" x14ac:dyDescent="0.3">
      <c r="A18">
        <v>16</v>
      </c>
      <c r="B18" t="s">
        <v>150</v>
      </c>
      <c r="C18" t="s">
        <v>116</v>
      </c>
      <c r="D18" t="s">
        <v>27</v>
      </c>
      <c r="E18">
        <v>2021</v>
      </c>
      <c r="F18" t="s">
        <v>26</v>
      </c>
      <c r="H18" t="s">
        <v>26</v>
      </c>
      <c r="I18">
        <v>1</v>
      </c>
      <c r="J18" t="s">
        <v>28</v>
      </c>
      <c r="K18" s="1">
        <v>44414.390844907408</v>
      </c>
      <c r="L18" t="s">
        <v>29</v>
      </c>
      <c r="M18" t="s">
        <v>26</v>
      </c>
      <c r="N18" t="s">
        <v>30</v>
      </c>
      <c r="P18" t="s">
        <v>32</v>
      </c>
      <c r="R18" t="s">
        <v>31</v>
      </c>
      <c r="T18" t="s">
        <v>31</v>
      </c>
      <c r="V18" t="s">
        <v>151</v>
      </c>
      <c r="W18" t="s">
        <v>151</v>
      </c>
      <c r="X18" t="s">
        <v>152</v>
      </c>
      <c r="Y18">
        <v>87.5</v>
      </c>
      <c r="Z18">
        <v>25</v>
      </c>
      <c r="AA18">
        <v>4</v>
      </c>
      <c r="AB18">
        <v>30</v>
      </c>
      <c r="AC18">
        <v>30</v>
      </c>
      <c r="AD18">
        <v>30</v>
      </c>
    </row>
    <row r="19" spans="1:30" x14ac:dyDescent="0.3">
      <c r="A19">
        <v>17</v>
      </c>
      <c r="B19" t="s">
        <v>153</v>
      </c>
      <c r="C19" t="s">
        <v>116</v>
      </c>
      <c r="D19" t="s">
        <v>27</v>
      </c>
      <c r="E19">
        <v>2021</v>
      </c>
      <c r="F19" t="s">
        <v>26</v>
      </c>
      <c r="H19" t="s">
        <v>26</v>
      </c>
      <c r="I19">
        <v>1</v>
      </c>
      <c r="J19" t="s">
        <v>28</v>
      </c>
      <c r="K19" s="1">
        <v>44414.390844907408</v>
      </c>
      <c r="L19" t="s">
        <v>29</v>
      </c>
      <c r="M19" t="s">
        <v>26</v>
      </c>
      <c r="N19" t="s">
        <v>30</v>
      </c>
      <c r="P19" t="s">
        <v>32</v>
      </c>
      <c r="R19" t="s">
        <v>31</v>
      </c>
      <c r="T19" t="s">
        <v>31</v>
      </c>
      <c r="V19" t="s">
        <v>154</v>
      </c>
      <c r="W19" t="s">
        <v>154</v>
      </c>
      <c r="X19" t="s">
        <v>155</v>
      </c>
      <c r="Y19">
        <v>87.5</v>
      </c>
      <c r="Z19">
        <v>25</v>
      </c>
      <c r="AA19">
        <v>4</v>
      </c>
      <c r="AB19">
        <v>30</v>
      </c>
      <c r="AC19">
        <v>30</v>
      </c>
      <c r="AD19">
        <v>30</v>
      </c>
    </row>
  </sheetData>
  <sortState xmlns:xlrd2="http://schemas.microsoft.com/office/spreadsheetml/2017/richdata2" ref="A2:AD19">
    <sortCondition ref="V2:V1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ECA-F8C6-4A7B-AE93-F13EBFA5A59F}">
  <dimension ref="A1:B23"/>
  <sheetViews>
    <sheetView zoomScale="115" zoomScaleNormal="115" workbookViewId="0">
      <selection activeCell="F12" sqref="F12"/>
    </sheetView>
  </sheetViews>
  <sheetFormatPr defaultRowHeight="14" x14ac:dyDescent="0.3"/>
  <cols>
    <col min="1" max="1" width="22.58203125" style="29" bestFit="1" customWidth="1"/>
  </cols>
  <sheetData>
    <row r="1" spans="1:2" x14ac:dyDescent="0.3">
      <c r="A1" s="28" t="s">
        <v>135</v>
      </c>
      <c r="B1" t="str">
        <f>A1&amp;","</f>
        <v>QueryPart,</v>
      </c>
    </row>
    <row r="2" spans="1:2" x14ac:dyDescent="0.3">
      <c r="A2" s="28" t="s">
        <v>102</v>
      </c>
      <c r="B2" t="str">
        <f t="shared" ref="B2:B23" si="0">A2&amp;","</f>
        <v>JoinKey,</v>
      </c>
    </row>
    <row r="3" spans="1:2" x14ac:dyDescent="0.3">
      <c r="A3" s="28" t="s">
        <v>2</v>
      </c>
      <c r="B3" t="str">
        <f t="shared" si="0"/>
        <v>UniqueID,</v>
      </c>
    </row>
    <row r="4" spans="1:2" x14ac:dyDescent="0.3">
      <c r="A4" s="28" t="s">
        <v>3</v>
      </c>
      <c r="B4" t="str">
        <f t="shared" si="0"/>
        <v>FormYear,</v>
      </c>
    </row>
    <row r="5" spans="1:2" x14ac:dyDescent="0.3">
      <c r="A5" s="28" t="s">
        <v>0</v>
      </c>
      <c r="B5" t="str">
        <f t="shared" si="0"/>
        <v>Function_Name,</v>
      </c>
    </row>
    <row r="6" spans="1:2" x14ac:dyDescent="0.3">
      <c r="A6" s="28" t="s">
        <v>1</v>
      </c>
      <c r="B6" t="str">
        <f t="shared" si="0"/>
        <v>Function_SubType,</v>
      </c>
    </row>
    <row r="7" spans="1:2" x14ac:dyDescent="0.3">
      <c r="A7" s="28" t="s">
        <v>41</v>
      </c>
      <c r="B7" t="str">
        <f t="shared" si="0"/>
        <v>Scoring_Group,</v>
      </c>
    </row>
    <row r="8" spans="1:2" x14ac:dyDescent="0.3">
      <c r="A8" s="28" t="s">
        <v>4</v>
      </c>
      <c r="B8" t="str">
        <f t="shared" si="0"/>
        <v>RoundYear,</v>
      </c>
    </row>
    <row r="9" spans="1:2" x14ac:dyDescent="0.3">
      <c r="A9" s="28" t="s">
        <v>5</v>
      </c>
      <c r="B9" t="str">
        <f t="shared" si="0"/>
        <v>SharePoint_List,</v>
      </c>
    </row>
    <row r="10" spans="1:2" x14ac:dyDescent="0.3">
      <c r="A10" s="28" t="s">
        <v>8</v>
      </c>
      <c r="B10" t="str">
        <f t="shared" si="0"/>
        <v>SubmissionTime,</v>
      </c>
    </row>
    <row r="11" spans="1:2" x14ac:dyDescent="0.3">
      <c r="A11" s="28" t="s">
        <v>9</v>
      </c>
      <c r="B11" t="str">
        <f t="shared" si="0"/>
        <v>ResponderEmail,</v>
      </c>
    </row>
    <row r="12" spans="1:2" x14ac:dyDescent="0.3">
      <c r="A12" s="28" t="s">
        <v>10</v>
      </c>
      <c r="B12" t="str">
        <f t="shared" si="0"/>
        <v>Level1,</v>
      </c>
    </row>
    <row r="13" spans="1:2" x14ac:dyDescent="0.3">
      <c r="A13" s="28" t="s">
        <v>11</v>
      </c>
      <c r="B13" t="str">
        <f t="shared" si="0"/>
        <v>Level2,</v>
      </c>
    </row>
    <row r="14" spans="1:2" x14ac:dyDescent="0.3">
      <c r="A14" s="28" t="s">
        <v>12</v>
      </c>
      <c r="B14" t="str">
        <f t="shared" si="0"/>
        <v>Level3,</v>
      </c>
    </row>
    <row r="15" spans="1:2" x14ac:dyDescent="0.3">
      <c r="A15" s="28" t="s">
        <v>16</v>
      </c>
      <c r="B15" t="str">
        <f t="shared" si="0"/>
        <v>Vendor_Name,</v>
      </c>
    </row>
    <row r="16" spans="1:2" x14ac:dyDescent="0.3">
      <c r="A16" s="28" t="s">
        <v>14</v>
      </c>
      <c r="B16" t="str">
        <f t="shared" si="0"/>
        <v>Plant,</v>
      </c>
    </row>
    <row r="17" spans="1:2" x14ac:dyDescent="0.3">
      <c r="A17" s="28" t="s">
        <v>15</v>
      </c>
      <c r="B17" t="str">
        <f t="shared" si="0"/>
        <v>Product,</v>
      </c>
    </row>
    <row r="18" spans="1:2" x14ac:dyDescent="0.3">
      <c r="A18" s="28" t="s">
        <v>103</v>
      </c>
      <c r="B18" t="str">
        <f t="shared" si="0"/>
        <v>Comment,</v>
      </c>
    </row>
    <row r="19" spans="1:2" x14ac:dyDescent="0.3">
      <c r="A19" s="28" t="s">
        <v>21</v>
      </c>
      <c r="B19" t="str">
        <f t="shared" si="0"/>
        <v>Above1MB,</v>
      </c>
    </row>
    <row r="20" spans="1:2" x14ac:dyDescent="0.3">
      <c r="A20" s="28" t="s">
        <v>67</v>
      </c>
      <c r="B20" t="str">
        <f t="shared" si="0"/>
        <v>Group_Question,</v>
      </c>
    </row>
    <row r="21" spans="1:2" x14ac:dyDescent="0.3">
      <c r="A21" s="28" t="s">
        <v>104</v>
      </c>
      <c r="B21" t="str">
        <f t="shared" si="0"/>
        <v>Question_Number,</v>
      </c>
    </row>
    <row r="22" spans="1:2" x14ac:dyDescent="0.3">
      <c r="A22" s="28" t="s">
        <v>136</v>
      </c>
      <c r="B22" t="str">
        <f t="shared" si="0"/>
        <v>Question_Number_Sort,</v>
      </c>
    </row>
    <row r="23" spans="1:2" x14ac:dyDescent="0.3">
      <c r="A23" s="28" t="s">
        <v>23</v>
      </c>
      <c r="B23" t="str">
        <f t="shared" si="0"/>
        <v>Question_Name,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VW_STG_MS_FORM_IT</vt:lpstr>
      <vt:lpstr>2. VW_FORM_01_UNION</vt:lpstr>
      <vt:lpstr>3. VW_FORM_02_UNION_VALUE_MAP</vt:lpstr>
      <vt:lpstr>4. VW_FORM_03_DISTINCT_QUESTION</vt:lpstr>
      <vt:lpstr>5. VW_FORM_04_WEIGHT</vt:lpstr>
      <vt:lpstr>6. VW_FORM_05_CALCULATE_WEIGHT</vt:lpstr>
      <vt:lpstr>7. VW_FORM_06_SCORE</vt:lpstr>
      <vt:lpstr>8. VW_FORM_07_SCORE_FIX</vt:lpstr>
      <vt:lpstr>9. VW_FACT_MS_FORM</vt:lpstr>
      <vt:lpstr>10. VW_FACT_MS_FORM_GROUPING</vt:lpstr>
      <vt:lpstr>11. VW_FACT_MS_FORM_REPORT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2025-04-07T09:36:20Z</dcterms:created>
  <dcterms:modified xsi:type="dcterms:W3CDTF">2025-04-09T07:20:14Z</dcterms:modified>
</cp:coreProperties>
</file>