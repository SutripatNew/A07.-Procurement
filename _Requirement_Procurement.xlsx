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https://thainamthip2-my.sharepoint.com/personal/sutripat_ng_thainamthip_co_th/Documents/1. Work/008. Procurement/"/>
    </mc:Choice>
  </mc:AlternateContent>
  <xr:revisionPtr revIDLastSave="706" documentId="11_0B1D56BE9CDCCE836B02CE7A5FB0D4A9BBFD1C62" xr6:coauthVersionLast="47" xr6:coauthVersionMax="47" xr10:uidLastSave="{7C6D0A52-6B34-4B12-BC57-E5CCCA9B10AC}"/>
  <bookViews>
    <workbookView xWindow="-28920" yWindow="-120" windowWidth="29040" windowHeight="15720" activeTab="1" xr2:uid="{00000000-000D-0000-FFFF-FFFF00000000}"/>
    <workbookView xWindow="-28920" yWindow="-120" windowWidth="29040" windowHeight="15720" activeTab="1" xr2:uid="{EB3B1C72-C041-46E4-89A3-B2646AB90CFA}"/>
  </bookViews>
  <sheets>
    <sheet name="0_Run Process" sheetId="5" r:id="rId1"/>
    <sheet name="CheckData" sheetId="6" r:id="rId2"/>
    <sheet name="1_ปรับปรุงสูตร vs PY ที่ตัวเก่า" sheetId="1" r:id="rId3"/>
    <sheet name="2_PJ202510" sheetId="2" r:id="rId4"/>
    <sheet name="3_CR2059" sheetId="3" r:id="rId5"/>
    <sheet name="4_CR" sheetId="4" r:id="rId6"/>
  </sheets>
  <definedNames>
    <definedName name="_xlnm._FilterDatabase" localSheetId="1" hidden="1">CheckData!$H$22:$M$44</definedName>
    <definedName name="Sheet0_Satisfaction">'0_Run Process'!$A$85</definedName>
    <definedName name="Sheet0_Vendor_Evaluation">'0_Run Process'!$A$1</definedName>
  </definedNames>
  <calcPr calcId="191028"/>
  <pivotCaches>
    <pivotCache cacheId="75" r:id="rId7"/>
    <pivotCache cacheId="9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56" i="6" l="1"/>
  <c r="AI56" i="6"/>
  <c r="AJ40" i="6"/>
  <c r="AJ41" i="6"/>
  <c r="AJ42" i="6"/>
  <c r="AJ39" i="6"/>
  <c r="AI40" i="6"/>
  <c r="AI41" i="6"/>
  <c r="AI42" i="6"/>
  <c r="AI39" i="6"/>
  <c r="AJ36" i="6"/>
  <c r="AI36" i="6"/>
  <c r="B17" i="6"/>
  <c r="B8" i="6"/>
  <c r="B10" i="6" s="1"/>
  <c r="AK56" i="6" l="1"/>
  <c r="AK36" i="6"/>
  <c r="AJ43" i="6"/>
  <c r="AI43" i="6"/>
  <c r="AK43" i="6" l="1"/>
</calcChain>
</file>

<file path=xl/sharedStrings.xml><?xml version="1.0" encoding="utf-8"?>
<sst xmlns="http://schemas.openxmlformats.org/spreadsheetml/2006/main" count="512" uniqueCount="201">
  <si>
    <t>Objective</t>
  </si>
  <si>
    <t>1. To improve values about PY in vsPY page according to excel from P’Ta</t>
  </si>
  <si>
    <t>CR</t>
  </si>
  <si>
    <t>PJ</t>
  </si>
  <si>
    <t>PJ 202510 - Project Vendor Evaluation Dashboard V2.</t>
  </si>
  <si>
    <t>Basic Knowledge</t>
  </si>
  <si>
    <t>Vender Evaluation - การประเมิน Vender (แต่ละเจ้า)</t>
  </si>
  <si>
    <t>1. องค์ประกอบของ โรงงานและทีมที่ดูแลประจำโรงงาน</t>
  </si>
  <si>
    <t>1. โรงงานที่ Thainamthip ประกอบไปด้วย</t>
  </si>
  <si>
    <t>KK - ขอนแก่น</t>
  </si>
  <si>
    <t>KR - โคราช</t>
  </si>
  <si>
    <t>PT - ปทุมธานี</t>
  </si>
  <si>
    <t>RS - รังสิต</t>
  </si>
  <si>
    <t>LP - ลำปาง</t>
  </si>
  <si>
    <t>2. ในส่วนของทีม Raw material (วัตถุดิบการผลิต) + Packaging ประกอบไปด้วย</t>
  </si>
  <si>
    <t>Store - ร้านค้า</t>
  </si>
  <si>
    <t>QA - Quality Assurance (รับประกันคุณภาพ)</t>
  </si>
  <si>
    <t>Procurement - ทีมจัดซื้อ</t>
  </si>
  <si>
    <t>Packaging - แพ็คสินค้า</t>
  </si>
  <si>
    <t>3. ทีม Raw material (Store + QA + Procurement) จะมีคนประจำโรงงานทั้ง 5 โรงงาน</t>
  </si>
  <si>
    <t>ประกอบด้วยชื่อดังนี้</t>
  </si>
  <si>
    <t>นาย QA1 - ประจำโรงงาน RS</t>
  </si>
  <si>
    <t>นาย QA2 - ประจำโรงงาน KK</t>
  </si>
  <si>
    <t>นาย QA3 - ประจำโรงงาน KR</t>
  </si>
  <si>
    <t>นาย QA4 - ประจำโรงงาน LP</t>
  </si>
  <si>
    <t>นาย QA5 - ประจำโรงงาน PT</t>
  </si>
  <si>
    <t>4. ทีม Packaging จะมีคนประจำ center แค่ที่เดียว → (ไม่มีคนประจำโรงงาน 5 โรงงาน)</t>
  </si>
  <si>
    <t>Packaging1</t>
  </si>
  <si>
    <t>2. Vender</t>
  </si>
  <si>
    <t>1. สมมติเรามี Vender ที่ให้บริการเรา (ขายของสินค้า Raw mat) อยู่ทั้งหมด 2 เจ้า ดังนี้</t>
  </si>
  <si>
    <t>นาย A</t>
  </si>
  <si>
    <t>นาย B</t>
  </si>
  <si>
    <t>2. ทีม Raw material (Store + QA + Procurement) เราจะเกิด การประเมินดังต่อไปนี้ ( 1 แบบฟอร์ม จะเป็น 1 แถว)</t>
  </si>
  <si>
    <t>ตัวอย่างพอสังเขป</t>
  </si>
  <si>
    <t>ผู้ประเมิน</t>
  </si>
  <si>
    <t>ประจำโรงงาน</t>
  </si>
  <si>
    <t>Vender</t>
  </si>
  <si>
    <t>คะแนน ข้อที่ 1</t>
  </si>
  <si>
    <t>คะแนน ข้อที่ 2</t>
  </si>
  <si>
    <t>คะแนน ข้อที่ 3</t>
  </si>
  <si>
    <t>คะแนน ข้อที่ 4</t>
  </si>
  <si>
    <t>นาย Store1</t>
  </si>
  <si>
    <t>RS</t>
  </si>
  <si>
    <t>นาย Store2</t>
  </si>
  <si>
    <t>KK</t>
  </si>
  <si>
    <t>นาย Store3</t>
  </si>
  <si>
    <t>KR</t>
  </si>
  <si>
    <t>นาย Store4</t>
  </si>
  <si>
    <t>LP</t>
  </si>
  <si>
    <t>นาย Store5</t>
  </si>
  <si>
    <t>PT</t>
  </si>
  <si>
    <r>
      <t>Vender</t>
    </r>
    <r>
      <rPr>
        <sz val="11"/>
        <color theme="1"/>
        <rFont val="Tahoma"/>
        <family val="2"/>
        <scheme val="minor"/>
      </rPr>
      <t xml:space="preserve"> นาย A อาจถูกประเมินแค่ โรงงาน รังสิต กับ ลำปาง แค่ 2 ที่ก็ได้ (ไม่จำเป็นต้องทุกที่)</t>
    </r>
  </si>
  <si>
    <t>ดังนั้น Vender นาย A อาจเป็น Vender ของโรงงานลำปาง แต่อาจไม่ใช่ Vender ของขอนแก่น ได้</t>
  </si>
  <si>
    <t>(ดังนั้น Vender นาย A อาจเป็น Vender แค่บางโรงงาน ไม่จำเป็นต้องทุกโรงงาน)</t>
  </si>
  <si>
    <t>ตัวอย่าง</t>
  </si>
  <si>
    <t>USE TNTL_PUR</t>
  </si>
  <si>
    <t>SELECT *</t>
  </si>
  <si>
    <t>FROM [dbo].[VW_STG_MS_FORM_RM]</t>
  </si>
  <si>
    <t>WHERE</t>
  </si>
  <si>
    <t>FormYear = 2024</t>
  </si>
  <si>
    <t>AND Vendor_Name = '9000100455  บริษัท เอเชี่ยนเทป แอนด์ เลเบิ้ลจำกัด'</t>
  </si>
  <si>
    <t>AND Question_Name = '1.1) สินค้าถูกต้องตรงตามข้อกำหนด (Specification) ที่ตกลงกัน'</t>
  </si>
  <si>
    <t>AND RoundYear = 1</t>
  </si>
  <si>
    <t>ORDER BY Pur_Grp, Plant, ResponderEmail</t>
  </si>
  <si>
    <r>
      <t>ผู้ประเมิน</t>
    </r>
    <r>
      <rPr>
        <sz val="11"/>
        <color theme="1"/>
        <rFont val="Tahoma"/>
        <family val="2"/>
        <scheme val="minor"/>
      </rPr>
      <t xml:space="preserve"> ที่โรงงานขอนแก่น กับ โรงงาน ลำปาง อาจเป็นคนเดียวกันก็ได้</t>
    </r>
  </si>
  <si>
    <t>ดังนั้น โรงงาน ขอนแก่นและลำปาง คนที่ประเมินอาจเป็น นาย Store1 คนเดียวกันได้</t>
  </si>
  <si>
    <t>(ดังนั้น ผู้ประเมิน Store2 กับ Store4 อาจเป็นคนคนเดียวกันได้)</t>
  </si>
  <si>
    <t>ใน DB:</t>
  </si>
  <si>
    <t>ผู้ประเมิน: RespnderEmail, Pur_Grp</t>
  </si>
  <si>
    <t>ประจำโรงงาน: Plant</t>
  </si>
  <si>
    <t>3. ทีม Packaging เราจะเกิด การประเมินดังต่อไปนี้ ( 1 แบบฟอร์ม จะเป็น 1 แถว)</t>
  </si>
  <si>
    <t>นาย Packaging1</t>
  </si>
  <si>
    <t>Center</t>
  </si>
  <si>
    <t>1. เพื่อทำ Report สำหรับข้อมูลแบบประเมินชุดใหม่ ได้แก่ … (โดยแบบประเมินจะแบบตาม Function)</t>
  </si>
  <si>
    <t>แบบประเมินคุณภาพการส่งมอบสินค้า/บริการ (Agile)</t>
  </si>
  <si>
    <t>แบบประเมินคุณภาพการส่งมอบสินค้า/บริการ (Property)</t>
  </si>
  <si>
    <t>แบบประเมินคุณภาพการส่งมอบสินค้า/บริการ (Energy&amp;Chemical)</t>
  </si>
  <si>
    <t>2. เพื่อ Review คำถามในแบบประเมิน ชุดเดิม เพื่อให้ได้ตามมาตรฐานของ Swire โดยแบบประเมินชุดเดิม ประกอบไปด้วย</t>
  </si>
  <si>
    <t>ดังนั้นเพื่อให้ได้ตามมาตรฐานของ swire เราจำเป็นจำต้องมา Review คำถามกันใหม่ เพื่อให้ได้คำถามที่ดีที่สุด ในการประเมิน vender</t>
  </si>
  <si>
    <t>Benefit</t>
  </si>
  <si>
    <t>1. เพื่อช่วยประกอบการตัดสินใจ ในการเลือกใช้บริการ กับ vender เจ้านั้นๆ</t>
  </si>
  <si>
    <t>หากเราไม่มี Report ตัวนี้ จะทำให้เรามองภาพไม่ออกว่าจะเลือกใช้ บริการกับ vender เจ้าไหนดี เพราะไม่มี Measure ในการวัดที่ชัดเจน ว่าเจ้านั้นนี้ดีกว่ากว่าจริงมั้ย และดีกว่าเรื่องอะไรบ้าง</t>
  </si>
  <si>
    <t>ดังนั้น หากเรามี Report ตัวนี้ จะช่วยประกอบการตัดสินใจได้ง่ายขึ้น เพราะผ่านการประเมินจาก พนักงานในแต่ละ Function จริงๆแล้ว</t>
  </si>
  <si>
    <t>CR2059 - Revamp PowerAutomate</t>
  </si>
  <si>
    <t>Process</t>
  </si>
  <si>
    <t>1. ปรับคำถาม (คอลัมน์) ที่ SharePoint List</t>
  </si>
  <si>
    <t>2. ปรับ Mapping power automate</t>
  </si>
  <si>
    <t>3. เอา Table Question Master เข้า SQL</t>
  </si>
  <si>
    <t>File</t>
  </si>
  <si>
    <t>blank excel file ประเมิน vendor@QA</t>
  </si>
  <si>
    <t>Note</t>
  </si>
  <si>
    <t>MSForm (Test) :</t>
  </si>
  <si>
    <t>https://forms.office.com/Pages/DesignPageV2.aspx?prevorigin=shell&amp;origin=NeoPortalPage&amp;subpage=design&amp;id=OTkkUKki40eRjoa3Rpl77HQPNrctZwZFlc97OYnSozFUMUxaR05GSkI4QjVEQ0pDRjhKUVNLVEZaSC4u</t>
  </si>
  <si>
    <t>Power Automate (Test) :</t>
  </si>
  <si>
    <t>https://make.powerautomate.com/environments/Default-50243939-22a9-47e3-918e-86b746997bec/flows/new?newFlowName=FLOW%20MS%202%20FORM%20RM%20%26%20PKG%20%5BModify%20Process%5D&amp;trigger=%2Fproviders%2FMicrosoft.PowerApps%2Fapis%2Fshared_microsoftforms%2FapiOperations%2FCreateFormWebhook&amp;v3=true</t>
  </si>
  <si>
    <t>Requirement</t>
  </si>
  <si>
    <t>1. MS Form</t>
  </si>
  <si>
    <t>ประกอบไปด้วย Year, รอบการประเมิน (เอาข้อเสนอแนะออก)</t>
  </si>
  <si>
    <t>พี่ตา ต้องสร้าง MS Form ทั้งหมด 4 ลิงค์ ตามกลุ่มของ User</t>
  </si>
  <si>
    <t>2. Excel</t>
  </si>
  <si>
    <t>ชื่อ Table : myDataTB</t>
  </si>
  <si>
    <t>เพิ่มบรรทัดแรก (ใช้สำหรับ Display ให้ user เห็น) : พี่ตาสามารถปรับเปลี่ยนแก้ไขได้</t>
  </si>
  <si>
    <t>บรรทัดที่สอง เป็นต้นไป (เป็นส่วนของ Table - สามารถ Hide ได้) แก้ไขชื่อ Columns ดังต่อไปนี้</t>
  </si>
  <si>
    <t>No : เอาจุดออก</t>
  </si>
  <si>
    <t>Raw material &amp; Packaging material : ลบ Enter ทิ้ง</t>
  </si>
  <si>
    <t>Question ต่างๆ : ใช้เป็น Code จากไฟล์ Excel weight แทน</t>
  </si>
  <si>
    <t>Validate data by excel</t>
  </si>
  <si>
    <t>สำหรับ Columns Question ต่างๆ แนะนำพี่ตาให้ทำ Data Validation List ระบุค่า 1-4 เพื่อป้องกัน User ระบุค่าผิด (เนื่องจากทางทีม BI จะไม่มีระบบตรวจสอบความถูกต้องของข้อมูลให้)</t>
  </si>
  <si>
    <t>เพื่อป้องกันปัญหาการ Mapping ข้อมูลลง SharePoint List ไม่อนุญาตให้ User แก้ไข Format ไฟล์ Excel เพิ่ม/ลด Columns และ Records</t>
  </si>
  <si>
    <t>3. Process</t>
  </si>
  <si>
    <t>การ Monitor / Fix</t>
  </si>
  <si>
    <t>หลังจาก User submit การประเมินมา พี่ตาจะต้องตรวจสอบความถูกต้องของข้อมูลเอง</t>
  </si>
  <si>
    <t>หากข้อมูลผิดพลาด : พี่ตาต้องลบข้อมูลของ submit id นั้นๆ แล้วแจ้ง user ให้ทำการส่งผลการประเมินใหม่</t>
  </si>
  <si>
    <t>หาก Format ไฟล์ Excel ผิดพลาด : จะมี Mail Alert แจ้งพี่ตา ให้พี่ตาแจ้ง user ให้ทำการส่งผลการประเมินใหม่</t>
  </si>
  <si>
    <t>Mail Alert</t>
  </si>
  <si>
    <t>หาก Format ไฟล์ Excel ผิดพลาด จะมี Mail แจ้งพี่ตา รายละเอียดดังนี้</t>
  </si>
  <si>
    <t>MS Form Submit Id อะไร</t>
  </si>
  <si>
    <t>จาก User คนไหน</t>
  </si>
  <si>
    <t>Vendor Evaluation</t>
  </si>
  <si>
    <t>SSIS Process</t>
  </si>
  <si>
    <t>01_VendorEvaluation.dtsx</t>
  </si>
  <si>
    <t>BAT file &amp; Python</t>
  </si>
  <si>
    <r>
      <t>E:\Project\PROCUREMENT\BATCH\</t>
    </r>
    <r>
      <rPr>
        <sz val="11"/>
        <color rgb="FFFF0000"/>
        <rFont val="Tahoma"/>
        <family val="2"/>
        <scheme val="minor"/>
      </rPr>
      <t>01_GET_DATA_FROM_SHARPOINT_VendorEvaluation.bat</t>
    </r>
  </si>
  <si>
    <t>E:\Project\PROCUREMENT\VENDOR_EVALUATION\PYTHON</t>
  </si>
  <si>
    <t>_CONFIG.py</t>
  </si>
  <si>
    <t>CLASS_EXPORT_SP_LIST.py</t>
  </si>
  <si>
    <t>MAIN_VendorEvaluation.py</t>
  </si>
  <si>
    <t>DIM.py</t>
  </si>
  <si>
    <t>Working process</t>
  </si>
  <si>
    <t>If it have problem on step1:</t>
  </si>
  <si>
    <t>1. Go to SSIS and can run each steps.</t>
  </si>
  <si>
    <t>2. Check data into SQL Database</t>
  </si>
  <si>
    <t>1. Add Question Master in this year</t>
  </si>
  <si>
    <t>2. Checking data in Sharepoint List that to prepare reload data</t>
  </si>
  <si>
    <r>
      <t xml:space="preserve">3. Run job SSIS: </t>
    </r>
    <r>
      <rPr>
        <sz val="11"/>
        <color rgb="FFFF0000"/>
        <rFont val="Tahoma"/>
        <family val="2"/>
        <scheme val="minor"/>
      </rPr>
      <t>01_VendorEvaluation.dtsx</t>
    </r>
  </si>
  <si>
    <t>03. Satisfaction.dtsx</t>
  </si>
  <si>
    <r>
      <t>E:\Project\PROCUREMENT\BATCH\</t>
    </r>
    <r>
      <rPr>
        <sz val="11"/>
        <color rgb="FFFF0000"/>
        <rFont val="Tahoma"/>
        <family val="2"/>
        <scheme val="minor"/>
      </rPr>
      <t>03. Satisfaction.dtsx</t>
    </r>
  </si>
  <si>
    <t>MAIN_Satisfaction.py</t>
  </si>
  <si>
    <t>Satisfaction</t>
  </si>
  <si>
    <t>เชคข้อมูลรายคน</t>
  </si>
  <si>
    <t>Question_Number</t>
  </si>
  <si>
    <t>Pur_Grp</t>
  </si>
  <si>
    <t>RoundYear</t>
  </si>
  <si>
    <t>Cell_Value</t>
  </si>
  <si>
    <t>QA</t>
  </si>
  <si>
    <t>STORE</t>
  </si>
  <si>
    <t>S10</t>
  </si>
  <si>
    <t>PURCHASING</t>
  </si>
  <si>
    <t>S11</t>
  </si>
  <si>
    <t>S14</t>
  </si>
  <si>
    <t>S15</t>
  </si>
  <si>
    <t>PACKAGING</t>
  </si>
  <si>
    <t>S16</t>
  </si>
  <si>
    <t>S17</t>
  </si>
  <si>
    <t>S18</t>
  </si>
  <si>
    <t>S19</t>
  </si>
  <si>
    <t>S21</t>
  </si>
  <si>
    <t>ข้อมูลทั้งหมด</t>
  </si>
  <si>
    <t>ข้อมูลที่ไม่ว่าง</t>
  </si>
  <si>
    <t>ข้อมูลจาก MS Form</t>
  </si>
  <si>
    <t>จำนวนข้อ</t>
  </si>
  <si>
    <t>แถว</t>
  </si>
  <si>
    <t>ข้อ</t>
  </si>
  <si>
    <t>ต้องเท่ากัน</t>
  </si>
  <si>
    <t>VW_FORM_06_SCORE_V2</t>
  </si>
  <si>
    <t>VW_FACT_MS_FORM_GROUPING_V2</t>
  </si>
  <si>
    <t>Q01</t>
  </si>
  <si>
    <t>Q02</t>
  </si>
  <si>
    <t>Q03</t>
  </si>
  <si>
    <t>Q04</t>
  </si>
  <si>
    <t>Q05</t>
  </si>
  <si>
    <t>Q06</t>
  </si>
  <si>
    <t>Q07</t>
  </si>
  <si>
    <t>Q08</t>
  </si>
  <si>
    <t>Q09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</si>
  <si>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</si>
  <si>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</si>
  <si>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</si>
  <si>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</si>
  <si>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</si>
  <si>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</si>
  <si>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</si>
  <si>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</si>
  <si>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</si>
  <si>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</si>
  <si>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</si>
  <si>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</si>
  <si>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Weight_Source</t>
  </si>
  <si>
    <t>VW_FACT_MS_FORM_REPORT_V2 (Trans)</t>
  </si>
  <si>
    <t>VW_FACT_MS_FORM_REPORT_V2 (Group)</t>
  </si>
  <si>
    <t>Question Total</t>
  </si>
  <si>
    <t>Score Total</t>
  </si>
  <si>
    <t>Row Labels</t>
  </si>
  <si>
    <t>Average of Cell_Value</t>
  </si>
  <si>
    <t>Plant</t>
  </si>
  <si>
    <t>รังสิต</t>
  </si>
  <si>
    <t>ปทุมธานี</t>
  </si>
  <si>
    <t>ALL</t>
  </si>
  <si>
    <t>ALL สำหรับ Packaging เท่านั้น</t>
  </si>
  <si>
    <t>(All)</t>
  </si>
  <si>
    <t>Average of Weight_Source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</si>
</sst>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b/>
      <sz val="11"/>
      <color rgb="FFFF0000"/>
      <name val="Tahoma"/>
      <family val="2"/>
      <scheme val="minor"/>
    </font>
    <font>
      <u/>
      <sz val="11"/>
      <color theme="1"/>
      <name val="Tahoma"/>
      <family val="2"/>
      <scheme val="minor"/>
    </font>
    <font>
      <sz val="9.35"/>
      <color rgb="FFEB5757"/>
      <name val="Consolas"/>
      <family val="3"/>
    </font>
    <font>
      <sz val="11"/>
      <color rgb="FFFF0000"/>
      <name val="Tahoma"/>
      <family val="2"/>
      <scheme val="minor"/>
    </font>
    <font>
      <u/>
      <sz val="11"/>
      <color theme="10"/>
      <name val="Tahoma"/>
      <family val="2"/>
      <scheme val="minor"/>
    </font>
    <font>
      <sz val="11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2" borderId="0" xfId="0" applyFill="1"/>
    <xf numFmtId="0" fontId="3" fillId="0" borderId="0" xfId="0" applyFont="1" applyAlignment="1">
      <alignment vertical="center"/>
    </xf>
    <xf numFmtId="0" fontId="4" fillId="0" borderId="0" xfId="0" applyFont="1"/>
    <xf numFmtId="0" fontId="0" fillId="3" borderId="0" xfId="0" applyFill="1" applyAlignment="1">
      <alignment horizontal="center"/>
    </xf>
    <xf numFmtId="0" fontId="0" fillId="4" borderId="0" xfId="0" applyFill="1"/>
    <xf numFmtId="0" fontId="5" fillId="0" borderId="0" xfId="0" applyFont="1"/>
    <xf numFmtId="0" fontId="0" fillId="0" borderId="0" xfId="0" applyFill="1"/>
    <xf numFmtId="0" fontId="6" fillId="0" borderId="0" xfId="1"/>
    <xf numFmtId="0" fontId="0" fillId="5" borderId="0" xfId="0" applyFill="1"/>
    <xf numFmtId="0" fontId="0" fillId="6" borderId="0" xfId="0" applyFill="1"/>
    <xf numFmtId="0" fontId="7" fillId="4" borderId="0" xfId="0" applyFont="1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4" borderId="0" xfId="0" applyFont="1" applyFill="1"/>
    <xf numFmtId="0" fontId="0" fillId="1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</xdr:colOff>
      <xdr:row>6</xdr:row>
      <xdr:rowOff>27780</xdr:rowOff>
    </xdr:from>
    <xdr:to>
      <xdr:col>20</xdr:col>
      <xdr:colOff>29308</xdr:colOff>
      <xdr:row>8</xdr:row>
      <xdr:rowOff>134937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D2B1825-1F22-09C5-BEFF-609AD0F418CB}"/>
            </a:ext>
          </a:extLst>
        </xdr:cNvPr>
        <xdr:cNvSpPr/>
      </xdr:nvSpPr>
      <xdr:spPr>
        <a:xfrm>
          <a:off x="297350" y="1082857"/>
          <a:ext cx="5974496" cy="458849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python "E:\Project\PROCUREMENT\VENDOR_EVALUATION\PYTHON\MAIN_VendorEvaluation.py"</a:t>
          </a:r>
        </a:p>
        <a:p>
          <a:pPr algn="l"/>
          <a:r>
            <a:rPr lang="en-US" sz="1100"/>
            <a:t>python "E:\Project\PROCUREMENT\VENDOR_EVALUATION\PYTHON\DIM.py"</a:t>
          </a:r>
          <a:endParaRPr lang="th-TH" sz="1100"/>
        </a:p>
      </xdr:txBody>
    </xdr:sp>
    <xdr:clientData/>
  </xdr:twoCellAnchor>
  <xdr:twoCellAnchor>
    <xdr:from>
      <xdr:col>2</xdr:col>
      <xdr:colOff>43962</xdr:colOff>
      <xdr:row>13</xdr:row>
      <xdr:rowOff>63499</xdr:rowOff>
    </xdr:from>
    <xdr:to>
      <xdr:col>21</xdr:col>
      <xdr:colOff>103909</xdr:colOff>
      <xdr:row>73</xdr:row>
      <xdr:rowOff>57727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9EB6396-6320-25DD-B6EA-5344BF6B05B3}"/>
            </a:ext>
          </a:extLst>
        </xdr:cNvPr>
        <xdr:cNvSpPr/>
      </xdr:nvSpPr>
      <xdr:spPr>
        <a:xfrm>
          <a:off x="667417" y="1968499"/>
          <a:ext cx="8407310" cy="10385137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import os</a:t>
          </a:r>
        </a:p>
        <a:p>
          <a:pPr algn="l"/>
          <a:r>
            <a:rPr lang="en-US" sz="1100"/>
            <a:t>import CLASS_EXPORT_SP_LIST</a:t>
          </a:r>
        </a:p>
        <a:p>
          <a:pPr algn="l"/>
          <a:endParaRPr lang="en-US" sz="1100"/>
        </a:p>
        <a:p>
          <a:pPr algn="l"/>
          <a:r>
            <a:rPr lang="en-US" sz="1100"/>
            <a:t>sp = CLASS_EXPORT_SP_LIST.SharePointList()</a:t>
          </a:r>
        </a:p>
        <a:p>
          <a:pPr algn="l"/>
          <a:endParaRPr lang="en-US" sz="1100"/>
        </a:p>
        <a:p>
          <a:pPr algn="l"/>
          <a:endParaRPr lang="en-US" sz="1100"/>
        </a:p>
        <a:p>
          <a:pPr algn="l"/>
          <a:r>
            <a:rPr lang="en-US" sz="1100"/>
            <a:t>df = sp.get_dataframe_from_form_name(site_name="ProcurementMicrosoftform", sharepoint_list="MS_FORM2_IT")</a:t>
          </a:r>
        </a:p>
        <a:p>
          <a:pPr algn="l"/>
          <a:r>
            <a:rPr lang="en-US" sz="1100"/>
            <a:t>sp.insert_form_dataframe_to_db(df, table_name="STG_MS_FORM_IT", sharepoint_list="MS_FORM2_IT")</a:t>
          </a:r>
        </a:p>
        <a:p>
          <a:pPr algn="l"/>
          <a:endParaRPr lang="en-US" sz="1100"/>
        </a:p>
        <a:p>
          <a:pPr algn="l"/>
          <a:r>
            <a:rPr lang="en-US" sz="1100"/>
            <a:t>df = sp.get_dataframe_from_form_name(site_name="ProcurementMicrosoftform", sharepoint_list="MS_FORM2_LOGISTIC")</a:t>
          </a:r>
        </a:p>
        <a:p>
          <a:pPr algn="l"/>
          <a:r>
            <a:rPr lang="en-US" sz="1100"/>
            <a:t>sp.insert_form_dataframe_to_db(df, table_name="STG_MS_FORM_LOGISTIC", sharepoint_list="MS_FORM2_LOGISTIC")</a:t>
          </a:r>
        </a:p>
        <a:p>
          <a:pPr algn="l"/>
          <a:endParaRPr lang="en-US" sz="1100"/>
        </a:p>
        <a:p>
          <a:pPr algn="l"/>
          <a:r>
            <a:rPr lang="en-US" sz="1100"/>
            <a:t>#df = sp.get_dataframe_from_form_name(site_name="ProcurementMicrosoftform", sharepoint_list="MS_FORM_LOGISTIC_RENTAL")</a:t>
          </a:r>
        </a:p>
        <a:p>
          <a:pPr algn="l"/>
          <a:r>
            <a:rPr lang="en-US" sz="1100"/>
            <a:t>#sp.insert_form_dataframe_to_db(df, table_name="STG_MS_FORM_RENTAL", sharepoint_list="MS_FORM_LOGISTIC_RENTAL")</a:t>
          </a:r>
        </a:p>
        <a:p>
          <a:pPr algn="l"/>
          <a:endParaRPr lang="en-US" sz="1100"/>
        </a:p>
        <a:p>
          <a:pPr algn="l"/>
          <a:r>
            <a:rPr lang="en-US" sz="1100"/>
            <a:t>df=sp.get_dataframe_from_form_name(site_name="ProcurementMicrosoftform", sharepoint_list="MS_FORM2_WASTE")</a:t>
          </a:r>
        </a:p>
        <a:p>
          <a:pPr algn="l"/>
          <a:r>
            <a:rPr lang="en-US" sz="1100"/>
            <a:t>sp.insert_form_dataframe_to_db(df, table_name = "STG_MS_FORM_WASTE", sharepoint_list = "MS_FORM2_WASTE")</a:t>
          </a:r>
        </a:p>
        <a:p>
          <a:pPr algn="l"/>
          <a:endParaRPr lang="en-US" sz="1100"/>
        </a:p>
        <a:p>
          <a:pPr algn="l"/>
          <a:r>
            <a:rPr lang="en-US" sz="1100"/>
            <a:t>df=sp.get_dataframe_from_form_name(site_name="ProcurementMicrosoftform", sharepoint_list="MS_FORM2_MFG")</a:t>
          </a:r>
        </a:p>
        <a:p>
          <a:pPr algn="l"/>
          <a:r>
            <a:rPr lang="en-US" sz="1100"/>
            <a:t>sp.insert_form_dataframe_to_db(df, table_name="STG_MS_FORM_MFG", sharepoint_list="MS_FORM2_MFG")</a:t>
          </a:r>
        </a:p>
        <a:p>
          <a:pPr algn="l"/>
          <a:endParaRPr lang="en-US" sz="1100"/>
        </a:p>
        <a:p>
          <a:pPr algn="l"/>
          <a:r>
            <a:rPr lang="en-US" sz="1100"/>
            <a:t># df=sp.get_dataframe_from_form_name(site_name="ProcurementMicrosoftform", sharepoint_list="MS_FORM_UNIFORM")</a:t>
          </a:r>
        </a:p>
        <a:p>
          <a:pPr algn="l"/>
          <a:r>
            <a:rPr lang="en-US" sz="1100"/>
            <a:t># sp.insert_form_dataframe_to_db(df, table_name="STG_MS_FORM_UNIFORM", sharepoint_list="MS_FORM_UNIFORM")</a:t>
          </a:r>
        </a:p>
        <a:p>
          <a:pPr algn="l"/>
          <a:endParaRPr lang="en-US" sz="1100"/>
        </a:p>
        <a:p>
          <a:pPr algn="l"/>
          <a:r>
            <a:rPr lang="en-US" sz="1100"/>
            <a:t>df=sp.get_dataframe_from_form_name(site_name="ProcurementMicrosoftform", sharepoint_list="MS_FORM2_COM")</a:t>
          </a:r>
        </a:p>
        <a:p>
          <a:pPr algn="l"/>
          <a:r>
            <a:rPr lang="en-US" sz="1100"/>
            <a:t>sp.insert_form_dataframe_to_db(df, table_name="STG_MS_FORM_COM", sharepoint_list="MS_FORM2_COM")</a:t>
          </a:r>
        </a:p>
        <a:p>
          <a:pPr algn="l"/>
          <a:endParaRPr lang="en-US" sz="1100"/>
        </a:p>
        <a:p>
          <a:pPr algn="l"/>
          <a:r>
            <a:rPr lang="en-US" sz="1100"/>
            <a:t>df=sp.get_dataframe_from_form_name(site_name="ProcurementMicrosoftform", sharepoint_list="MS_FORM2_OUTSOURCE")</a:t>
          </a:r>
        </a:p>
        <a:p>
          <a:pPr algn="l"/>
          <a:r>
            <a:rPr lang="en-US" sz="1100"/>
            <a:t>sp.insert_form_dataframe_to_db(df, table_name="STG_MS_FORM_OUTSOURCE", sharepoint_list="MS_FORM2_OUTSOURCE")</a:t>
          </a:r>
        </a:p>
        <a:p>
          <a:pPr algn="l"/>
          <a:endParaRPr lang="en-US" sz="1100"/>
        </a:p>
        <a:p>
          <a:pPr algn="l"/>
          <a:r>
            <a:rPr lang="en-US" sz="1100"/>
            <a:t>df=sp.get_dataframe_from_form_name(site_name="ProcurementMicrosoftform", sharepoint_list="MS_FORM2_RM&amp;PKG")</a:t>
          </a:r>
        </a:p>
        <a:p>
          <a:pPr algn="l"/>
          <a:r>
            <a:rPr lang="en-US" sz="1100"/>
            <a:t>sp.insert_form_dataframe_to_db(df, table_name="STG_MS_FORM_RM", sharepoint_list="MS_FORM2_RM&amp;PKG")</a:t>
          </a:r>
        </a:p>
        <a:p>
          <a:pPr algn="l"/>
          <a:endParaRPr lang="en-US" sz="1100"/>
        </a:p>
        <a:p>
          <a:pPr algn="l"/>
          <a:r>
            <a:rPr lang="en-US" sz="1100"/>
            <a:t># Satisfaction</a:t>
          </a:r>
        </a:p>
        <a:p>
          <a:pPr algn="l"/>
          <a:endParaRPr lang="en-US" sz="1100"/>
        </a:p>
        <a:p>
          <a:pPr algn="l"/>
          <a:r>
            <a:rPr lang="en-US" sz="1100"/>
            <a:t>## df=sp.get_dataframe_from_form_name(site_name="Satisfaction", sharepoint_list="MS_FORM_INTERNAL")</a:t>
          </a:r>
        </a:p>
        <a:p>
          <a:pPr algn="l"/>
          <a:r>
            <a:rPr lang="en-US" sz="1100"/>
            <a:t>## sp.insert_form_dataframe_to_db(df, table_name="STG_MS_FORM_INTERNAL", sharepoint_list="MS_FORM_INTERNAL")</a:t>
          </a:r>
        </a:p>
        <a:p>
          <a:pPr algn="l"/>
          <a:endParaRPr lang="en-US" sz="1100"/>
        </a:p>
        <a:p>
          <a:pPr algn="l"/>
          <a:endParaRPr lang="en-US" sz="1100"/>
        </a:p>
        <a:p>
          <a:pPr algn="l"/>
          <a:endParaRPr lang="en-US" sz="1100"/>
        </a:p>
        <a:p>
          <a:pPr algn="l"/>
          <a:r>
            <a:rPr lang="en-US" sz="1100"/>
            <a:t>## df=sp.get_dataframe_from_form_name(site_name="Satisfaction", sharepoint_list="MS_FORM_EXTERNAL")</a:t>
          </a:r>
        </a:p>
        <a:p>
          <a:pPr algn="l"/>
          <a:r>
            <a:rPr lang="en-US" sz="1100"/>
            <a:t>## sp.insert_form_dataframe_to_db(df, table_name="STG_MS_FORM_EXTERNAL", sharepoint_list="MS_FORM_EXTERNAL")</a:t>
          </a:r>
        </a:p>
        <a:p>
          <a:pPr algn="l"/>
          <a:endParaRPr lang="en-US" sz="1100"/>
        </a:p>
        <a:p>
          <a:pPr algn="l"/>
          <a:r>
            <a:rPr lang="en-US" sz="1100"/>
            <a:t># Vendor Response Target</a:t>
          </a:r>
        </a:p>
        <a:p>
          <a:pPr algn="l"/>
          <a:endParaRPr lang="en-US" sz="1100"/>
        </a:p>
        <a:p>
          <a:pPr algn="l"/>
          <a:r>
            <a:rPr lang="en-US" sz="1100"/>
            <a:t>df=sp.get_dataframe_from_form_name(site_name="ProcurementMicrosoftform", sharepoint_list="VENDOR_RESPONSE_TARGET")</a:t>
          </a:r>
        </a:p>
        <a:p>
          <a:pPr algn="l"/>
          <a:r>
            <a:rPr lang="en-US" sz="1100"/>
            <a:t>sp.insert_form_dataframe_to_db(df, table_name="STG_VENDOR_RESPONSE_TARGET", sharepoint_list="VENDOR_RESPONSE_TARGET")</a:t>
          </a:r>
        </a:p>
        <a:p>
          <a:pPr algn="l"/>
          <a:endParaRPr lang="en-US" sz="1100"/>
        </a:p>
        <a:p>
          <a:pPr algn="l"/>
          <a:endParaRPr lang="en-US" sz="1100"/>
        </a:p>
        <a:p>
          <a:pPr algn="l"/>
          <a:endParaRPr lang="en-US" sz="1100"/>
        </a:p>
        <a:p>
          <a:pPr algn="l"/>
          <a:r>
            <a:rPr lang="en-US" sz="1100"/>
            <a:t># Add for Project Vendor Evaluation V2.</a:t>
          </a:r>
        </a:p>
        <a:p>
          <a:pPr algn="l"/>
          <a:endParaRPr lang="en-US" sz="1100"/>
        </a:p>
        <a:p>
          <a:pPr algn="l"/>
          <a:r>
            <a:rPr lang="en-US" sz="1100"/>
            <a:t>df = sp.get_dataframe_from_form_name(site_name="ProcurementMicrosoftform", sharepoint_list="MS_FORM2_AGILE")</a:t>
          </a:r>
        </a:p>
        <a:p>
          <a:pPr algn="l"/>
          <a:r>
            <a:rPr lang="en-US" sz="1100"/>
            <a:t>#sp.insert_form_dataframe_to_db(df, table_name="STG_MS_FORM_AGILE", sharepoint_list="MS_FORM2_AGILE")</a:t>
          </a:r>
        </a:p>
        <a:p>
          <a:pPr algn="l"/>
          <a:endParaRPr lang="en-US" sz="1100"/>
        </a:p>
        <a:p>
          <a:pPr algn="l"/>
          <a:r>
            <a:rPr lang="en-US" sz="1100"/>
            <a:t>df = sp.get_dataframe_from_form_name(site_name="ProcurementMicrosoftform", sharepoint_list="MS_FORM2_PROPERTY")</a:t>
          </a:r>
        </a:p>
        <a:p>
          <a:pPr algn="l"/>
          <a:r>
            <a:rPr lang="en-US" sz="1100"/>
            <a:t>sp.insert_form_dataframe_to_db(df, table_name="STG_MS_FORM_PROPERTY", sharepoint_list="MS_FORM2_PROPERTY")</a:t>
          </a:r>
        </a:p>
        <a:p>
          <a:pPr algn="l"/>
          <a:endParaRPr lang="en-US" sz="1100"/>
        </a:p>
        <a:p>
          <a:pPr algn="l"/>
          <a:r>
            <a:rPr lang="en-US" sz="1100"/>
            <a:t>df=sp.get_dataframe_from_form_name(site_name="ProcurementMicrosoftform", sharepoint_list="MS_FORM2_ENERGY_CHEMICAL")</a:t>
          </a:r>
        </a:p>
        <a:p>
          <a:pPr algn="l"/>
          <a:r>
            <a:rPr lang="en-US" sz="1100"/>
            <a:t>sp.insert_form_dataframe_to_db(df, table_name = "STG_MS_FORM_ENERGY_CHEMICAL", sharepoint_list = "MS_FORM2_ENERGY_CHEMICAL")</a:t>
          </a:r>
        </a:p>
        <a:p>
          <a:pPr algn="l"/>
          <a:endParaRPr lang="en-US" sz="1100"/>
        </a:p>
        <a:p>
          <a:pPr algn="l"/>
          <a:endParaRPr lang="th-TH" sz="1100"/>
        </a:p>
      </xdr:txBody>
    </xdr:sp>
    <xdr:clientData/>
  </xdr:twoCellAnchor>
  <xdr:twoCellAnchor>
    <xdr:from>
      <xdr:col>1</xdr:col>
      <xdr:colOff>23811</xdr:colOff>
      <xdr:row>90</xdr:row>
      <xdr:rowOff>27780</xdr:rowOff>
    </xdr:from>
    <xdr:to>
      <xdr:col>19</xdr:col>
      <xdr:colOff>646042</xdr:colOff>
      <xdr:row>92</xdr:row>
      <xdr:rowOff>134937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8CCA8C1-E75A-4E60-9603-F1C37FFBEFBD}"/>
            </a:ext>
          </a:extLst>
        </xdr:cNvPr>
        <xdr:cNvSpPr/>
      </xdr:nvSpPr>
      <xdr:spPr>
        <a:xfrm>
          <a:off x="294376" y="5151954"/>
          <a:ext cx="5884449" cy="460548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python "E:\Project\PROCUREMENT\VENDOR_EVALUATION\PYTHON\MAIN_Satisfaction.py"</a:t>
          </a:r>
        </a:p>
        <a:p>
          <a:pPr algn="l"/>
          <a:r>
            <a:rPr lang="en-US" sz="1100"/>
            <a:t>python "E:\Project\PROCUREMENT\VENDOR_EVALUATION\PYTHON\DIM.py"</a:t>
          </a:r>
          <a:endParaRPr lang="th-TH" sz="1100"/>
        </a:p>
      </xdr:txBody>
    </xdr:sp>
    <xdr:clientData/>
  </xdr:twoCellAnchor>
  <xdr:twoCellAnchor>
    <xdr:from>
      <xdr:col>2</xdr:col>
      <xdr:colOff>27608</xdr:colOff>
      <xdr:row>97</xdr:row>
      <xdr:rowOff>47725</xdr:rowOff>
    </xdr:from>
    <xdr:to>
      <xdr:col>24</xdr:col>
      <xdr:colOff>18143</xdr:colOff>
      <xdr:row>151</xdr:row>
      <xdr:rowOff>145143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6643D41-224C-21D2-2342-EBDD9B3DDE22}"/>
            </a:ext>
          </a:extLst>
        </xdr:cNvPr>
        <xdr:cNvSpPr/>
      </xdr:nvSpPr>
      <xdr:spPr>
        <a:xfrm>
          <a:off x="571894" y="6579154"/>
          <a:ext cx="5977678" cy="9894560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import os</a:t>
          </a:r>
        </a:p>
        <a:p>
          <a:pPr algn="l"/>
          <a:r>
            <a:rPr lang="en-US" sz="1100"/>
            <a:t>import CLASS_EXPORT_SP_LIST</a:t>
          </a:r>
        </a:p>
        <a:p>
          <a:pPr algn="l"/>
          <a:endParaRPr lang="en-US" sz="1100"/>
        </a:p>
        <a:p>
          <a:pPr algn="l"/>
          <a:r>
            <a:rPr lang="en-US" sz="1100"/>
            <a:t>sp = CLASS_EXPORT_SP_LIST.SharePointList()</a:t>
          </a:r>
        </a:p>
        <a:p>
          <a:pPr algn="l"/>
          <a:endParaRPr lang="en-US" sz="1100"/>
        </a:p>
        <a:p>
          <a:pPr algn="l"/>
          <a:endParaRPr lang="en-US" sz="1100"/>
        </a:p>
        <a:p>
          <a:pPr algn="l"/>
          <a:r>
            <a:rPr lang="en-US" sz="1100"/>
            <a:t>## df = sp.get_dataframe_from_form_name(site_name="ProcurementMicrosoftform", sharepoint_list="MS_FORM2_IT")</a:t>
          </a:r>
        </a:p>
        <a:p>
          <a:pPr algn="l"/>
          <a:r>
            <a:rPr lang="en-US" sz="1100"/>
            <a:t>## sp.insert_form_dataframe_to_db(df, table_name="STG_MS_FORM_IT", sharepoint_list="MS_FORM2_IT")</a:t>
          </a:r>
        </a:p>
        <a:p>
          <a:pPr algn="l"/>
          <a:endParaRPr lang="en-US" sz="1100"/>
        </a:p>
        <a:p>
          <a:pPr algn="l"/>
          <a:r>
            <a:rPr lang="en-US" sz="1100"/>
            <a:t>## df = sp.get_dataframe_from_form_name(site_name="ProcurementMicrosoftform", sharepoint_list="MS_FORM2_LOGISTIC")</a:t>
          </a:r>
        </a:p>
        <a:p>
          <a:pPr algn="l"/>
          <a:r>
            <a:rPr lang="en-US" sz="1100"/>
            <a:t>## sp.insert_form_dataframe_to_db(df, table_name="STG_MS_FORM_LOGISTIC", sharepoint_list="MS_FORM2_LOGISTIC")</a:t>
          </a:r>
        </a:p>
        <a:p>
          <a:pPr algn="l"/>
          <a:endParaRPr lang="en-US" sz="1100"/>
        </a:p>
        <a:p>
          <a:pPr algn="l"/>
          <a:r>
            <a:rPr lang="en-US" sz="1100"/>
            <a:t>#df = sp.get_dataframe_from_form_name(site_name="ProcurementMicrosoftform", sharepoint_list="MS_FORM_LOGISTIC_RENTAL")</a:t>
          </a:r>
        </a:p>
        <a:p>
          <a:pPr algn="l"/>
          <a:r>
            <a:rPr lang="en-US" sz="1100"/>
            <a:t>#sp.insert_form_dataframe_to_db(df, table_name="STG_MS_FORM_RENTAL", sharepoint_list="MS_FORM_LOGISTIC_RENTAL")</a:t>
          </a:r>
        </a:p>
        <a:p>
          <a:pPr algn="l"/>
          <a:endParaRPr lang="en-US" sz="1100"/>
        </a:p>
        <a:p>
          <a:pPr algn="l"/>
          <a:r>
            <a:rPr lang="en-US" sz="1100"/>
            <a:t>## df=sp.get_dataframe_from_form_name(site_name="ProcurementMicrosoftform", sharepoint_list="MS_FORM2_WASTE")</a:t>
          </a:r>
        </a:p>
        <a:p>
          <a:pPr algn="l"/>
          <a:r>
            <a:rPr lang="en-US" sz="1100"/>
            <a:t>## sp.insert_form_dataframe_to_db(df, table_name = "STG_MS_FORM_WASTE", sharepoint_list = "MS_FORM2_WASTE")</a:t>
          </a:r>
        </a:p>
        <a:p>
          <a:pPr algn="l"/>
          <a:endParaRPr lang="en-US" sz="1100"/>
        </a:p>
        <a:p>
          <a:pPr algn="l"/>
          <a:r>
            <a:rPr lang="en-US" sz="1100"/>
            <a:t>## df=sp.get_dataframe_from_form_name(site_name="ProcurementMicrosoftform", sharepoint_list="MS_FORM2_MFG")</a:t>
          </a:r>
        </a:p>
        <a:p>
          <a:pPr algn="l"/>
          <a:r>
            <a:rPr lang="en-US" sz="1100"/>
            <a:t>## sp.insert_form_dataframe_to_db(df, table_name="STG_MS_FORM_MFG", sharepoint_list="MS_FORM2_MFG")</a:t>
          </a:r>
        </a:p>
        <a:p>
          <a:pPr algn="l"/>
          <a:endParaRPr lang="en-US" sz="1100"/>
        </a:p>
        <a:p>
          <a:pPr algn="l"/>
          <a:r>
            <a:rPr lang="en-US" sz="1100"/>
            <a:t># df=sp.get_dataframe_from_form_name(site_name="ProcurementMicrosoftform", sharepoint_list="MS_FORM_UNIFORM")</a:t>
          </a:r>
        </a:p>
        <a:p>
          <a:pPr algn="l"/>
          <a:r>
            <a:rPr lang="en-US" sz="1100"/>
            <a:t># sp.insert_form_dataframe_to_db(df, table_name="STG_MS_FORM_UNIFORM", sharepoint_list="MS_FORM_UNIFORM")</a:t>
          </a:r>
        </a:p>
        <a:p>
          <a:pPr algn="l"/>
          <a:endParaRPr lang="en-US" sz="1100"/>
        </a:p>
        <a:p>
          <a:pPr algn="l"/>
          <a:r>
            <a:rPr lang="en-US" sz="1100"/>
            <a:t>## df=sp.get_dataframe_from_form_name(site_name="ProcurementMicrosoftform", sharepoint_list="MS_FORM2_COM")</a:t>
          </a:r>
        </a:p>
        <a:p>
          <a:pPr algn="l"/>
          <a:r>
            <a:rPr lang="en-US" sz="1100"/>
            <a:t>## sp.insert_form_dataframe_to_db(df, table_name="STG_MS_FORM_COM", sharepoint_list="MS_FORM2_COM")</a:t>
          </a:r>
        </a:p>
        <a:p>
          <a:pPr algn="l"/>
          <a:endParaRPr lang="en-US" sz="1100"/>
        </a:p>
        <a:p>
          <a:pPr algn="l"/>
          <a:r>
            <a:rPr lang="en-US" sz="1100"/>
            <a:t>## df=sp.get_dataframe_from_form_name(site_name="ProcurementMicrosoftform", sharepoint_list="MS_FORM2_OUTSOURCE")</a:t>
          </a:r>
        </a:p>
        <a:p>
          <a:pPr algn="l"/>
          <a:r>
            <a:rPr lang="en-US" sz="1100"/>
            <a:t>## sp.insert_form_dataframe_to_db(df, table_name="STG_MS_FORM_OUTSOURCE", sharepoint_list="MS_FORM2_OUTSOURCE")</a:t>
          </a:r>
        </a:p>
        <a:p>
          <a:pPr algn="l"/>
          <a:endParaRPr lang="en-US" sz="1100"/>
        </a:p>
        <a:p>
          <a:pPr algn="l"/>
          <a:r>
            <a:rPr lang="en-US" sz="1100"/>
            <a:t>## df=sp.get_dataframe_from_form_name(site_name="ProcurementMicrosoftform", sharepoint_list="MS_FORM2_RM&amp;PKG")</a:t>
          </a:r>
        </a:p>
        <a:p>
          <a:pPr algn="l"/>
          <a:r>
            <a:rPr lang="en-US" sz="1100"/>
            <a:t>## sp.insert_form_dataframe_to_db(df, table_name="STG_MS_FORM_RM", sharepoint_list="MS_FORM2_RM&amp;PKG")</a:t>
          </a:r>
        </a:p>
        <a:p>
          <a:pPr algn="l"/>
          <a:endParaRPr lang="en-US" sz="1100"/>
        </a:p>
        <a:p>
          <a:pPr algn="l"/>
          <a:r>
            <a:rPr lang="en-US" sz="1100"/>
            <a:t># Satisfaction</a:t>
          </a:r>
        </a:p>
        <a:p>
          <a:pPr algn="l"/>
          <a:endParaRPr lang="en-US" sz="1100"/>
        </a:p>
        <a:p>
          <a:pPr algn="l"/>
          <a:r>
            <a:rPr lang="en-US" sz="1100"/>
            <a:t>df=sp.get_dataframe_from_form_name(site_name="Satisfaction", sharepoint_list="MS_FORM_INTERNAL")</a:t>
          </a:r>
        </a:p>
        <a:p>
          <a:pPr algn="l"/>
          <a:r>
            <a:rPr lang="en-US" sz="1100"/>
            <a:t>sp.insert_form_dataframe_to_db(df, table_name="STG_MS_FORM_INTERNAL", sharepoint_list="MS_FORM_INTERNAL")</a:t>
          </a:r>
        </a:p>
        <a:p>
          <a:pPr algn="l"/>
          <a:endParaRPr lang="en-US" sz="1100"/>
        </a:p>
        <a:p>
          <a:pPr algn="l"/>
          <a:endParaRPr lang="en-US" sz="1100"/>
        </a:p>
        <a:p>
          <a:pPr algn="l"/>
          <a:endParaRPr lang="en-US" sz="1100"/>
        </a:p>
        <a:p>
          <a:pPr algn="l"/>
          <a:r>
            <a:rPr lang="en-US" sz="1100"/>
            <a:t>df=sp.get_dataframe_from_form_name(site_name="Satisfaction", sharepoint_list="MS_FORM_EXTERNAL")</a:t>
          </a:r>
        </a:p>
        <a:p>
          <a:pPr algn="l"/>
          <a:r>
            <a:rPr lang="en-US" sz="1100"/>
            <a:t>sp.insert_form_dataframe_to_db(df, table_name="STG_MS_FORM_EXTERNAL", sharepoint_list="MS_FORM_EXTERNAL")</a:t>
          </a:r>
        </a:p>
        <a:p>
          <a:pPr algn="l"/>
          <a:endParaRPr lang="en-US" sz="1100"/>
        </a:p>
        <a:p>
          <a:pPr algn="l"/>
          <a:r>
            <a:rPr lang="en-US" sz="1100"/>
            <a:t># Vendor Response Target</a:t>
          </a:r>
        </a:p>
        <a:p>
          <a:pPr algn="l"/>
          <a:endParaRPr lang="en-US" sz="1100"/>
        </a:p>
        <a:p>
          <a:pPr algn="l"/>
          <a:r>
            <a:rPr lang="en-US" sz="1100"/>
            <a:t>## df=sp.get_dataframe_from_form_name(site_name="ProcurementMicrosoftform", sharepoint_list="VENDOR_RESPONSE_TARGET")</a:t>
          </a:r>
        </a:p>
        <a:p>
          <a:pPr algn="l"/>
          <a:r>
            <a:rPr lang="en-US" sz="1100"/>
            <a:t>## sp.insert_form_dataframe_to_db(df, table_name="STG_VENDOR_RESPONSE_TARGET", sharepoint_list="VENDOR_RESPONSE_TARGET")</a:t>
          </a:r>
        </a:p>
        <a:p>
          <a:pPr algn="l"/>
          <a:endParaRPr lang="en-US" sz="1100"/>
        </a:p>
        <a:p>
          <a:pPr algn="l"/>
          <a:endParaRPr lang="en-US" sz="1100"/>
        </a:p>
        <a:p>
          <a:pPr algn="l"/>
          <a:endParaRPr lang="en-US" sz="1100"/>
        </a:p>
        <a:p>
          <a:pPr algn="l"/>
          <a:r>
            <a:rPr lang="en-US" sz="1100"/>
            <a:t># Add for Project Vendor Evaluation V2.</a:t>
          </a:r>
        </a:p>
        <a:p>
          <a:pPr algn="l"/>
          <a:endParaRPr lang="en-US" sz="1100"/>
        </a:p>
        <a:p>
          <a:pPr algn="l"/>
          <a:r>
            <a:rPr lang="en-US" sz="1100"/>
            <a:t>## df = sp.get_dataframe_from_form_name(site_name="ProcurementMicrosoftform", sharepoint_list="MS_FORM2_AGILE")</a:t>
          </a:r>
        </a:p>
        <a:p>
          <a:pPr algn="l"/>
          <a:r>
            <a:rPr lang="en-US" sz="1100"/>
            <a:t>## sp.insert_form_dataframe_to_db(df, table_name="STG_MS_FORM_AGILE", sharepoint_list="MS_FORM2_AGILE")</a:t>
          </a:r>
        </a:p>
        <a:p>
          <a:pPr algn="l"/>
          <a:endParaRPr lang="en-US" sz="1100"/>
        </a:p>
        <a:p>
          <a:pPr algn="l"/>
          <a:r>
            <a:rPr lang="en-US" sz="1100"/>
            <a:t>## df = sp.get_dataframe_from_form_name(site_name="ProcurementMicrosoftform", sharepoint_list="MS_FORM2_PROPERTY")</a:t>
          </a:r>
        </a:p>
        <a:p>
          <a:pPr algn="l"/>
          <a:r>
            <a:rPr lang="en-US" sz="1100"/>
            <a:t>## sp.insert_form_dataframe_to_db(df, table_name="STG_MS_FORM_PROPERTY", sharepoint_list="MS_FORM2_PROPERTY")</a:t>
          </a:r>
        </a:p>
        <a:p>
          <a:pPr algn="l"/>
          <a:endParaRPr lang="en-US" sz="1100"/>
        </a:p>
        <a:p>
          <a:pPr algn="l"/>
          <a:r>
            <a:rPr lang="en-US" sz="1100"/>
            <a:t>## df=sp.get_dataframe_from_form_name(site_name="ProcurementMicrosoftform", sharepoint_list="MS_FORM2_ENERGY_CHEMICAL")</a:t>
          </a:r>
        </a:p>
        <a:p>
          <a:pPr algn="l"/>
          <a:r>
            <a:rPr lang="en-US" sz="1100"/>
            <a:t>## sp.insert_form_dataframe_to_db(df, table_name = "STG_MS_FORM_ENERGY_CHEMICAL", sharepoint_list = "MS_FORM2_ENERGY_CHEMICAL")</a:t>
          </a:r>
        </a:p>
        <a:p>
          <a:pPr algn="l"/>
          <a:endParaRPr lang="en-US" sz="1100"/>
        </a:p>
        <a:p>
          <a:pPr algn="l"/>
          <a:endParaRPr lang="th-TH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29818</xdr:colOff>
      <xdr:row>2</xdr:row>
      <xdr:rowOff>38455</xdr:rowOff>
    </xdr:from>
    <xdr:to>
      <xdr:col>25</xdr:col>
      <xdr:colOff>145783</xdr:colOff>
      <xdr:row>11</xdr:row>
      <xdr:rowOff>843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D2C0C9A-79E4-7005-5822-5D516860EE9D}"/>
            </a:ext>
          </a:extLst>
        </xdr:cNvPr>
        <xdr:cNvSpPr/>
      </xdr:nvSpPr>
      <xdr:spPr>
        <a:xfrm>
          <a:off x="13060018" y="400405"/>
          <a:ext cx="4716540" cy="159116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SELECT COUNT(*)</a:t>
          </a:r>
          <a:r>
            <a:rPr lang="th-TH" sz="1100">
              <a:solidFill>
                <a:schemeClr val="lt1"/>
              </a:solidFill>
              <a:latin typeface="+mn-lt"/>
              <a:ea typeface="+mn-ea"/>
              <a:cs typeface="+mn-cs"/>
            </a:rPr>
            <a:t>   </a:t>
          </a:r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--</a:t>
          </a:r>
          <a:r>
            <a:rPr lang="en-US" sz="1100" baseline="0">
              <a:solidFill>
                <a:schemeClr val="lt1"/>
              </a:solidFill>
              <a:latin typeface="+mn-lt"/>
              <a:ea typeface="+mn-ea"/>
              <a:cs typeface="+mn-cs"/>
            </a:rPr>
            <a:t> </a:t>
          </a:r>
          <a:r>
            <a:rPr lang="th-TH" sz="1100" baseline="0">
              <a:solidFill>
                <a:schemeClr val="lt1"/>
              </a:solidFill>
              <a:latin typeface="+mn-lt"/>
              <a:ea typeface="+mn-ea"/>
              <a:cs typeface="+mn-cs"/>
            </a:rPr>
            <a:t>ข้อมูลทั้งหมด</a:t>
          </a:r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FROM [dbo].[VW_FORM_06_SCORE_V2]</a:t>
          </a:r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WHERE LEFT(Vendor_Name,10) = '9000103994' AND [FormYear] = 2025</a:t>
          </a:r>
        </a:p>
        <a:p>
          <a:endParaRPr lang="th-TH" sz="1100">
            <a:solidFill>
              <a:schemeClr val="lt1"/>
            </a:solidFill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SELECT COUNT(*)</a:t>
          </a:r>
          <a:r>
            <a:rPr lang="th-TH" sz="1100">
              <a:solidFill>
                <a:schemeClr val="lt1"/>
              </a:solidFill>
              <a:latin typeface="+mn-lt"/>
              <a:ea typeface="+mn-ea"/>
              <a:cs typeface="+mn-cs"/>
            </a:rPr>
            <a:t>   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--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th-TH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ข้อมูลที่ไม่ว่าง</a:t>
          </a:r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FROM [dbo].[VW_FORM_06_SCORE_V2]</a:t>
          </a:r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WHERE LEFT(Vendor_Name,10) = '9000103994' AND [FormYear] = 2025 AND Response_Value IS NOT NULL</a:t>
          </a:r>
          <a:endParaRPr lang="th-TH" sz="1100"/>
        </a:p>
      </xdr:txBody>
    </xdr:sp>
    <xdr:clientData/>
  </xdr:twoCellAnchor>
  <xdr:twoCellAnchor>
    <xdr:from>
      <xdr:col>18</xdr:col>
      <xdr:colOff>40250</xdr:colOff>
      <xdr:row>14</xdr:row>
      <xdr:rowOff>64913</xdr:rowOff>
    </xdr:from>
    <xdr:to>
      <xdr:col>25</xdr:col>
      <xdr:colOff>146690</xdr:colOff>
      <xdr:row>18</xdr:row>
      <xdr:rowOff>43910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30401B0-580E-4647-E5C3-E8A446D9B8A6}"/>
            </a:ext>
          </a:extLst>
        </xdr:cNvPr>
        <xdr:cNvSpPr/>
      </xdr:nvSpPr>
      <xdr:spPr>
        <a:xfrm>
          <a:off x="13128721" y="2575031"/>
          <a:ext cx="4734469" cy="69617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SELECT count(*)  -- </a:t>
          </a:r>
          <a:r>
            <a:rPr lang="th-TH" sz="1100">
              <a:solidFill>
                <a:schemeClr val="lt1"/>
              </a:solidFill>
              <a:latin typeface="+mn-lt"/>
              <a:ea typeface="+mn-ea"/>
              <a:cs typeface="+mn-cs"/>
            </a:rPr>
            <a:t>ข้อมูลที่ไม่ว่าง</a:t>
          </a:r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FROM [dbo].[VW_FACT_MS_FORM_GROUPING_V2]</a:t>
          </a:r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WHERE LEFT(Vendor_Name,10) = '9000103994' AND [FormYear] = 2025</a:t>
          </a:r>
          <a:endParaRPr lang="th-TH" sz="1100"/>
        </a:p>
      </xdr:txBody>
    </xdr:sp>
    <xdr:clientData/>
  </xdr:twoCellAnchor>
  <xdr:twoCellAnchor>
    <xdr:from>
      <xdr:col>18</xdr:col>
      <xdr:colOff>78362</xdr:colOff>
      <xdr:row>22</xdr:row>
      <xdr:rowOff>70130</xdr:rowOff>
    </xdr:from>
    <xdr:to>
      <xdr:col>29</xdr:col>
      <xdr:colOff>549729</xdr:colOff>
      <xdr:row>39</xdr:row>
      <xdr:rowOff>18142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C3FCB13-8FBF-4BCC-5A4A-619A33C1E0A2}"/>
            </a:ext>
          </a:extLst>
        </xdr:cNvPr>
        <xdr:cNvSpPr/>
      </xdr:nvSpPr>
      <xdr:spPr>
        <a:xfrm>
          <a:off x="10945933" y="4061559"/>
          <a:ext cx="7755725" cy="30322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SELECT Question_Number, Pur_Grp, RoundYear, Plant, Weight_Source, Cell_Value</a:t>
          </a:r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FROM VW_FACT_MS_FORM_REPORT_V2</a:t>
          </a:r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WHERE LEFT(Vendor_Name,10) = '9000103994' AND [FormYear] = 2025 AND LEFT(QueryPart,2) = '10' -- AND Pur_Grp = 'PACKAGING'</a:t>
          </a:r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ORDER BY 1,2</a:t>
          </a:r>
        </a:p>
        <a:p>
          <a:endParaRPr lang="th-TH" sz="1100">
            <a:solidFill>
              <a:schemeClr val="lt1"/>
            </a:solidFill>
            <a:latin typeface="+mn-lt"/>
            <a:ea typeface="+mn-ea"/>
            <a:cs typeface="+mn-cs"/>
          </a:endParaRPr>
        </a:p>
        <a:p>
          <a:endParaRPr lang="th-TH" sz="1100">
            <a:solidFill>
              <a:schemeClr val="lt1"/>
            </a:solidFill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SELECT Question_Number, Pur_Grp, RoundYear, Plant, Cell_Value, Weight_Source</a:t>
          </a:r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FROM VW_FACT_MS_FORM_REPORT_V2</a:t>
          </a:r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WHERE LEFT(Vendor_Name,10) = '9000103994' AND [FormYear] = 2025 AND LEFT(QueryPart,2) = '20' -- AND Pur_Grp = 'PACKAGING'</a:t>
          </a:r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ORDER BY 1,2</a:t>
          </a:r>
        </a:p>
        <a:p>
          <a:endParaRPr lang="th-TH" sz="1100">
            <a:solidFill>
              <a:schemeClr val="lt1"/>
            </a:solidFill>
            <a:latin typeface="+mn-lt"/>
            <a:ea typeface="+mn-ea"/>
            <a:cs typeface="+mn-cs"/>
          </a:endParaRPr>
        </a:p>
        <a:p>
          <a:endParaRPr lang="th-TH" sz="1100">
            <a:solidFill>
              <a:schemeClr val="lt1"/>
            </a:solidFill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SELECT Distinct REPLACE(Question_Number,'S','Q') AS Question_Number, Pur_Grp</a:t>
          </a:r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FROM VW_FACT_MS_FORM_REPORT_V2</a:t>
          </a:r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WHERE LEFT(Vendor_Name,10) = '9000103994' AND [FormYear] = 2025 AND LEFT(QueryPart,2) = '20' -- AND Pur_Grp = 'PACKAGING'</a:t>
          </a:r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ORDER BY 1</a:t>
          </a:r>
        </a:p>
        <a:p>
          <a:endParaRPr lang="th-TH" sz="1100">
            <a:solidFill>
              <a:schemeClr val="lt1"/>
            </a:solidFill>
            <a:latin typeface="+mn-lt"/>
            <a:ea typeface="+mn-ea"/>
            <a:cs typeface="+mn-cs"/>
          </a:endParaRPr>
        </a:p>
        <a:p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66816</xdr:colOff>
      <xdr:row>51</xdr:row>
      <xdr:rowOff>66955</xdr:rowOff>
    </xdr:from>
    <xdr:to>
      <xdr:col>29</xdr:col>
      <xdr:colOff>538183</xdr:colOff>
      <xdr:row>68</xdr:row>
      <xdr:rowOff>103909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E4598C3-93DB-A585-FB23-10CE30C79163}"/>
            </a:ext>
          </a:extLst>
        </xdr:cNvPr>
        <xdr:cNvSpPr/>
      </xdr:nvSpPr>
      <xdr:spPr>
        <a:xfrm>
          <a:off x="12466634" y="9776682"/>
          <a:ext cx="7710367" cy="298104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SELECT Question_Number, Pur_Grp, RoundYear, Plant, Weight_Source, Cell_Value</a:t>
          </a:r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FROM VW_FACT_MS_FORM_REPORT_V2</a:t>
          </a:r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WHERE LEFT(Vendor_Name,10) = '9000103994' AND [FormYear] = 2025 AND LEFT(QueryPart,2) = '11' -- AND Pur_Grp = 'PACKAGING'</a:t>
          </a:r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ORDER BY 1,2</a:t>
          </a:r>
        </a:p>
        <a:p>
          <a:endParaRPr lang="th-TH" sz="1100">
            <a:solidFill>
              <a:schemeClr val="lt1"/>
            </a:solidFill>
            <a:latin typeface="+mn-lt"/>
            <a:ea typeface="+mn-ea"/>
            <a:cs typeface="+mn-cs"/>
          </a:endParaRPr>
        </a:p>
        <a:p>
          <a:endParaRPr lang="th-TH" sz="1100">
            <a:solidFill>
              <a:schemeClr val="lt1"/>
            </a:solidFill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SELECT Question_Number, Pur_Grp, RoundYear, Plant, Cell_Value, Weight_Source</a:t>
          </a:r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FROM VW_FACT_MS_FORM_REPORT_V2</a:t>
          </a:r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WHERE LEFT(Vendor_Name,10) = '9000103994' AND [FormYear] = 2025 AND LEFT(QueryPart,2) = '21' -- AND Pur_Grp = 'PACKAGING'</a:t>
          </a:r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ORDER BY 1,2</a:t>
          </a:r>
        </a:p>
        <a:p>
          <a:endParaRPr lang="th-TH" sz="1100">
            <a:solidFill>
              <a:schemeClr val="lt1"/>
            </a:solidFill>
            <a:latin typeface="+mn-lt"/>
            <a:ea typeface="+mn-ea"/>
            <a:cs typeface="+mn-cs"/>
          </a:endParaRPr>
        </a:p>
        <a:p>
          <a:endParaRPr lang="th-TH" sz="1100">
            <a:solidFill>
              <a:schemeClr val="lt1"/>
            </a:solidFill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SELECT Distinct REPLACE(Question_Number,'S','Q') AS Question_Number, Pur_Grp</a:t>
          </a:r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FROM VW_FACT_MS_FORM_REPORT_V2</a:t>
          </a:r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WHERE LEFT(Vendor_Name,10) = '9000103994' AND [FormYear] = 2025 AND LEFT(QueryPart,2) = '20' -- AND Pur_Grp = 'PACKAGING'</a:t>
          </a:r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ORDER BY 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29766</xdr:colOff>
      <xdr:row>34</xdr:row>
      <xdr:rowOff>41672</xdr:rowOff>
    </xdr:from>
    <xdr:to>
      <xdr:col>24</xdr:col>
      <xdr:colOff>542132</xdr:colOff>
      <xdr:row>44</xdr:row>
      <xdr:rowOff>140468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FA095D-AE95-4038-9E1B-71AA2B3D8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282" y="756047"/>
          <a:ext cx="7772400" cy="188790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tripat Ngamjittrong" refreshedDate="46038.63841388889" createdVersion="8" refreshedVersion="8" minRefreshableVersion="3" recordCount="5" xr:uid="{28BC64C3-21F0-4DE7-A222-1ED939A11B9D}">
  <cacheSource type="worksheet">
    <worksheetSource ref="H51:M56" sheet="CheckData"/>
  </cacheSource>
  <cacheFields count="6">
    <cacheField name="Question_Number" numFmtId="0">
      <sharedItems/>
    </cacheField>
    <cacheField name="Pur_Grp" numFmtId="0">
      <sharedItems count="2">
        <s v="PACKAGING"/>
        <s v="PURCHASING"/>
      </sharedItems>
    </cacheField>
    <cacheField name="RoundYear" numFmtId="0">
      <sharedItems containsSemiMixedTypes="0" containsString="0" containsNumber="1" containsInteger="1" minValue="1" maxValue="2"/>
    </cacheField>
    <cacheField name="Plant" numFmtId="0">
      <sharedItems/>
    </cacheField>
    <cacheField name="Cell_Value" numFmtId="0">
      <sharedItems containsSemiMixedTypes="0" containsString="0" containsNumber="1" minValue="5" maxValue="27.5"/>
    </cacheField>
    <cacheField name="Weight_Source" numFmtId="0">
      <sharedItems containsSemiMixedTypes="0" containsString="0" containsNumber="1" minValue="5" maxValue="27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tripat Ngamjittrong" refreshedDate="46038.641298032409" createdVersion="8" refreshedVersion="8" minRefreshableVersion="3" recordCount="22" xr:uid="{527B66EB-2DF2-4A3B-89C2-574FA36FEDE0}">
  <cacheSource type="worksheet">
    <worksheetSource ref="H22:M44" sheet="CheckData"/>
  </cacheSource>
  <cacheFields count="6">
    <cacheField name="Question_Number" numFmtId="0">
      <sharedItems count="9">
        <s v="S10"/>
        <s v="S11"/>
        <s v="S14"/>
        <s v="S15"/>
        <s v="S16"/>
        <s v="S17"/>
        <s v="S18"/>
        <s v="S19"/>
        <s v="S21"/>
      </sharedItems>
    </cacheField>
    <cacheField name="Pur_Grp" numFmtId="0">
      <sharedItems count="2">
        <s v="PURCHASING"/>
        <s v="PACKAGING"/>
      </sharedItems>
    </cacheField>
    <cacheField name="RoundYear" numFmtId="0">
      <sharedItems containsSemiMixedTypes="0" containsString="0" containsNumber="1" containsInteger="1" minValue="1" maxValue="2" count="2">
        <n v="1"/>
        <n v="2"/>
      </sharedItems>
    </cacheField>
    <cacheField name="Plant" numFmtId="0">
      <sharedItems/>
    </cacheField>
    <cacheField name="Cell_Value" numFmtId="0">
      <sharedItems containsSemiMixedTypes="0" containsString="0" containsNumber="1" minValue="0.9375" maxValue="10"/>
    </cacheField>
    <cacheField name="Weight_Source" numFmtId="0">
      <sharedItems containsSemiMixedTypes="0" containsString="0" containsNumber="1" minValue="1.25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Score Total"/>
    <x v="0"/>
    <n v="1"/>
    <s v="ALL สำหรับ Packaging เท่านั้น"/>
    <n v="5"/>
    <n v="5"/>
  </r>
  <r>
    <s v="Score Total"/>
    <x v="0"/>
    <n v="2"/>
    <s v="ALL"/>
    <n v="5.625"/>
    <n v="7.5"/>
  </r>
  <r>
    <s v="Score Total"/>
    <x v="1"/>
    <n v="2"/>
    <s v="ปทุมธานี"/>
    <n v="25"/>
    <n v="27.5"/>
  </r>
  <r>
    <s v="Score Total"/>
    <x v="1"/>
    <n v="1"/>
    <s v="รังสิต"/>
    <n v="27.5"/>
    <n v="27.5"/>
  </r>
  <r>
    <s v="Score Total"/>
    <x v="1"/>
    <n v="2"/>
    <s v="รังสิต"/>
    <n v="25"/>
    <n v="27.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x v="0"/>
    <x v="0"/>
    <x v="0"/>
    <s v="รังสิต"/>
    <n v="10"/>
    <n v="10"/>
  </r>
  <r>
    <x v="0"/>
    <x v="0"/>
    <x v="1"/>
    <s v="ปทุมธานี"/>
    <n v="10"/>
    <n v="10"/>
  </r>
  <r>
    <x v="0"/>
    <x v="0"/>
    <x v="1"/>
    <s v="รังสิต"/>
    <n v="10"/>
    <n v="10"/>
  </r>
  <r>
    <x v="1"/>
    <x v="0"/>
    <x v="1"/>
    <s v="ปทุมธานี"/>
    <n v="7.5"/>
    <n v="10"/>
  </r>
  <r>
    <x v="1"/>
    <x v="0"/>
    <x v="1"/>
    <s v="รังสิต"/>
    <n v="7.5"/>
    <n v="10"/>
  </r>
  <r>
    <x v="1"/>
    <x v="0"/>
    <x v="0"/>
    <s v="รังสิต"/>
    <n v="10"/>
    <n v="10"/>
  </r>
  <r>
    <x v="2"/>
    <x v="0"/>
    <x v="0"/>
    <s v="รังสิต"/>
    <n v="1.25"/>
    <n v="1.25"/>
  </r>
  <r>
    <x v="2"/>
    <x v="0"/>
    <x v="1"/>
    <s v="ปทุมธานี"/>
    <n v="1.25"/>
    <n v="1.25"/>
  </r>
  <r>
    <x v="2"/>
    <x v="0"/>
    <x v="1"/>
    <s v="รังสิต"/>
    <n v="1.25"/>
    <n v="1.25"/>
  </r>
  <r>
    <x v="3"/>
    <x v="1"/>
    <x v="1"/>
    <s v="ALL"/>
    <n v="0.9375"/>
    <n v="1.25"/>
  </r>
  <r>
    <x v="3"/>
    <x v="1"/>
    <x v="0"/>
    <s v="ALL สำหรับ Packaging เท่านั้น"/>
    <n v="1.25"/>
    <n v="1.25"/>
  </r>
  <r>
    <x v="4"/>
    <x v="0"/>
    <x v="0"/>
    <s v="รังสิต"/>
    <n v="1.25"/>
    <n v="1.25"/>
  </r>
  <r>
    <x v="4"/>
    <x v="0"/>
    <x v="1"/>
    <s v="ปทุมธานี"/>
    <n v="1.25"/>
    <n v="1.25"/>
  </r>
  <r>
    <x v="4"/>
    <x v="0"/>
    <x v="1"/>
    <s v="รังสิต"/>
    <n v="1.25"/>
    <n v="1.25"/>
  </r>
  <r>
    <x v="5"/>
    <x v="1"/>
    <x v="0"/>
    <s v="ALL สำหรับ Packaging เท่านั้น"/>
    <n v="1.25"/>
    <n v="1.25"/>
  </r>
  <r>
    <x v="5"/>
    <x v="1"/>
    <x v="1"/>
    <s v="ALL"/>
    <n v="0.9375"/>
    <n v="1.25"/>
  </r>
  <r>
    <x v="6"/>
    <x v="1"/>
    <x v="1"/>
    <s v="ALL"/>
    <n v="1.875"/>
    <n v="2.5"/>
  </r>
  <r>
    <x v="6"/>
    <x v="1"/>
    <x v="0"/>
    <s v="ALL สำหรับ Packaging เท่านั้น"/>
    <n v="2.5"/>
    <n v="2.5"/>
  </r>
  <r>
    <x v="7"/>
    <x v="1"/>
    <x v="1"/>
    <s v="ALL"/>
    <n v="1.875"/>
    <n v="2.5"/>
  </r>
  <r>
    <x v="8"/>
    <x v="0"/>
    <x v="0"/>
    <s v="รังสิต"/>
    <n v="5"/>
    <n v="5"/>
  </r>
  <r>
    <x v="8"/>
    <x v="0"/>
    <x v="1"/>
    <s v="ปทุมธานี"/>
    <n v="5"/>
    <n v="5"/>
  </r>
  <r>
    <x v="8"/>
    <x v="0"/>
    <x v="1"/>
    <s v="รังสิต"/>
    <n v="5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008B5D-E294-432C-A18D-D460E0DC566C}" name="PivotTable10" cacheId="7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H51:AJ53" firstHeaderRow="0" firstDataRow="1" firstDataCol="1"/>
  <pivotFields count="6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  <pivotField dataField="1" showAll="0"/>
  </pivotFields>
  <rowFields count="1">
    <field x="1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Average of Cell_Value" fld="4" subtotal="average" baseField="1" baseItem="0"/>
    <dataField name="Average of Weight_Source" fld="5" subtotal="average" baseField="1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5D804D-C3A6-444E-A97A-F72693D475CD}" name="PivotTable9" cacheId="9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G24:AJ33" firstHeaderRow="0" firstDataRow="1" firstDataCol="2" rowPageCount="1" colPageCount="1"/>
  <pivotFields count="6">
    <pivotField axis="axisRow" compact="0" outline="0"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  <pivotField axis="axisRow" compact="0" outline="0" showAll="0" sortType="ascending" defaultSubtotal="0">
      <items count="2">
        <item x="1"/>
        <item x="0"/>
      </items>
    </pivotField>
    <pivotField axis="axisPage" compact="0" outline="0" multipleItemSelectionAllowed="1" showAll="0" defaultSubtotal="0">
      <items count="2">
        <item x="0"/>
        <item x="1"/>
      </items>
    </pivotField>
    <pivotField compact="0" outline="0" showAll="0" defaultSubtotal="0"/>
    <pivotField dataField="1" compact="0" outline="0" showAll="0" defaultSubtotal="0"/>
    <pivotField dataField="1" compact="0" outline="0" subtotalTop="0" showAll="0" defaultSubtotal="0"/>
  </pivotFields>
  <rowFields count="2">
    <field x="0"/>
    <field x="1"/>
  </rowFields>
  <rowItems count="9">
    <i>
      <x/>
      <x v="1"/>
    </i>
    <i>
      <x v="1"/>
      <x v="1"/>
    </i>
    <i>
      <x v="2"/>
      <x v="1"/>
    </i>
    <i>
      <x v="3"/>
      <x/>
    </i>
    <i>
      <x v="4"/>
      <x v="1"/>
    </i>
    <i>
      <x v="5"/>
      <x/>
    </i>
    <i>
      <x v="6"/>
      <x/>
    </i>
    <i>
      <x v="7"/>
      <x/>
    </i>
    <i>
      <x v="8"/>
      <x v="1"/>
    </i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Average of Cell_Value" fld="4" subtotal="average" baseField="1" baseItem="3"/>
    <dataField name="Average of Weight_Source" fld="5" subtotal="average" baseField="1" baseItem="3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6CC10-27C7-4C7F-ABC2-5CF777CF7F18}">
  <dimension ref="A1:T160"/>
  <sheetViews>
    <sheetView topLeftCell="A86" zoomScale="115" zoomScaleNormal="115" workbookViewId="0">
      <selection activeCell="AA160" sqref="AA160"/>
    </sheetView>
    <sheetView workbookViewId="1">
      <selection sqref="A1:T1"/>
    </sheetView>
  </sheetViews>
  <sheetFormatPr defaultRowHeight="14" outlineLevelRow="1" x14ac:dyDescent="0.3"/>
  <cols>
    <col min="1" max="29" width="3.58203125" customWidth="1"/>
  </cols>
  <sheetData>
    <row r="1" spans="1:20" x14ac:dyDescent="0.3">
      <c r="A1" s="12" t="s">
        <v>118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3" spans="1:20" x14ac:dyDescent="0.3">
      <c r="A3" s="13" t="s">
        <v>119</v>
      </c>
      <c r="B3" s="13"/>
      <c r="C3" s="13"/>
      <c r="D3" s="13"/>
    </row>
    <row r="4" spans="1:20" x14ac:dyDescent="0.3">
      <c r="B4" t="s">
        <v>120</v>
      </c>
    </row>
    <row r="5" spans="1:20" x14ac:dyDescent="0.3">
      <c r="A5" s="13" t="s">
        <v>121</v>
      </c>
      <c r="B5" s="13"/>
      <c r="C5" s="13"/>
      <c r="D5" s="13"/>
    </row>
    <row r="6" spans="1:20" x14ac:dyDescent="0.3">
      <c r="B6" t="s">
        <v>122</v>
      </c>
    </row>
    <row r="7" spans="1:20" hidden="1" outlineLevel="1" x14ac:dyDescent="0.3"/>
    <row r="8" spans="1:20" hidden="1" outlineLevel="1" x14ac:dyDescent="0.3"/>
    <row r="9" spans="1:20" hidden="1" outlineLevel="1" x14ac:dyDescent="0.3"/>
    <row r="10" spans="1:20" collapsed="1" x14ac:dyDescent="0.3">
      <c r="B10" t="s">
        <v>123</v>
      </c>
    </row>
    <row r="11" spans="1:20" x14ac:dyDescent="0.3">
      <c r="C11" t="s">
        <v>124</v>
      </c>
    </row>
    <row r="12" spans="1:20" x14ac:dyDescent="0.3">
      <c r="C12" t="s">
        <v>125</v>
      </c>
    </row>
    <row r="13" spans="1:20" x14ac:dyDescent="0.3">
      <c r="C13" s="14" t="s">
        <v>126</v>
      </c>
    </row>
    <row r="14" spans="1:20" hidden="1" outlineLevel="1" x14ac:dyDescent="0.3"/>
    <row r="15" spans="1:20" hidden="1" outlineLevel="1" x14ac:dyDescent="0.3"/>
    <row r="16" spans="1:20" hidden="1" outlineLevel="1" x14ac:dyDescent="0.3"/>
    <row r="17" hidden="1" outlineLevel="1" x14ac:dyDescent="0.3"/>
    <row r="18" hidden="1" outlineLevel="1" x14ac:dyDescent="0.3"/>
    <row r="19" hidden="1" outlineLevel="1" x14ac:dyDescent="0.3"/>
    <row r="20" hidden="1" outlineLevel="1" x14ac:dyDescent="0.3"/>
    <row r="21" hidden="1" outlineLevel="1" x14ac:dyDescent="0.3"/>
    <row r="22" hidden="1" outlineLevel="1" x14ac:dyDescent="0.3"/>
    <row r="23" hidden="1" outlineLevel="1" x14ac:dyDescent="0.3"/>
    <row r="24" hidden="1" outlineLevel="1" x14ac:dyDescent="0.3"/>
    <row r="25" hidden="1" outlineLevel="1" x14ac:dyDescent="0.3"/>
    <row r="26" hidden="1" outlineLevel="1" x14ac:dyDescent="0.3"/>
    <row r="27" hidden="1" outlineLevel="1" x14ac:dyDescent="0.3"/>
    <row r="28" hidden="1" outlineLevel="1" x14ac:dyDescent="0.3"/>
    <row r="29" hidden="1" outlineLevel="1" x14ac:dyDescent="0.3"/>
    <row r="30" hidden="1" outlineLevel="1" x14ac:dyDescent="0.3"/>
    <row r="31" hidden="1" outlineLevel="1" x14ac:dyDescent="0.3"/>
    <row r="32" hidden="1" outlineLevel="1" x14ac:dyDescent="0.3"/>
    <row r="33" hidden="1" outlineLevel="1" x14ac:dyDescent="0.3"/>
    <row r="34" hidden="1" outlineLevel="1" x14ac:dyDescent="0.3"/>
    <row r="35" hidden="1" outlineLevel="1" x14ac:dyDescent="0.3"/>
    <row r="36" hidden="1" outlineLevel="1" x14ac:dyDescent="0.3"/>
    <row r="37" hidden="1" outlineLevel="1" x14ac:dyDescent="0.3"/>
    <row r="38" hidden="1" outlineLevel="1" x14ac:dyDescent="0.3"/>
    <row r="39" hidden="1" outlineLevel="1" x14ac:dyDescent="0.3"/>
    <row r="40" hidden="1" outlineLevel="1" x14ac:dyDescent="0.3"/>
    <row r="41" hidden="1" outlineLevel="1" x14ac:dyDescent="0.3"/>
    <row r="42" hidden="1" outlineLevel="1" x14ac:dyDescent="0.3"/>
    <row r="43" hidden="1" outlineLevel="1" x14ac:dyDescent="0.3"/>
    <row r="44" hidden="1" outlineLevel="1" x14ac:dyDescent="0.3"/>
    <row r="45" hidden="1" outlineLevel="1" x14ac:dyDescent="0.3"/>
    <row r="46" hidden="1" outlineLevel="1" x14ac:dyDescent="0.3"/>
    <row r="47" hidden="1" outlineLevel="1" x14ac:dyDescent="0.3"/>
    <row r="48" hidden="1" outlineLevel="1" x14ac:dyDescent="0.3"/>
    <row r="49" hidden="1" outlineLevel="1" x14ac:dyDescent="0.3"/>
    <row r="50" hidden="1" outlineLevel="1" x14ac:dyDescent="0.3"/>
    <row r="51" hidden="1" outlineLevel="1" x14ac:dyDescent="0.3"/>
    <row r="52" hidden="1" outlineLevel="1" x14ac:dyDescent="0.3"/>
    <row r="53" hidden="1" outlineLevel="1" x14ac:dyDescent="0.3"/>
    <row r="54" hidden="1" outlineLevel="1" x14ac:dyDescent="0.3"/>
    <row r="55" hidden="1" outlineLevel="1" x14ac:dyDescent="0.3"/>
    <row r="56" hidden="1" outlineLevel="1" x14ac:dyDescent="0.3"/>
    <row r="57" hidden="1" outlineLevel="1" x14ac:dyDescent="0.3"/>
    <row r="58" hidden="1" outlineLevel="1" x14ac:dyDescent="0.3"/>
    <row r="59" hidden="1" outlineLevel="1" x14ac:dyDescent="0.3"/>
    <row r="60" hidden="1" outlineLevel="1" x14ac:dyDescent="0.3"/>
    <row r="61" hidden="1" outlineLevel="1" x14ac:dyDescent="0.3"/>
    <row r="62" hidden="1" outlineLevel="1" x14ac:dyDescent="0.3"/>
    <row r="63" hidden="1" outlineLevel="1" x14ac:dyDescent="0.3"/>
    <row r="64" hidden="1" outlineLevel="1" x14ac:dyDescent="0.3"/>
    <row r="65" spans="1:4" hidden="1" outlineLevel="1" x14ac:dyDescent="0.3"/>
    <row r="66" spans="1:4" hidden="1" outlineLevel="1" x14ac:dyDescent="0.3"/>
    <row r="67" spans="1:4" hidden="1" outlineLevel="1" x14ac:dyDescent="0.3"/>
    <row r="68" spans="1:4" hidden="1" outlineLevel="1" x14ac:dyDescent="0.3"/>
    <row r="69" spans="1:4" hidden="1" outlineLevel="1" x14ac:dyDescent="0.3"/>
    <row r="70" spans="1:4" hidden="1" outlineLevel="1" x14ac:dyDescent="0.3"/>
    <row r="71" spans="1:4" hidden="1" outlineLevel="1" x14ac:dyDescent="0.3"/>
    <row r="72" spans="1:4" hidden="1" outlineLevel="1" x14ac:dyDescent="0.3"/>
    <row r="73" spans="1:4" hidden="1" outlineLevel="1" x14ac:dyDescent="0.3"/>
    <row r="74" spans="1:4" hidden="1" outlineLevel="1" x14ac:dyDescent="0.3"/>
    <row r="75" spans="1:4" collapsed="1" x14ac:dyDescent="0.3">
      <c r="C75" s="14" t="s">
        <v>127</v>
      </c>
    </row>
    <row r="76" spans="1:4" x14ac:dyDescent="0.3">
      <c r="A76" s="13" t="s">
        <v>128</v>
      </c>
      <c r="B76" s="13"/>
      <c r="C76" s="13"/>
      <c r="D76" s="13"/>
    </row>
    <row r="77" spans="1:4" s="15" customFormat="1" x14ac:dyDescent="0.3">
      <c r="B77" s="15" t="s">
        <v>132</v>
      </c>
    </row>
    <row r="78" spans="1:4" s="15" customFormat="1" x14ac:dyDescent="0.3">
      <c r="B78" s="15" t="s">
        <v>133</v>
      </c>
    </row>
    <row r="79" spans="1:4" x14ac:dyDescent="0.3">
      <c r="B79" t="s">
        <v>134</v>
      </c>
    </row>
    <row r="80" spans="1:4" x14ac:dyDescent="0.3">
      <c r="C80" t="s">
        <v>129</v>
      </c>
    </row>
    <row r="81" spans="1:20" x14ac:dyDescent="0.3">
      <c r="D81" t="s">
        <v>130</v>
      </c>
    </row>
    <row r="82" spans="1:20" x14ac:dyDescent="0.3">
      <c r="D82" t="s">
        <v>131</v>
      </c>
    </row>
    <row r="85" spans="1:20" x14ac:dyDescent="0.3">
      <c r="A85" s="12" t="s">
        <v>138</v>
      </c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</row>
    <row r="87" spans="1:20" x14ac:dyDescent="0.3">
      <c r="A87" s="13" t="s">
        <v>119</v>
      </c>
      <c r="B87" s="13"/>
      <c r="C87" s="13"/>
      <c r="D87" s="13"/>
    </row>
    <row r="88" spans="1:20" x14ac:dyDescent="0.3">
      <c r="B88" t="s">
        <v>135</v>
      </c>
    </row>
    <row r="89" spans="1:20" x14ac:dyDescent="0.3">
      <c r="A89" s="13" t="s">
        <v>121</v>
      </c>
      <c r="B89" s="13"/>
      <c r="C89" s="13"/>
      <c r="D89" s="13"/>
    </row>
    <row r="90" spans="1:20" x14ac:dyDescent="0.3">
      <c r="B90" t="s">
        <v>136</v>
      </c>
    </row>
    <row r="91" spans="1:20" hidden="1" outlineLevel="1" x14ac:dyDescent="0.3"/>
    <row r="92" spans="1:20" hidden="1" outlineLevel="1" x14ac:dyDescent="0.3"/>
    <row r="93" spans="1:20" hidden="1" outlineLevel="1" x14ac:dyDescent="0.3"/>
    <row r="94" spans="1:20" collapsed="1" x14ac:dyDescent="0.3">
      <c r="B94" t="s">
        <v>123</v>
      </c>
    </row>
    <row r="95" spans="1:20" x14ac:dyDescent="0.3">
      <c r="C95" t="s">
        <v>124</v>
      </c>
    </row>
    <row r="96" spans="1:20" x14ac:dyDescent="0.3">
      <c r="C96" t="s">
        <v>125</v>
      </c>
    </row>
    <row r="97" spans="3:3" x14ac:dyDescent="0.3">
      <c r="C97" s="14" t="s">
        <v>137</v>
      </c>
    </row>
    <row r="98" spans="3:3" hidden="1" outlineLevel="1" x14ac:dyDescent="0.3"/>
    <row r="99" spans="3:3" hidden="1" outlineLevel="1" x14ac:dyDescent="0.3"/>
    <row r="100" spans="3:3" hidden="1" outlineLevel="1" x14ac:dyDescent="0.3"/>
    <row r="101" spans="3:3" hidden="1" outlineLevel="1" x14ac:dyDescent="0.3"/>
    <row r="102" spans="3:3" hidden="1" outlineLevel="1" x14ac:dyDescent="0.3"/>
    <row r="103" spans="3:3" hidden="1" outlineLevel="1" x14ac:dyDescent="0.3"/>
    <row r="104" spans="3:3" hidden="1" outlineLevel="1" x14ac:dyDescent="0.3"/>
    <row r="105" spans="3:3" hidden="1" outlineLevel="1" x14ac:dyDescent="0.3"/>
    <row r="106" spans="3:3" hidden="1" outlineLevel="1" x14ac:dyDescent="0.3"/>
    <row r="107" spans="3:3" hidden="1" outlineLevel="1" x14ac:dyDescent="0.3"/>
    <row r="108" spans="3:3" hidden="1" outlineLevel="1" x14ac:dyDescent="0.3"/>
    <row r="109" spans="3:3" hidden="1" outlineLevel="1" x14ac:dyDescent="0.3"/>
    <row r="110" spans="3:3" hidden="1" outlineLevel="1" x14ac:dyDescent="0.3"/>
    <row r="111" spans="3:3" hidden="1" outlineLevel="1" x14ac:dyDescent="0.3"/>
    <row r="112" spans="3:3" hidden="1" outlineLevel="1" x14ac:dyDescent="0.3"/>
    <row r="113" hidden="1" outlineLevel="1" x14ac:dyDescent="0.3"/>
    <row r="114" hidden="1" outlineLevel="1" x14ac:dyDescent="0.3"/>
    <row r="115" hidden="1" outlineLevel="1" x14ac:dyDescent="0.3"/>
    <row r="116" hidden="1" outlineLevel="1" x14ac:dyDescent="0.3"/>
    <row r="117" hidden="1" outlineLevel="1" x14ac:dyDescent="0.3"/>
    <row r="118" hidden="1" outlineLevel="1" x14ac:dyDescent="0.3"/>
    <row r="119" hidden="1" outlineLevel="1" x14ac:dyDescent="0.3"/>
    <row r="120" hidden="1" outlineLevel="1" x14ac:dyDescent="0.3"/>
    <row r="121" hidden="1" outlineLevel="1" x14ac:dyDescent="0.3"/>
    <row r="122" hidden="1" outlineLevel="1" x14ac:dyDescent="0.3"/>
    <row r="123" hidden="1" outlineLevel="1" x14ac:dyDescent="0.3"/>
    <row r="124" hidden="1" outlineLevel="1" x14ac:dyDescent="0.3"/>
    <row r="125" hidden="1" outlineLevel="1" x14ac:dyDescent="0.3"/>
    <row r="126" hidden="1" outlineLevel="1" x14ac:dyDescent="0.3"/>
    <row r="127" hidden="1" outlineLevel="1" x14ac:dyDescent="0.3"/>
    <row r="128" hidden="1" outlineLevel="1" x14ac:dyDescent="0.3"/>
    <row r="129" hidden="1" outlineLevel="1" x14ac:dyDescent="0.3"/>
    <row r="130" hidden="1" outlineLevel="1" x14ac:dyDescent="0.3"/>
    <row r="131" hidden="1" outlineLevel="1" x14ac:dyDescent="0.3"/>
    <row r="132" hidden="1" outlineLevel="1" x14ac:dyDescent="0.3"/>
    <row r="133" hidden="1" outlineLevel="1" x14ac:dyDescent="0.3"/>
    <row r="134" hidden="1" outlineLevel="1" x14ac:dyDescent="0.3"/>
    <row r="135" hidden="1" outlineLevel="1" x14ac:dyDescent="0.3"/>
    <row r="136" hidden="1" outlineLevel="1" x14ac:dyDescent="0.3"/>
    <row r="137" hidden="1" outlineLevel="1" x14ac:dyDescent="0.3"/>
    <row r="138" hidden="1" outlineLevel="1" x14ac:dyDescent="0.3"/>
    <row r="139" hidden="1" outlineLevel="1" x14ac:dyDescent="0.3"/>
    <row r="140" hidden="1" outlineLevel="1" x14ac:dyDescent="0.3"/>
    <row r="141" hidden="1" outlineLevel="1" x14ac:dyDescent="0.3"/>
    <row r="142" hidden="1" outlineLevel="1" x14ac:dyDescent="0.3"/>
    <row r="143" hidden="1" outlineLevel="1" x14ac:dyDescent="0.3"/>
    <row r="144" hidden="1" outlineLevel="1" x14ac:dyDescent="0.3"/>
    <row r="145" spans="1:20" hidden="1" outlineLevel="1" x14ac:dyDescent="0.3"/>
    <row r="146" spans="1:20" hidden="1" outlineLevel="1" x14ac:dyDescent="0.3"/>
    <row r="147" spans="1:20" hidden="1" outlineLevel="1" x14ac:dyDescent="0.3"/>
    <row r="148" spans="1:20" hidden="1" outlineLevel="1" x14ac:dyDescent="0.3"/>
    <row r="149" spans="1:20" hidden="1" outlineLevel="1" x14ac:dyDescent="0.3"/>
    <row r="150" spans="1:20" hidden="1" outlineLevel="1" x14ac:dyDescent="0.3"/>
    <row r="151" spans="1:20" hidden="1" outlineLevel="1" x14ac:dyDescent="0.3"/>
    <row r="152" spans="1:20" hidden="1" outlineLevel="1" x14ac:dyDescent="0.3"/>
    <row r="153" spans="1:20" collapsed="1" x14ac:dyDescent="0.3">
      <c r="C153" s="14" t="s">
        <v>127</v>
      </c>
    </row>
    <row r="154" spans="1:20" x14ac:dyDescent="0.3">
      <c r="A154" s="13" t="s">
        <v>128</v>
      </c>
      <c r="B154" s="13"/>
      <c r="C154" s="13"/>
      <c r="D154" s="13"/>
    </row>
    <row r="155" spans="1:20" x14ac:dyDescent="0.3">
      <c r="A155" s="15"/>
      <c r="B155" s="15" t="s">
        <v>132</v>
      </c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</row>
    <row r="156" spans="1:20" x14ac:dyDescent="0.3">
      <c r="A156" s="15"/>
      <c r="B156" s="15" t="s">
        <v>133</v>
      </c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</row>
    <row r="157" spans="1:20" x14ac:dyDescent="0.3">
      <c r="B157" t="s">
        <v>134</v>
      </c>
    </row>
    <row r="158" spans="1:20" x14ac:dyDescent="0.3">
      <c r="C158" t="s">
        <v>129</v>
      </c>
    </row>
    <row r="159" spans="1:20" x14ac:dyDescent="0.3">
      <c r="D159" t="s">
        <v>130</v>
      </c>
    </row>
    <row r="160" spans="1:20" x14ac:dyDescent="0.3">
      <c r="D160" t="s">
        <v>131</v>
      </c>
    </row>
  </sheetData>
  <mergeCells count="2">
    <mergeCell ref="A1:T1"/>
    <mergeCell ref="A85:T8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5F5FD-F282-4644-92C9-1C5B0B925E70}">
  <dimension ref="A1:AK72"/>
  <sheetViews>
    <sheetView tabSelected="1" topLeftCell="B14" zoomScale="70" zoomScaleNormal="70" workbookViewId="0">
      <selection activeCell="AH48" sqref="AH48"/>
    </sheetView>
    <sheetView tabSelected="1" topLeftCell="D1" zoomScale="55" zoomScaleNormal="55" workbookViewId="1">
      <selection activeCell="AJ32" activeCellId="3" sqref="AJ28 AJ30 AJ31 AJ32"/>
    </sheetView>
  </sheetViews>
  <sheetFormatPr defaultRowHeight="14" outlineLevelRow="1" outlineLevelCol="1" x14ac:dyDescent="0.3"/>
  <cols>
    <col min="1" max="1" width="16.08203125" customWidth="1"/>
    <col min="2" max="2" width="11.9140625" customWidth="1"/>
    <col min="3" max="3" width="9.6640625" bestFit="1" customWidth="1"/>
    <col min="7" max="7" width="12.6640625" customWidth="1"/>
    <col min="19" max="31" width="8.6640625" hidden="1" customWidth="1" outlineLevel="1"/>
    <col min="32" max="32" width="8.6640625" collapsed="1"/>
    <col min="33" max="33" width="13.75" bestFit="1" customWidth="1"/>
    <col min="34" max="34" width="12.58203125" bestFit="1" customWidth="1"/>
    <col min="35" max="35" width="21.75" bestFit="1" customWidth="1"/>
    <col min="36" max="36" width="26.25" bestFit="1" customWidth="1"/>
  </cols>
  <sheetData>
    <row r="1" spans="1:3" x14ac:dyDescent="0.3">
      <c r="A1" t="s">
        <v>139</v>
      </c>
    </row>
    <row r="2" spans="1:3" ht="14.5" x14ac:dyDescent="0.35">
      <c r="A2" s="19" t="s">
        <v>164</v>
      </c>
      <c r="B2" s="13"/>
      <c r="C2" s="13"/>
    </row>
    <row r="3" spans="1:3" hidden="1" outlineLevel="1" x14ac:dyDescent="0.3">
      <c r="A3" t="s">
        <v>157</v>
      </c>
      <c r="B3" s="18">
        <v>231</v>
      </c>
      <c r="C3" t="s">
        <v>161</v>
      </c>
    </row>
    <row r="4" spans="1:3" hidden="1" outlineLevel="1" x14ac:dyDescent="0.3">
      <c r="A4" t="s">
        <v>158</v>
      </c>
      <c r="B4" s="18">
        <v>22</v>
      </c>
      <c r="C4" t="s">
        <v>161</v>
      </c>
    </row>
    <row r="5" spans="1:3" hidden="1" outlineLevel="1" x14ac:dyDescent="0.3"/>
    <row r="6" spans="1:3" hidden="1" outlineLevel="1" x14ac:dyDescent="0.3">
      <c r="A6" t="s">
        <v>159</v>
      </c>
      <c r="B6" s="18">
        <v>11</v>
      </c>
      <c r="C6" t="s">
        <v>161</v>
      </c>
    </row>
    <row r="7" spans="1:3" hidden="1" outlineLevel="1" x14ac:dyDescent="0.3">
      <c r="A7" t="s">
        <v>160</v>
      </c>
      <c r="B7" s="18">
        <v>21</v>
      </c>
      <c r="C7" t="s">
        <v>162</v>
      </c>
    </row>
    <row r="8" spans="1:3" hidden="1" outlineLevel="1" x14ac:dyDescent="0.3">
      <c r="A8" t="s">
        <v>157</v>
      </c>
      <c r="B8">
        <f>B6*B7</f>
        <v>231</v>
      </c>
      <c r="C8" t="s">
        <v>161</v>
      </c>
    </row>
    <row r="9" spans="1:3" hidden="1" outlineLevel="1" x14ac:dyDescent="0.3"/>
    <row r="10" spans="1:3" hidden="1" outlineLevel="1" x14ac:dyDescent="0.3">
      <c r="A10" s="21" t="s">
        <v>163</v>
      </c>
      <c r="B10" s="21" t="b">
        <f>B8=B3</f>
        <v>1</v>
      </c>
    </row>
    <row r="11" spans="1:3" hidden="1" outlineLevel="1" x14ac:dyDescent="0.3"/>
    <row r="12" spans="1:3" hidden="1" outlineLevel="1" x14ac:dyDescent="0.3"/>
    <row r="13" spans="1:3" collapsed="1" x14ac:dyDescent="0.3"/>
    <row r="14" spans="1:3" x14ac:dyDescent="0.3">
      <c r="A14" s="13" t="s">
        <v>165</v>
      </c>
      <c r="B14" s="13"/>
      <c r="C14" s="13"/>
    </row>
    <row r="15" spans="1:3" hidden="1" outlineLevel="1" x14ac:dyDescent="0.3">
      <c r="A15" t="s">
        <v>158</v>
      </c>
      <c r="B15" s="18">
        <v>22</v>
      </c>
      <c r="C15" t="s">
        <v>161</v>
      </c>
    </row>
    <row r="16" spans="1:3" hidden="1" outlineLevel="1" x14ac:dyDescent="0.3"/>
    <row r="17" spans="1:36" hidden="1" outlineLevel="1" x14ac:dyDescent="0.3">
      <c r="A17" s="21" t="s">
        <v>163</v>
      </c>
      <c r="B17" s="21" t="b">
        <f>B15=B4</f>
        <v>1</v>
      </c>
    </row>
    <row r="18" spans="1:36" hidden="1" outlineLevel="1" x14ac:dyDescent="0.3"/>
    <row r="19" spans="1:36" hidden="1" outlineLevel="1" x14ac:dyDescent="0.3"/>
    <row r="20" spans="1:36" collapsed="1" x14ac:dyDescent="0.3"/>
    <row r="21" spans="1:36" x14ac:dyDescent="0.3">
      <c r="A21" s="13" t="s">
        <v>188</v>
      </c>
      <c r="B21" s="13"/>
      <c r="C21" s="13"/>
    </row>
    <row r="22" spans="1:36" x14ac:dyDescent="0.3">
      <c r="A22" t="s">
        <v>140</v>
      </c>
      <c r="B22" t="s">
        <v>141</v>
      </c>
      <c r="C22" t="s">
        <v>142</v>
      </c>
      <c r="D22" t="s">
        <v>194</v>
      </c>
      <c r="E22" t="s">
        <v>187</v>
      </c>
      <c r="F22" t="s">
        <v>143</v>
      </c>
      <c r="H22" t="s">
        <v>140</v>
      </c>
      <c r="I22" t="s">
        <v>141</v>
      </c>
      <c r="J22" t="s">
        <v>142</v>
      </c>
      <c r="K22" t="s">
        <v>194</v>
      </c>
      <c r="L22" t="s">
        <v>143</v>
      </c>
      <c r="M22" t="s">
        <v>187</v>
      </c>
      <c r="O22" t="s">
        <v>140</v>
      </c>
      <c r="P22" t="s">
        <v>141</v>
      </c>
      <c r="AG22" s="23" t="s">
        <v>142</v>
      </c>
      <c r="AH22" t="s">
        <v>199</v>
      </c>
    </row>
    <row r="23" spans="1:36" x14ac:dyDescent="0.3">
      <c r="A23" t="s">
        <v>175</v>
      </c>
      <c r="B23" t="s">
        <v>147</v>
      </c>
      <c r="C23">
        <v>1</v>
      </c>
      <c r="D23" t="s">
        <v>195</v>
      </c>
      <c r="E23">
        <v>10</v>
      </c>
      <c r="F23">
        <v>4</v>
      </c>
      <c r="H23" t="s">
        <v>146</v>
      </c>
      <c r="I23" t="s">
        <v>147</v>
      </c>
      <c r="J23">
        <v>1</v>
      </c>
      <c r="K23" t="s">
        <v>195</v>
      </c>
      <c r="L23">
        <v>10</v>
      </c>
      <c r="M23">
        <v>10</v>
      </c>
      <c r="O23" t="s">
        <v>166</v>
      </c>
      <c r="P23" t="s">
        <v>144</v>
      </c>
      <c r="Q23" s="22"/>
    </row>
    <row r="24" spans="1:36" x14ac:dyDescent="0.3">
      <c r="A24" t="s">
        <v>175</v>
      </c>
      <c r="B24" t="s">
        <v>147</v>
      </c>
      <c r="C24">
        <v>2</v>
      </c>
      <c r="D24" t="s">
        <v>196</v>
      </c>
      <c r="E24">
        <v>10</v>
      </c>
      <c r="F24">
        <v>4</v>
      </c>
      <c r="H24" t="s">
        <v>146</v>
      </c>
      <c r="I24" t="s">
        <v>147</v>
      </c>
      <c r="J24">
        <v>2</v>
      </c>
      <c r="K24" t="s">
        <v>196</v>
      </c>
      <c r="L24">
        <v>10</v>
      </c>
      <c r="M24">
        <v>10</v>
      </c>
      <c r="O24" t="s">
        <v>167</v>
      </c>
      <c r="P24" t="s">
        <v>144</v>
      </c>
      <c r="Q24" s="22"/>
      <c r="AG24" s="23" t="s">
        <v>140</v>
      </c>
      <c r="AH24" s="23" t="s">
        <v>141</v>
      </c>
      <c r="AI24" t="s">
        <v>193</v>
      </c>
      <c r="AJ24" t="s">
        <v>200</v>
      </c>
    </row>
    <row r="25" spans="1:36" x14ac:dyDescent="0.3">
      <c r="A25" t="s">
        <v>175</v>
      </c>
      <c r="B25" t="s">
        <v>147</v>
      </c>
      <c r="C25">
        <v>2</v>
      </c>
      <c r="D25" t="s">
        <v>195</v>
      </c>
      <c r="E25">
        <v>10</v>
      </c>
      <c r="F25">
        <v>4</v>
      </c>
      <c r="H25" t="s">
        <v>146</v>
      </c>
      <c r="I25" t="s">
        <v>147</v>
      </c>
      <c r="J25">
        <v>2</v>
      </c>
      <c r="K25" t="s">
        <v>195</v>
      </c>
      <c r="L25">
        <v>10</v>
      </c>
      <c r="M25">
        <v>10</v>
      </c>
      <c r="O25" t="s">
        <v>168</v>
      </c>
      <c r="P25" t="s">
        <v>144</v>
      </c>
      <c r="Q25" s="22"/>
      <c r="AG25" t="s">
        <v>146</v>
      </c>
      <c r="AH25" t="s">
        <v>147</v>
      </c>
      <c r="AI25" s="25">
        <v>10</v>
      </c>
      <c r="AJ25" s="25">
        <v>10</v>
      </c>
    </row>
    <row r="26" spans="1:36" x14ac:dyDescent="0.3">
      <c r="A26" t="s">
        <v>176</v>
      </c>
      <c r="B26" t="s">
        <v>147</v>
      </c>
      <c r="C26">
        <v>2</v>
      </c>
      <c r="D26" t="s">
        <v>196</v>
      </c>
      <c r="E26">
        <v>10</v>
      </c>
      <c r="F26">
        <v>3</v>
      </c>
      <c r="H26" t="s">
        <v>148</v>
      </c>
      <c r="I26" t="s">
        <v>147</v>
      </c>
      <c r="J26">
        <v>2</v>
      </c>
      <c r="K26" t="s">
        <v>196</v>
      </c>
      <c r="L26">
        <v>7.5</v>
      </c>
      <c r="M26">
        <v>10</v>
      </c>
      <c r="O26" t="s">
        <v>169</v>
      </c>
      <c r="P26" t="s">
        <v>145</v>
      </c>
      <c r="Q26" s="17"/>
      <c r="AG26" t="s">
        <v>148</v>
      </c>
      <c r="AH26" t="s">
        <v>147</v>
      </c>
      <c r="AI26" s="25">
        <v>8.3333333333333339</v>
      </c>
      <c r="AJ26" s="25">
        <v>10</v>
      </c>
    </row>
    <row r="27" spans="1:36" x14ac:dyDescent="0.3">
      <c r="A27" t="s">
        <v>176</v>
      </c>
      <c r="B27" t="s">
        <v>147</v>
      </c>
      <c r="C27">
        <v>2</v>
      </c>
      <c r="D27" t="s">
        <v>195</v>
      </c>
      <c r="E27">
        <v>10</v>
      </c>
      <c r="F27">
        <v>3</v>
      </c>
      <c r="H27" t="s">
        <v>148</v>
      </c>
      <c r="I27" t="s">
        <v>147</v>
      </c>
      <c r="J27">
        <v>2</v>
      </c>
      <c r="K27" t="s">
        <v>195</v>
      </c>
      <c r="L27">
        <v>7.5</v>
      </c>
      <c r="M27">
        <v>10</v>
      </c>
      <c r="O27" t="s">
        <v>170</v>
      </c>
      <c r="P27" t="s">
        <v>145</v>
      </c>
      <c r="Q27" s="17"/>
      <c r="AG27" t="s">
        <v>149</v>
      </c>
      <c r="AH27" t="s">
        <v>147</v>
      </c>
      <c r="AI27" s="25">
        <v>1.25</v>
      </c>
      <c r="AJ27" s="25">
        <v>1.25</v>
      </c>
    </row>
    <row r="28" spans="1:36" x14ac:dyDescent="0.3">
      <c r="A28" t="s">
        <v>176</v>
      </c>
      <c r="B28" t="s">
        <v>147</v>
      </c>
      <c r="C28">
        <v>1</v>
      </c>
      <c r="D28" t="s">
        <v>195</v>
      </c>
      <c r="E28">
        <v>10</v>
      </c>
      <c r="F28">
        <v>4</v>
      </c>
      <c r="H28" t="s">
        <v>148</v>
      </c>
      <c r="I28" t="s">
        <v>147</v>
      </c>
      <c r="J28">
        <v>1</v>
      </c>
      <c r="K28" t="s">
        <v>195</v>
      </c>
      <c r="L28">
        <v>10</v>
      </c>
      <c r="M28">
        <v>10</v>
      </c>
      <c r="O28" t="s">
        <v>171</v>
      </c>
      <c r="P28" t="s">
        <v>145</v>
      </c>
      <c r="Q28" s="17"/>
      <c r="AG28" t="s">
        <v>150</v>
      </c>
      <c r="AH28" t="s">
        <v>151</v>
      </c>
      <c r="AI28" s="25">
        <v>1.09375</v>
      </c>
      <c r="AJ28" s="25">
        <v>1.25</v>
      </c>
    </row>
    <row r="29" spans="1:36" x14ac:dyDescent="0.3">
      <c r="A29" t="s">
        <v>179</v>
      </c>
      <c r="B29" t="s">
        <v>147</v>
      </c>
      <c r="C29">
        <v>1</v>
      </c>
      <c r="D29" t="s">
        <v>195</v>
      </c>
      <c r="E29">
        <v>1.25</v>
      </c>
      <c r="F29">
        <v>4</v>
      </c>
      <c r="H29" t="s">
        <v>149</v>
      </c>
      <c r="I29" t="s">
        <v>147</v>
      </c>
      <c r="J29">
        <v>1</v>
      </c>
      <c r="K29" t="s">
        <v>195</v>
      </c>
      <c r="L29">
        <v>1.25</v>
      </c>
      <c r="M29">
        <v>1.25</v>
      </c>
      <c r="O29" t="s">
        <v>172</v>
      </c>
      <c r="P29" t="s">
        <v>145</v>
      </c>
      <c r="Q29" s="17"/>
      <c r="AG29" t="s">
        <v>152</v>
      </c>
      <c r="AH29" t="s">
        <v>147</v>
      </c>
      <c r="AI29" s="25">
        <v>1.25</v>
      </c>
      <c r="AJ29" s="25">
        <v>1.25</v>
      </c>
    </row>
    <row r="30" spans="1:36" x14ac:dyDescent="0.3">
      <c r="A30" t="s">
        <v>179</v>
      </c>
      <c r="B30" t="s">
        <v>147</v>
      </c>
      <c r="C30">
        <v>2</v>
      </c>
      <c r="D30" t="s">
        <v>196</v>
      </c>
      <c r="E30">
        <v>1.25</v>
      </c>
      <c r="F30">
        <v>4</v>
      </c>
      <c r="H30" t="s">
        <v>149</v>
      </c>
      <c r="I30" t="s">
        <v>147</v>
      </c>
      <c r="J30">
        <v>2</v>
      </c>
      <c r="K30" t="s">
        <v>196</v>
      </c>
      <c r="L30">
        <v>1.25</v>
      </c>
      <c r="M30">
        <v>1.25</v>
      </c>
      <c r="O30" t="s">
        <v>173</v>
      </c>
      <c r="P30" t="s">
        <v>145</v>
      </c>
      <c r="Q30" s="17"/>
      <c r="AG30" t="s">
        <v>153</v>
      </c>
      <c r="AH30" t="s">
        <v>151</v>
      </c>
      <c r="AI30" s="25">
        <v>1.09375</v>
      </c>
      <c r="AJ30" s="25">
        <v>1.25</v>
      </c>
    </row>
    <row r="31" spans="1:36" x14ac:dyDescent="0.3">
      <c r="A31" t="s">
        <v>179</v>
      </c>
      <c r="B31" t="s">
        <v>147</v>
      </c>
      <c r="C31">
        <v>2</v>
      </c>
      <c r="D31" t="s">
        <v>195</v>
      </c>
      <c r="E31">
        <v>1.25</v>
      </c>
      <c r="F31">
        <v>4</v>
      </c>
      <c r="H31" t="s">
        <v>149</v>
      </c>
      <c r="I31" t="s">
        <v>147</v>
      </c>
      <c r="J31">
        <v>2</v>
      </c>
      <c r="K31" t="s">
        <v>195</v>
      </c>
      <c r="L31">
        <v>1.25</v>
      </c>
      <c r="M31">
        <v>1.25</v>
      </c>
      <c r="O31" t="s">
        <v>174</v>
      </c>
      <c r="P31" t="s">
        <v>145</v>
      </c>
      <c r="Q31" s="17"/>
      <c r="AG31" t="s">
        <v>154</v>
      </c>
      <c r="AH31" t="s">
        <v>151</v>
      </c>
      <c r="AI31" s="25">
        <v>2.1875</v>
      </c>
      <c r="AJ31" s="25">
        <v>2.5</v>
      </c>
    </row>
    <row r="32" spans="1:36" x14ac:dyDescent="0.3">
      <c r="A32" t="s">
        <v>180</v>
      </c>
      <c r="B32" t="s">
        <v>151</v>
      </c>
      <c r="C32">
        <v>2</v>
      </c>
      <c r="D32" t="s">
        <v>197</v>
      </c>
      <c r="E32">
        <v>1.25</v>
      </c>
      <c r="F32">
        <v>3</v>
      </c>
      <c r="H32" t="s">
        <v>150</v>
      </c>
      <c r="I32" t="s">
        <v>151</v>
      </c>
      <c r="J32">
        <v>2</v>
      </c>
      <c r="K32" t="s">
        <v>197</v>
      </c>
      <c r="L32">
        <v>0.9375</v>
      </c>
      <c r="M32">
        <v>1.25</v>
      </c>
      <c r="O32" t="s">
        <v>175</v>
      </c>
      <c r="P32" t="s">
        <v>147</v>
      </c>
      <c r="Q32" s="9"/>
      <c r="AG32" t="s">
        <v>155</v>
      </c>
      <c r="AH32" t="s">
        <v>151</v>
      </c>
      <c r="AI32" s="25">
        <v>1.875</v>
      </c>
      <c r="AJ32" s="25">
        <v>2.5</v>
      </c>
    </row>
    <row r="33" spans="1:37" x14ac:dyDescent="0.3">
      <c r="A33" t="s">
        <v>180</v>
      </c>
      <c r="B33" t="s">
        <v>151</v>
      </c>
      <c r="C33">
        <v>1</v>
      </c>
      <c r="D33" t="s">
        <v>198</v>
      </c>
      <c r="E33">
        <v>1.25</v>
      </c>
      <c r="F33">
        <v>4</v>
      </c>
      <c r="H33" t="s">
        <v>150</v>
      </c>
      <c r="I33" t="s">
        <v>151</v>
      </c>
      <c r="J33">
        <v>1</v>
      </c>
      <c r="K33" t="s">
        <v>198</v>
      </c>
      <c r="L33">
        <v>1.25</v>
      </c>
      <c r="M33">
        <v>1.25</v>
      </c>
      <c r="O33" t="s">
        <v>176</v>
      </c>
      <c r="P33" t="s">
        <v>147</v>
      </c>
      <c r="Q33" s="9"/>
      <c r="AG33" t="s">
        <v>156</v>
      </c>
      <c r="AH33" t="s">
        <v>147</v>
      </c>
      <c r="AI33" s="25">
        <v>5</v>
      </c>
      <c r="AJ33" s="25">
        <v>5</v>
      </c>
    </row>
    <row r="34" spans="1:37" x14ac:dyDescent="0.3">
      <c r="A34" t="s">
        <v>181</v>
      </c>
      <c r="B34" t="s">
        <v>147</v>
      </c>
      <c r="C34">
        <v>1</v>
      </c>
      <c r="D34" t="s">
        <v>195</v>
      </c>
      <c r="E34">
        <v>1.25</v>
      </c>
      <c r="F34">
        <v>4</v>
      </c>
      <c r="H34" t="s">
        <v>152</v>
      </c>
      <c r="I34" t="s">
        <v>147</v>
      </c>
      <c r="J34">
        <v>1</v>
      </c>
      <c r="K34" t="s">
        <v>195</v>
      </c>
      <c r="L34">
        <v>1.25</v>
      </c>
      <c r="M34">
        <v>1.25</v>
      </c>
      <c r="O34" t="s">
        <v>177</v>
      </c>
      <c r="P34" t="s">
        <v>144</v>
      </c>
      <c r="Q34" s="22"/>
    </row>
    <row r="35" spans="1:37" x14ac:dyDescent="0.3">
      <c r="A35" t="s">
        <v>181</v>
      </c>
      <c r="B35" t="s">
        <v>147</v>
      </c>
      <c r="C35">
        <v>2</v>
      </c>
      <c r="D35" t="s">
        <v>196</v>
      </c>
      <c r="E35">
        <v>1.25</v>
      </c>
      <c r="F35">
        <v>4</v>
      </c>
      <c r="H35" t="s">
        <v>152</v>
      </c>
      <c r="I35" t="s">
        <v>147</v>
      </c>
      <c r="J35">
        <v>2</v>
      </c>
      <c r="K35" t="s">
        <v>196</v>
      </c>
      <c r="L35">
        <v>1.25</v>
      </c>
      <c r="M35">
        <v>1.25</v>
      </c>
      <c r="O35" t="s">
        <v>178</v>
      </c>
      <c r="P35" t="s">
        <v>144</v>
      </c>
      <c r="Q35" s="22"/>
    </row>
    <row r="36" spans="1:37" x14ac:dyDescent="0.3">
      <c r="A36" t="s">
        <v>181</v>
      </c>
      <c r="B36" t="s">
        <v>147</v>
      </c>
      <c r="C36">
        <v>2</v>
      </c>
      <c r="D36" t="s">
        <v>195</v>
      </c>
      <c r="E36">
        <v>1.25</v>
      </c>
      <c r="F36">
        <v>4</v>
      </c>
      <c r="H36" t="s">
        <v>152</v>
      </c>
      <c r="I36" t="s">
        <v>147</v>
      </c>
      <c r="J36">
        <v>2</v>
      </c>
      <c r="K36" t="s">
        <v>195</v>
      </c>
      <c r="L36">
        <v>1.25</v>
      </c>
      <c r="M36">
        <v>1.25</v>
      </c>
      <c r="O36" t="s">
        <v>179</v>
      </c>
      <c r="P36" t="s">
        <v>147</v>
      </c>
      <c r="Q36" s="9"/>
      <c r="AI36" s="26">
        <f>SUMIF(AI25:AI33,"&lt;&gt;0")</f>
        <v>32.083333333333336</v>
      </c>
      <c r="AJ36" s="27">
        <f>SUMIF(AI25:AI33,"&lt;&gt;0",AJ25:AJ33)</f>
        <v>35</v>
      </c>
      <c r="AK36" s="14">
        <f>AI36/AJ36*100</f>
        <v>91.666666666666671</v>
      </c>
    </row>
    <row r="37" spans="1:37" x14ac:dyDescent="0.3">
      <c r="A37" t="s">
        <v>182</v>
      </c>
      <c r="B37" t="s">
        <v>151</v>
      </c>
      <c r="C37">
        <v>1</v>
      </c>
      <c r="D37" t="s">
        <v>198</v>
      </c>
      <c r="E37">
        <v>1.25</v>
      </c>
      <c r="F37">
        <v>4</v>
      </c>
      <c r="H37" t="s">
        <v>153</v>
      </c>
      <c r="I37" t="s">
        <v>151</v>
      </c>
      <c r="J37">
        <v>1</v>
      </c>
      <c r="K37" t="s">
        <v>198</v>
      </c>
      <c r="L37">
        <v>1.25</v>
      </c>
      <c r="M37">
        <v>1.25</v>
      </c>
      <c r="O37" t="s">
        <v>180</v>
      </c>
      <c r="P37" t="s">
        <v>151</v>
      </c>
      <c r="Q37" s="21"/>
    </row>
    <row r="38" spans="1:37" x14ac:dyDescent="0.3">
      <c r="A38" t="s">
        <v>182</v>
      </c>
      <c r="B38" t="s">
        <v>151</v>
      </c>
      <c r="C38">
        <v>2</v>
      </c>
      <c r="D38" t="s">
        <v>197</v>
      </c>
      <c r="E38">
        <v>1.25</v>
      </c>
      <c r="F38">
        <v>3</v>
      </c>
      <c r="H38" t="s">
        <v>153</v>
      </c>
      <c r="I38" t="s">
        <v>151</v>
      </c>
      <c r="J38">
        <v>2</v>
      </c>
      <c r="K38" t="s">
        <v>197</v>
      </c>
      <c r="L38">
        <v>0.9375</v>
      </c>
      <c r="M38">
        <v>1.25</v>
      </c>
      <c r="O38" t="s">
        <v>181</v>
      </c>
      <c r="P38" t="s">
        <v>147</v>
      </c>
      <c r="Q38" s="9"/>
    </row>
    <row r="39" spans="1:37" x14ac:dyDescent="0.3">
      <c r="A39" t="s">
        <v>183</v>
      </c>
      <c r="B39" t="s">
        <v>151</v>
      </c>
      <c r="C39">
        <v>2</v>
      </c>
      <c r="D39" t="s">
        <v>197</v>
      </c>
      <c r="E39">
        <v>2.5</v>
      </c>
      <c r="F39">
        <v>3</v>
      </c>
      <c r="H39" t="s">
        <v>154</v>
      </c>
      <c r="I39" t="s">
        <v>151</v>
      </c>
      <c r="J39">
        <v>2</v>
      </c>
      <c r="K39" t="s">
        <v>197</v>
      </c>
      <c r="L39">
        <v>1.875</v>
      </c>
      <c r="M39">
        <v>2.5</v>
      </c>
      <c r="O39" t="s">
        <v>182</v>
      </c>
      <c r="P39" t="s">
        <v>151</v>
      </c>
      <c r="Q39" s="21"/>
      <c r="AH39" t="s">
        <v>151</v>
      </c>
      <c r="AI39">
        <f>SUMIF($AH$25:$AH$33,AH39,$AI$25:$AI$33)</f>
        <v>6.25</v>
      </c>
      <c r="AJ39">
        <f>SUMIFS($AJ$25:$AJ$33,$AH$25:$AH$33, AH39, $AI$25:$AI$33, "&lt;&gt;0")</f>
        <v>7.5</v>
      </c>
    </row>
    <row r="40" spans="1:37" x14ac:dyDescent="0.3">
      <c r="A40" t="s">
        <v>183</v>
      </c>
      <c r="B40" t="s">
        <v>151</v>
      </c>
      <c r="C40">
        <v>1</v>
      </c>
      <c r="D40" t="s">
        <v>198</v>
      </c>
      <c r="E40">
        <v>2.5</v>
      </c>
      <c r="F40">
        <v>4</v>
      </c>
      <c r="H40" t="s">
        <v>154</v>
      </c>
      <c r="I40" t="s">
        <v>151</v>
      </c>
      <c r="J40">
        <v>1</v>
      </c>
      <c r="K40" t="s">
        <v>198</v>
      </c>
      <c r="L40">
        <v>2.5</v>
      </c>
      <c r="M40">
        <v>2.5</v>
      </c>
      <c r="O40" t="s">
        <v>183</v>
      </c>
      <c r="P40" t="s">
        <v>151</v>
      </c>
      <c r="Q40" s="21"/>
      <c r="AH40" t="s">
        <v>147</v>
      </c>
      <c r="AI40">
        <f t="shared" ref="AI40:AI42" si="0">SUMIF($AH$25:$AH$33,AH40,$AI$25:$AI$33)</f>
        <v>25.833333333333336</v>
      </c>
      <c r="AJ40">
        <f t="shared" ref="AJ40:AJ42" si="1">SUMIFS($AJ$25:$AJ$33,$AH$25:$AH$33, AH40, $AI$25:$AI$33, "&lt;&gt;0")</f>
        <v>27.5</v>
      </c>
    </row>
    <row r="41" spans="1:37" x14ac:dyDescent="0.3">
      <c r="A41" t="s">
        <v>184</v>
      </c>
      <c r="B41" t="s">
        <v>151</v>
      </c>
      <c r="C41">
        <v>2</v>
      </c>
      <c r="D41" t="s">
        <v>197</v>
      </c>
      <c r="E41">
        <v>2.5</v>
      </c>
      <c r="F41">
        <v>3</v>
      </c>
      <c r="H41" t="s">
        <v>155</v>
      </c>
      <c r="I41" t="s">
        <v>151</v>
      </c>
      <c r="J41">
        <v>2</v>
      </c>
      <c r="K41" t="s">
        <v>197</v>
      </c>
      <c r="L41">
        <v>1.875</v>
      </c>
      <c r="M41">
        <v>2.5</v>
      </c>
      <c r="O41" t="s">
        <v>184</v>
      </c>
      <c r="P41" t="s">
        <v>151</v>
      </c>
      <c r="Q41" s="21"/>
      <c r="AH41" t="s">
        <v>144</v>
      </c>
      <c r="AI41">
        <f t="shared" si="0"/>
        <v>0</v>
      </c>
      <c r="AJ41">
        <f t="shared" si="1"/>
        <v>0</v>
      </c>
    </row>
    <row r="42" spans="1:37" x14ac:dyDescent="0.3">
      <c r="A42" t="s">
        <v>186</v>
      </c>
      <c r="B42" t="s">
        <v>147</v>
      </c>
      <c r="C42">
        <v>1</v>
      </c>
      <c r="D42" t="s">
        <v>195</v>
      </c>
      <c r="E42">
        <v>5</v>
      </c>
      <c r="F42">
        <v>4</v>
      </c>
      <c r="H42" t="s">
        <v>156</v>
      </c>
      <c r="I42" t="s">
        <v>147</v>
      </c>
      <c r="J42">
        <v>1</v>
      </c>
      <c r="K42" t="s">
        <v>195</v>
      </c>
      <c r="L42">
        <v>5</v>
      </c>
      <c r="M42">
        <v>5</v>
      </c>
      <c r="O42" t="s">
        <v>185</v>
      </c>
      <c r="P42" t="s">
        <v>144</v>
      </c>
      <c r="Q42" s="20"/>
      <c r="AH42" t="s">
        <v>145</v>
      </c>
      <c r="AI42">
        <f t="shared" si="0"/>
        <v>0</v>
      </c>
      <c r="AJ42">
        <f t="shared" si="1"/>
        <v>0</v>
      </c>
    </row>
    <row r="43" spans="1:37" x14ac:dyDescent="0.3">
      <c r="A43" t="s">
        <v>186</v>
      </c>
      <c r="B43" t="s">
        <v>147</v>
      </c>
      <c r="C43">
        <v>2</v>
      </c>
      <c r="D43" t="s">
        <v>196</v>
      </c>
      <c r="E43">
        <v>5</v>
      </c>
      <c r="F43">
        <v>4</v>
      </c>
      <c r="H43" t="s">
        <v>156</v>
      </c>
      <c r="I43" t="s">
        <v>147</v>
      </c>
      <c r="J43">
        <v>2</v>
      </c>
      <c r="K43" t="s">
        <v>196</v>
      </c>
      <c r="L43">
        <v>5</v>
      </c>
      <c r="M43">
        <v>5</v>
      </c>
      <c r="O43" t="s">
        <v>186</v>
      </c>
      <c r="P43" t="s">
        <v>147</v>
      </c>
      <c r="Q43" s="9"/>
      <c r="AI43" s="13">
        <f>SUM(AI39:AI42)</f>
        <v>32.083333333333336</v>
      </c>
      <c r="AJ43" s="27">
        <f>SUM(AJ39:AJ42)</f>
        <v>35</v>
      </c>
      <c r="AK43" s="14">
        <f>AI43/AJ43*100</f>
        <v>91.666666666666671</v>
      </c>
    </row>
    <row r="44" spans="1:37" x14ac:dyDescent="0.3">
      <c r="A44" t="s">
        <v>186</v>
      </c>
      <c r="B44" t="s">
        <v>147</v>
      </c>
      <c r="C44">
        <v>2</v>
      </c>
      <c r="D44" t="s">
        <v>195</v>
      </c>
      <c r="E44">
        <v>5</v>
      </c>
      <c r="F44">
        <v>4</v>
      </c>
      <c r="H44" t="s">
        <v>156</v>
      </c>
      <c r="I44" t="s">
        <v>147</v>
      </c>
      <c r="J44">
        <v>2</v>
      </c>
      <c r="K44" t="s">
        <v>195</v>
      </c>
      <c r="L44">
        <v>5</v>
      </c>
      <c r="M44">
        <v>5</v>
      </c>
    </row>
    <row r="50" spans="1:37" x14ac:dyDescent="0.3">
      <c r="A50" s="13" t="s">
        <v>189</v>
      </c>
      <c r="B50" s="13"/>
      <c r="C50" s="13"/>
    </row>
    <row r="51" spans="1:37" x14ac:dyDescent="0.3">
      <c r="A51" s="15" t="s">
        <v>140</v>
      </c>
      <c r="B51" s="15" t="s">
        <v>141</v>
      </c>
      <c r="C51" s="15" t="s">
        <v>142</v>
      </c>
      <c r="D51" s="15" t="s">
        <v>194</v>
      </c>
      <c r="E51" s="15" t="s">
        <v>187</v>
      </c>
      <c r="F51" s="15" t="s">
        <v>143</v>
      </c>
      <c r="G51" s="15"/>
      <c r="H51" s="15" t="s">
        <v>140</v>
      </c>
      <c r="I51" s="15" t="s">
        <v>141</v>
      </c>
      <c r="J51" s="15" t="s">
        <v>142</v>
      </c>
      <c r="K51" s="15" t="s">
        <v>194</v>
      </c>
      <c r="L51" s="15" t="s">
        <v>143</v>
      </c>
      <c r="M51" s="15" t="s">
        <v>187</v>
      </c>
      <c r="O51" t="s">
        <v>140</v>
      </c>
      <c r="P51" t="s">
        <v>141</v>
      </c>
      <c r="AH51" s="23" t="s">
        <v>192</v>
      </c>
      <c r="AI51" t="s">
        <v>193</v>
      </c>
      <c r="AJ51" t="s">
        <v>200</v>
      </c>
    </row>
    <row r="52" spans="1:37" x14ac:dyDescent="0.3">
      <c r="A52" s="15" t="s">
        <v>190</v>
      </c>
      <c r="B52" s="15" t="s">
        <v>151</v>
      </c>
      <c r="C52" s="15">
        <v>1</v>
      </c>
      <c r="D52" s="15" t="s">
        <v>198</v>
      </c>
      <c r="E52" s="15">
        <v>2.5</v>
      </c>
      <c r="F52" s="15">
        <v>12</v>
      </c>
      <c r="G52" s="15"/>
      <c r="H52" s="15" t="s">
        <v>191</v>
      </c>
      <c r="I52" s="15" t="s">
        <v>151</v>
      </c>
      <c r="J52" s="15">
        <v>1</v>
      </c>
      <c r="K52" s="15" t="s">
        <v>198</v>
      </c>
      <c r="L52" s="15">
        <v>5</v>
      </c>
      <c r="M52" s="15">
        <v>5</v>
      </c>
      <c r="O52" t="s">
        <v>166</v>
      </c>
      <c r="P52" t="s">
        <v>144</v>
      </c>
      <c r="Q52" s="22"/>
      <c r="AH52" s="24" t="s">
        <v>151</v>
      </c>
      <c r="AI52" s="25">
        <v>5.3125</v>
      </c>
      <c r="AJ52" s="25">
        <v>6.25</v>
      </c>
    </row>
    <row r="53" spans="1:37" x14ac:dyDescent="0.3">
      <c r="A53" s="15" t="s">
        <v>190</v>
      </c>
      <c r="B53" s="15" t="s">
        <v>151</v>
      </c>
      <c r="C53" s="15">
        <v>2</v>
      </c>
      <c r="D53" s="15" t="s">
        <v>197</v>
      </c>
      <c r="E53" s="15">
        <v>2.5</v>
      </c>
      <c r="F53" s="15">
        <v>12</v>
      </c>
      <c r="G53" s="15"/>
      <c r="H53" s="15" t="s">
        <v>191</v>
      </c>
      <c r="I53" s="15" t="s">
        <v>151</v>
      </c>
      <c r="J53" s="15">
        <v>2</v>
      </c>
      <c r="K53" s="15" t="s">
        <v>197</v>
      </c>
      <c r="L53" s="15">
        <v>5.625</v>
      </c>
      <c r="M53" s="15">
        <v>7.5</v>
      </c>
      <c r="O53" t="s">
        <v>167</v>
      </c>
      <c r="P53" t="s">
        <v>144</v>
      </c>
      <c r="Q53" s="22"/>
      <c r="AH53" s="24" t="s">
        <v>147</v>
      </c>
      <c r="AI53" s="25">
        <v>25.833333333333332</v>
      </c>
      <c r="AJ53" s="25">
        <v>27.5</v>
      </c>
    </row>
    <row r="54" spans="1:37" x14ac:dyDescent="0.3">
      <c r="A54" s="15" t="s">
        <v>190</v>
      </c>
      <c r="B54" s="15" t="s">
        <v>147</v>
      </c>
      <c r="C54" s="15">
        <v>2</v>
      </c>
      <c r="D54" s="15" t="s">
        <v>196</v>
      </c>
      <c r="E54" s="15">
        <v>10</v>
      </c>
      <c r="F54" s="15">
        <v>19</v>
      </c>
      <c r="G54" s="15"/>
      <c r="H54" s="15" t="s">
        <v>191</v>
      </c>
      <c r="I54" s="15" t="s">
        <v>147</v>
      </c>
      <c r="J54" s="15">
        <v>2</v>
      </c>
      <c r="K54" s="15" t="s">
        <v>196</v>
      </c>
      <c r="L54" s="15">
        <v>25</v>
      </c>
      <c r="M54" s="15">
        <v>27.5</v>
      </c>
      <c r="O54" t="s">
        <v>168</v>
      </c>
      <c r="P54" t="s">
        <v>144</v>
      </c>
      <c r="Q54" s="22"/>
    </row>
    <row r="55" spans="1:37" x14ac:dyDescent="0.3">
      <c r="A55" s="15" t="s">
        <v>190</v>
      </c>
      <c r="B55" s="15" t="s">
        <v>147</v>
      </c>
      <c r="C55" s="15">
        <v>1</v>
      </c>
      <c r="D55" s="15" t="s">
        <v>195</v>
      </c>
      <c r="E55" s="15">
        <v>10</v>
      </c>
      <c r="F55" s="15">
        <v>20</v>
      </c>
      <c r="G55" s="15"/>
      <c r="H55" s="15" t="s">
        <v>191</v>
      </c>
      <c r="I55" s="15" t="s">
        <v>147</v>
      </c>
      <c r="J55" s="15">
        <v>1</v>
      </c>
      <c r="K55" s="15" t="s">
        <v>195</v>
      </c>
      <c r="L55" s="15">
        <v>27.5</v>
      </c>
      <c r="M55" s="15">
        <v>27.5</v>
      </c>
      <c r="O55" t="s">
        <v>169</v>
      </c>
      <c r="P55" t="s">
        <v>145</v>
      </c>
      <c r="Q55" s="17"/>
    </row>
    <row r="56" spans="1:37" x14ac:dyDescent="0.3">
      <c r="A56" s="15" t="s">
        <v>190</v>
      </c>
      <c r="B56" s="15" t="s">
        <v>147</v>
      </c>
      <c r="C56" s="15">
        <v>2</v>
      </c>
      <c r="D56" s="15" t="s">
        <v>195</v>
      </c>
      <c r="E56" s="15">
        <v>10</v>
      </c>
      <c r="F56" s="15">
        <v>19</v>
      </c>
      <c r="G56" s="15"/>
      <c r="H56" s="15" t="s">
        <v>191</v>
      </c>
      <c r="I56" s="15" t="s">
        <v>147</v>
      </c>
      <c r="J56" s="15">
        <v>2</v>
      </c>
      <c r="K56" s="15" t="s">
        <v>195</v>
      </c>
      <c r="L56" s="15">
        <v>25</v>
      </c>
      <c r="M56" s="15">
        <v>27.5</v>
      </c>
      <c r="O56" t="s">
        <v>170</v>
      </c>
      <c r="P56" t="s">
        <v>145</v>
      </c>
      <c r="Q56" s="17"/>
      <c r="AI56" s="1">
        <f>SUM(AI52:AI53)</f>
        <v>31.145833333333332</v>
      </c>
      <c r="AJ56">
        <f>SUM(AJ52:AJ53)</f>
        <v>33.75</v>
      </c>
      <c r="AK56">
        <f>AI56/AJ56*100</f>
        <v>92.283950617283949</v>
      </c>
    </row>
    <row r="57" spans="1:37" x14ac:dyDescent="0.3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O57" t="s">
        <v>171</v>
      </c>
      <c r="P57" t="s">
        <v>145</v>
      </c>
      <c r="Q57" s="17"/>
    </row>
    <row r="58" spans="1:37" x14ac:dyDescent="0.3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O58" t="s">
        <v>172</v>
      </c>
      <c r="P58" t="s">
        <v>145</v>
      </c>
      <c r="Q58" s="17"/>
    </row>
    <row r="59" spans="1:37" x14ac:dyDescent="0.3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O59" t="s">
        <v>173</v>
      </c>
      <c r="P59" t="s">
        <v>145</v>
      </c>
      <c r="Q59" s="17"/>
    </row>
    <row r="60" spans="1:37" x14ac:dyDescent="0.3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O60" t="s">
        <v>174</v>
      </c>
      <c r="P60" t="s">
        <v>145</v>
      </c>
      <c r="Q60" s="17"/>
    </row>
    <row r="61" spans="1:37" x14ac:dyDescent="0.3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O61" t="s">
        <v>175</v>
      </c>
      <c r="P61" t="s">
        <v>147</v>
      </c>
      <c r="Q61" s="9"/>
    </row>
    <row r="62" spans="1:37" x14ac:dyDescent="0.3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O62" t="s">
        <v>176</v>
      </c>
      <c r="P62" t="s">
        <v>147</v>
      </c>
      <c r="Q62" s="9"/>
    </row>
    <row r="63" spans="1:37" x14ac:dyDescent="0.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O63" t="s">
        <v>177</v>
      </c>
      <c r="P63" t="s">
        <v>144</v>
      </c>
      <c r="Q63" s="22"/>
    </row>
    <row r="64" spans="1:37" x14ac:dyDescent="0.3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O64" t="s">
        <v>178</v>
      </c>
      <c r="P64" t="s">
        <v>144</v>
      </c>
      <c r="Q64" s="22"/>
    </row>
    <row r="65" spans="1:17" x14ac:dyDescent="0.3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O65" t="s">
        <v>179</v>
      </c>
      <c r="P65" t="s">
        <v>147</v>
      </c>
      <c r="Q65" s="9"/>
    </row>
    <row r="66" spans="1:17" x14ac:dyDescent="0.3">
      <c r="O66" t="s">
        <v>180</v>
      </c>
      <c r="P66" t="s">
        <v>151</v>
      </c>
      <c r="Q66" s="21"/>
    </row>
    <row r="67" spans="1:17" x14ac:dyDescent="0.3">
      <c r="O67" t="s">
        <v>181</v>
      </c>
      <c r="P67" t="s">
        <v>147</v>
      </c>
      <c r="Q67" s="9"/>
    </row>
    <row r="68" spans="1:17" x14ac:dyDescent="0.3">
      <c r="O68" t="s">
        <v>182</v>
      </c>
      <c r="P68" t="s">
        <v>151</v>
      </c>
      <c r="Q68" s="21"/>
    </row>
    <row r="69" spans="1:17" x14ac:dyDescent="0.3">
      <c r="O69" t="s">
        <v>183</v>
      </c>
      <c r="P69" t="s">
        <v>151</v>
      </c>
      <c r="Q69" s="21"/>
    </row>
    <row r="70" spans="1:17" x14ac:dyDescent="0.3">
      <c r="O70" t="s">
        <v>184</v>
      </c>
      <c r="P70" t="s">
        <v>151</v>
      </c>
      <c r="Q70" s="21"/>
    </row>
    <row r="71" spans="1:17" x14ac:dyDescent="0.3">
      <c r="O71" t="s">
        <v>185</v>
      </c>
      <c r="P71" t="s">
        <v>144</v>
      </c>
      <c r="Q71" s="20"/>
    </row>
    <row r="72" spans="1:17" x14ac:dyDescent="0.3">
      <c r="O72" t="s">
        <v>186</v>
      </c>
      <c r="P72" t="s">
        <v>147</v>
      </c>
      <c r="Q72" s="9"/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zoomScale="115" zoomScaleNormal="115" workbookViewId="0">
      <selection activeCell="D10" sqref="D10"/>
    </sheetView>
    <sheetView workbookViewId="1"/>
  </sheetViews>
  <sheetFormatPr defaultRowHeight="14" x14ac:dyDescent="0.3"/>
  <cols>
    <col min="1" max="20" width="4.08203125" customWidth="1"/>
  </cols>
  <sheetData>
    <row r="1" spans="1:2" x14ac:dyDescent="0.3">
      <c r="A1" s="1" t="s">
        <v>2</v>
      </c>
    </row>
    <row r="3" spans="1:2" x14ac:dyDescent="0.3">
      <c r="A3" s="1" t="s">
        <v>0</v>
      </c>
    </row>
    <row r="4" spans="1:2" x14ac:dyDescent="0.3">
      <c r="A4" s="2"/>
      <c r="B4" s="2" t="s">
        <v>1</v>
      </c>
    </row>
    <row r="7" spans="1:2" x14ac:dyDescent="0.3">
      <c r="B7" s="16"/>
    </row>
  </sheetData>
  <pageMargins left="0.7" right="0.7" top="0.75" bottom="0.75" header="0.3" footer="0.3"/>
  <pageSetup paperSize="9" orientation="portrait" r:id="rId1"/>
  <headerFooter>
    <oddFooter>&amp;C_x000D_&amp;1#&amp;"Aptos"&amp;9&amp;K000000 Classified - Internal Use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1E627-EFC1-432D-A8D8-9AA7B0826CF8}">
  <dimension ref="A1:V83"/>
  <sheetViews>
    <sheetView zoomScale="175" zoomScaleNormal="175" workbookViewId="0">
      <selection activeCell="D95" sqref="D95"/>
    </sheetView>
    <sheetView workbookViewId="1"/>
  </sheetViews>
  <sheetFormatPr defaultRowHeight="14" outlineLevelRow="1" x14ac:dyDescent="0.3"/>
  <cols>
    <col min="1" max="26" width="4.08203125" customWidth="1"/>
  </cols>
  <sheetData>
    <row r="1" spans="1:4" x14ac:dyDescent="0.3">
      <c r="A1" s="1" t="s">
        <v>3</v>
      </c>
      <c r="B1" t="s">
        <v>4</v>
      </c>
    </row>
    <row r="3" spans="1:4" x14ac:dyDescent="0.3">
      <c r="A3" t="s">
        <v>5</v>
      </c>
    </row>
    <row r="4" spans="1:4" hidden="1" outlineLevel="1" x14ac:dyDescent="0.3">
      <c r="B4" t="s">
        <v>6</v>
      </c>
    </row>
    <row r="5" spans="1:4" hidden="1" outlineLevel="1" x14ac:dyDescent="0.3">
      <c r="B5" s="2" t="s">
        <v>7</v>
      </c>
    </row>
    <row r="6" spans="1:4" hidden="1" outlineLevel="1" x14ac:dyDescent="0.3">
      <c r="C6" s="4" t="s">
        <v>8</v>
      </c>
    </row>
    <row r="7" spans="1:4" hidden="1" outlineLevel="1" x14ac:dyDescent="0.3">
      <c r="B7" s="3"/>
      <c r="D7" s="4" t="s">
        <v>9</v>
      </c>
    </row>
    <row r="8" spans="1:4" hidden="1" outlineLevel="1" x14ac:dyDescent="0.3">
      <c r="D8" s="4" t="s">
        <v>10</v>
      </c>
    </row>
    <row r="9" spans="1:4" hidden="1" outlineLevel="1" x14ac:dyDescent="0.3">
      <c r="B9" s="3"/>
      <c r="D9" s="4" t="s">
        <v>11</v>
      </c>
    </row>
    <row r="10" spans="1:4" hidden="1" outlineLevel="1" x14ac:dyDescent="0.3">
      <c r="B10" s="3"/>
      <c r="D10" s="4" t="s">
        <v>12</v>
      </c>
    </row>
    <row r="11" spans="1:4" hidden="1" outlineLevel="1" x14ac:dyDescent="0.3">
      <c r="D11" s="4" t="s">
        <v>13</v>
      </c>
    </row>
    <row r="12" spans="1:4" hidden="1" outlineLevel="1" x14ac:dyDescent="0.3">
      <c r="C12" s="4" t="s">
        <v>14</v>
      </c>
    </row>
    <row r="13" spans="1:4" hidden="1" outlineLevel="1" x14ac:dyDescent="0.3">
      <c r="D13" s="4" t="s">
        <v>15</v>
      </c>
    </row>
    <row r="14" spans="1:4" hidden="1" outlineLevel="1" x14ac:dyDescent="0.3">
      <c r="D14" s="4" t="s">
        <v>16</v>
      </c>
    </row>
    <row r="15" spans="1:4" hidden="1" outlineLevel="1" x14ac:dyDescent="0.3">
      <c r="D15" s="4" t="s">
        <v>17</v>
      </c>
    </row>
    <row r="16" spans="1:4" hidden="1" outlineLevel="1" x14ac:dyDescent="0.3">
      <c r="D16" s="4" t="s">
        <v>18</v>
      </c>
    </row>
    <row r="17" spans="2:10" hidden="1" outlineLevel="1" x14ac:dyDescent="0.3">
      <c r="C17" s="4" t="s">
        <v>19</v>
      </c>
    </row>
    <row r="18" spans="2:10" hidden="1" outlineLevel="1" x14ac:dyDescent="0.3">
      <c r="B18" s="3"/>
      <c r="D18" s="4" t="s">
        <v>20</v>
      </c>
    </row>
    <row r="19" spans="2:10" hidden="1" outlineLevel="1" x14ac:dyDescent="0.3">
      <c r="D19" s="4" t="s">
        <v>21</v>
      </c>
    </row>
    <row r="20" spans="2:10" hidden="1" outlineLevel="1" x14ac:dyDescent="0.3">
      <c r="B20" s="3"/>
      <c r="D20" s="4" t="s">
        <v>22</v>
      </c>
    </row>
    <row r="21" spans="2:10" hidden="1" outlineLevel="1" x14ac:dyDescent="0.3">
      <c r="B21" s="3"/>
      <c r="D21" s="4" t="s">
        <v>23</v>
      </c>
    </row>
    <row r="22" spans="2:10" hidden="1" outlineLevel="1" x14ac:dyDescent="0.3">
      <c r="D22" s="4" t="s">
        <v>24</v>
      </c>
    </row>
    <row r="23" spans="2:10" hidden="1" outlineLevel="1" x14ac:dyDescent="0.3">
      <c r="D23" s="4" t="s">
        <v>25</v>
      </c>
    </row>
    <row r="24" spans="2:10" hidden="1" outlineLevel="1" x14ac:dyDescent="0.3">
      <c r="C24" s="4" t="s">
        <v>26</v>
      </c>
    </row>
    <row r="25" spans="2:10" hidden="1" outlineLevel="1" x14ac:dyDescent="0.3">
      <c r="D25" s="4" t="s">
        <v>27</v>
      </c>
    </row>
    <row r="26" spans="2:10" hidden="1" outlineLevel="1" x14ac:dyDescent="0.3">
      <c r="B26" s="4" t="s">
        <v>28</v>
      </c>
    </row>
    <row r="27" spans="2:10" hidden="1" outlineLevel="1" x14ac:dyDescent="0.3">
      <c r="C27" s="4" t="s">
        <v>29</v>
      </c>
    </row>
    <row r="28" spans="2:10" hidden="1" outlineLevel="1" x14ac:dyDescent="0.3">
      <c r="B28" s="2"/>
      <c r="D28" s="4" t="s">
        <v>30</v>
      </c>
    </row>
    <row r="29" spans="2:10" hidden="1" outlineLevel="1" x14ac:dyDescent="0.3">
      <c r="B29" s="2"/>
      <c r="D29" s="4" t="s">
        <v>31</v>
      </c>
    </row>
    <row r="30" spans="2:10" hidden="1" outlineLevel="1" x14ac:dyDescent="0.3">
      <c r="C30" s="4" t="s">
        <v>32</v>
      </c>
    </row>
    <row r="31" spans="2:10" hidden="1" outlineLevel="1" x14ac:dyDescent="0.3">
      <c r="D31" s="4" t="s">
        <v>33</v>
      </c>
    </row>
    <row r="32" spans="2:10" hidden="1" outlineLevel="1" x14ac:dyDescent="0.3">
      <c r="B32" s="2"/>
      <c r="D32" s="5" t="s">
        <v>34</v>
      </c>
      <c r="E32" s="5" t="s">
        <v>35</v>
      </c>
      <c r="F32" s="5" t="s">
        <v>36</v>
      </c>
      <c r="G32" s="5" t="s">
        <v>37</v>
      </c>
      <c r="H32" s="5" t="s">
        <v>38</v>
      </c>
      <c r="I32" s="5" t="s">
        <v>39</v>
      </c>
      <c r="J32" s="5" t="s">
        <v>40</v>
      </c>
    </row>
    <row r="33" spans="2:22" hidden="1" outlineLevel="1" x14ac:dyDescent="0.3">
      <c r="D33" s="6" t="s">
        <v>41</v>
      </c>
      <c r="E33" s="6" t="s">
        <v>42</v>
      </c>
      <c r="F33" s="6" t="s">
        <v>30</v>
      </c>
      <c r="G33" s="6">
        <v>90</v>
      </c>
      <c r="H33" s="6">
        <v>89</v>
      </c>
      <c r="I33" s="6">
        <v>87</v>
      </c>
      <c r="J33" s="6">
        <v>86</v>
      </c>
    </row>
    <row r="34" spans="2:22" hidden="1" outlineLevel="1" x14ac:dyDescent="0.3">
      <c r="B34" s="2"/>
      <c r="D34" s="6" t="s">
        <v>41</v>
      </c>
      <c r="E34" s="6" t="s">
        <v>42</v>
      </c>
      <c r="F34" s="6" t="s">
        <v>31</v>
      </c>
      <c r="G34" s="6">
        <v>90</v>
      </c>
      <c r="H34" s="6">
        <v>89</v>
      </c>
      <c r="I34" s="6">
        <v>87</v>
      </c>
      <c r="J34" s="6">
        <v>86</v>
      </c>
    </row>
    <row r="35" spans="2:22" hidden="1" outlineLevel="1" x14ac:dyDescent="0.3">
      <c r="D35" s="6" t="s">
        <v>43</v>
      </c>
      <c r="E35" s="6" t="s">
        <v>44</v>
      </c>
      <c r="F35" s="6" t="s">
        <v>30</v>
      </c>
      <c r="G35" s="6">
        <v>91</v>
      </c>
      <c r="H35" s="6">
        <v>89</v>
      </c>
      <c r="I35" s="6">
        <v>87</v>
      </c>
      <c r="J35" s="6">
        <v>91</v>
      </c>
    </row>
    <row r="36" spans="2:22" hidden="1" outlineLevel="1" x14ac:dyDescent="0.3">
      <c r="D36" s="6" t="s">
        <v>43</v>
      </c>
      <c r="E36" s="6" t="s">
        <v>44</v>
      </c>
      <c r="F36" s="6" t="s">
        <v>31</v>
      </c>
      <c r="G36" s="6">
        <v>91</v>
      </c>
      <c r="H36" s="6">
        <v>89</v>
      </c>
      <c r="I36" s="6">
        <v>87</v>
      </c>
      <c r="J36" s="6">
        <v>91</v>
      </c>
    </row>
    <row r="37" spans="2:22" hidden="1" outlineLevel="1" x14ac:dyDescent="0.3">
      <c r="D37" s="6" t="s">
        <v>45</v>
      </c>
      <c r="E37" s="6" t="s">
        <v>46</v>
      </c>
      <c r="F37" s="6" t="s">
        <v>30</v>
      </c>
      <c r="G37" s="6">
        <v>93</v>
      </c>
      <c r="H37" s="6">
        <v>85</v>
      </c>
      <c r="I37" s="6">
        <v>91</v>
      </c>
      <c r="J37" s="6">
        <v>85</v>
      </c>
    </row>
    <row r="38" spans="2:22" hidden="1" outlineLevel="1" x14ac:dyDescent="0.3">
      <c r="D38" s="6" t="s">
        <v>45</v>
      </c>
      <c r="E38" s="6" t="s">
        <v>46</v>
      </c>
      <c r="F38" s="6" t="s">
        <v>31</v>
      </c>
      <c r="G38" s="6">
        <v>93</v>
      </c>
      <c r="H38" s="6">
        <v>85</v>
      </c>
      <c r="I38" s="6">
        <v>91</v>
      </c>
      <c r="J38" s="6">
        <v>85</v>
      </c>
    </row>
    <row r="39" spans="2:22" hidden="1" outlineLevel="1" x14ac:dyDescent="0.3">
      <c r="D39" s="6" t="s">
        <v>47</v>
      </c>
      <c r="E39" s="6" t="s">
        <v>48</v>
      </c>
      <c r="F39" s="6" t="s">
        <v>30</v>
      </c>
      <c r="G39" s="6">
        <v>94</v>
      </c>
      <c r="H39" s="6">
        <v>89</v>
      </c>
      <c r="I39" s="6">
        <v>86</v>
      </c>
      <c r="J39" s="6">
        <v>84</v>
      </c>
    </row>
    <row r="40" spans="2:22" hidden="1" outlineLevel="1" x14ac:dyDescent="0.3">
      <c r="D40" s="6" t="s">
        <v>47</v>
      </c>
      <c r="E40" s="6" t="s">
        <v>48</v>
      </c>
      <c r="F40" s="6" t="s">
        <v>31</v>
      </c>
      <c r="G40" s="6">
        <v>94</v>
      </c>
      <c r="H40" s="6">
        <v>89</v>
      </c>
      <c r="I40" s="6">
        <v>86</v>
      </c>
      <c r="J40" s="6">
        <v>84</v>
      </c>
    </row>
    <row r="41" spans="2:22" hidden="1" outlineLevel="1" x14ac:dyDescent="0.3">
      <c r="D41" s="6" t="s">
        <v>49</v>
      </c>
      <c r="E41" s="6" t="s">
        <v>50</v>
      </c>
      <c r="F41" s="6" t="s">
        <v>30</v>
      </c>
      <c r="G41" s="6">
        <v>96</v>
      </c>
      <c r="H41" s="6">
        <v>87</v>
      </c>
      <c r="I41" s="6">
        <v>87</v>
      </c>
      <c r="J41" s="6">
        <v>85</v>
      </c>
    </row>
    <row r="42" spans="2:22" hidden="1" outlineLevel="1" x14ac:dyDescent="0.3">
      <c r="D42" s="6" t="s">
        <v>49</v>
      </c>
      <c r="E42" s="6" t="s">
        <v>50</v>
      </c>
      <c r="F42" s="6" t="s">
        <v>31</v>
      </c>
      <c r="G42" s="6">
        <v>96</v>
      </c>
      <c r="H42" s="6">
        <v>87</v>
      </c>
      <c r="I42" s="6">
        <v>87</v>
      </c>
      <c r="J42" s="6">
        <v>85</v>
      </c>
    </row>
    <row r="43" spans="2:22" hidden="1" outlineLevel="1" x14ac:dyDescent="0.3"/>
    <row r="44" spans="2:22" hidden="1" outlineLevel="1" x14ac:dyDescent="0.3">
      <c r="D44" s="7" t="s">
        <v>51</v>
      </c>
    </row>
    <row r="45" spans="2:22" hidden="1" outlineLevel="1" x14ac:dyDescent="0.3">
      <c r="D45" s="2"/>
      <c r="E45" s="8" t="s">
        <v>52</v>
      </c>
    </row>
    <row r="46" spans="2:22" hidden="1" outlineLevel="1" x14ac:dyDescent="0.3">
      <c r="E46" s="4" t="s">
        <v>53</v>
      </c>
    </row>
    <row r="47" spans="2:22" hidden="1" outlineLevel="1" x14ac:dyDescent="0.3">
      <c r="D47" s="4" t="s">
        <v>54</v>
      </c>
    </row>
    <row r="48" spans="2:22" hidden="1" outlineLevel="1" x14ac:dyDescent="0.3">
      <c r="D48" s="9" t="s">
        <v>55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</row>
    <row r="49" spans="4:22" hidden="1" outlineLevel="1" x14ac:dyDescent="0.3"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</row>
    <row r="50" spans="4:22" hidden="1" outlineLevel="1" x14ac:dyDescent="0.3">
      <c r="D50" s="9" t="s">
        <v>56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</row>
    <row r="51" spans="4:22" hidden="1" outlineLevel="1" x14ac:dyDescent="0.3">
      <c r="D51" s="9" t="s">
        <v>57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</row>
    <row r="52" spans="4:22" hidden="1" outlineLevel="1" x14ac:dyDescent="0.3">
      <c r="D52" s="9" t="s">
        <v>58</v>
      </c>
      <c r="E52" s="9" t="s">
        <v>59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</row>
    <row r="53" spans="4:22" hidden="1" outlineLevel="1" x14ac:dyDescent="0.3">
      <c r="D53" s="9"/>
      <c r="E53" s="9"/>
      <c r="F53" s="9" t="s">
        <v>60</v>
      </c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</row>
    <row r="54" spans="4:22" hidden="1" outlineLevel="1" x14ac:dyDescent="0.3">
      <c r="D54" s="9"/>
      <c r="E54" s="9"/>
      <c r="F54" s="9" t="s">
        <v>61</v>
      </c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</row>
    <row r="55" spans="4:22" hidden="1" outlineLevel="1" x14ac:dyDescent="0.3">
      <c r="D55" s="9"/>
      <c r="E55" s="9"/>
      <c r="F55" s="9" t="s">
        <v>62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</row>
    <row r="56" spans="4:22" hidden="1" outlineLevel="1" x14ac:dyDescent="0.3">
      <c r="D56" s="9" t="s">
        <v>63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</row>
    <row r="57" spans="4:22" hidden="1" outlineLevel="1" x14ac:dyDescent="0.3"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</row>
    <row r="58" spans="4:22" hidden="1" outlineLevel="1" x14ac:dyDescent="0.3"/>
    <row r="59" spans="4:22" hidden="1" outlineLevel="1" x14ac:dyDescent="0.3">
      <c r="D59" s="10" t="s">
        <v>64</v>
      </c>
    </row>
    <row r="60" spans="4:22" hidden="1" outlineLevel="1" x14ac:dyDescent="0.3">
      <c r="E60" s="8" t="s">
        <v>65</v>
      </c>
    </row>
    <row r="61" spans="4:22" hidden="1" outlineLevel="1" x14ac:dyDescent="0.3">
      <c r="E61" s="4" t="s">
        <v>66</v>
      </c>
    </row>
    <row r="62" spans="4:22" hidden="1" outlineLevel="1" x14ac:dyDescent="0.3"/>
    <row r="63" spans="4:22" hidden="1" outlineLevel="1" x14ac:dyDescent="0.3">
      <c r="D63" s="4" t="s">
        <v>67</v>
      </c>
    </row>
    <row r="64" spans="4:22" hidden="1" outlineLevel="1" x14ac:dyDescent="0.3">
      <c r="E64" s="4" t="s">
        <v>68</v>
      </c>
    </row>
    <row r="65" spans="1:10" hidden="1" outlineLevel="1" x14ac:dyDescent="0.3">
      <c r="E65" s="4" t="s">
        <v>69</v>
      </c>
    </row>
    <row r="66" spans="1:10" hidden="1" outlineLevel="1" x14ac:dyDescent="0.3">
      <c r="D66" s="4"/>
    </row>
    <row r="67" spans="1:10" hidden="1" outlineLevel="1" x14ac:dyDescent="0.3">
      <c r="C67" s="4" t="s">
        <v>70</v>
      </c>
    </row>
    <row r="68" spans="1:10" hidden="1" outlineLevel="1" x14ac:dyDescent="0.3">
      <c r="D68" s="5" t="s">
        <v>34</v>
      </c>
      <c r="E68" s="5" t="s">
        <v>35</v>
      </c>
      <c r="F68" s="5" t="s">
        <v>36</v>
      </c>
      <c r="G68" s="5" t="s">
        <v>37</v>
      </c>
      <c r="H68" s="5" t="s">
        <v>38</v>
      </c>
      <c r="I68" s="5" t="s">
        <v>39</v>
      </c>
      <c r="J68" s="5" t="s">
        <v>40</v>
      </c>
    </row>
    <row r="69" spans="1:10" hidden="1" outlineLevel="1" x14ac:dyDescent="0.3">
      <c r="D69" s="6" t="s">
        <v>71</v>
      </c>
      <c r="E69" s="5" t="s">
        <v>72</v>
      </c>
      <c r="F69" s="6" t="s">
        <v>30</v>
      </c>
      <c r="G69" s="6">
        <v>90</v>
      </c>
      <c r="H69" s="6">
        <v>89</v>
      </c>
      <c r="I69" s="6">
        <v>87</v>
      </c>
      <c r="J69" s="6">
        <v>86</v>
      </c>
    </row>
    <row r="70" spans="1:10" hidden="1" outlineLevel="1" x14ac:dyDescent="0.3">
      <c r="D70" s="6" t="s">
        <v>71</v>
      </c>
      <c r="E70" s="5" t="s">
        <v>72</v>
      </c>
      <c r="F70" s="6" t="s">
        <v>31</v>
      </c>
      <c r="G70" s="6">
        <v>90</v>
      </c>
      <c r="H70" s="6">
        <v>89</v>
      </c>
      <c r="I70" s="6">
        <v>87</v>
      </c>
      <c r="J70" s="6">
        <v>86</v>
      </c>
    </row>
    <row r="71" spans="1:10" collapsed="1" x14ac:dyDescent="0.3"/>
    <row r="72" spans="1:10" x14ac:dyDescent="0.3">
      <c r="A72" t="s">
        <v>0</v>
      </c>
    </row>
    <row r="73" spans="1:10" hidden="1" outlineLevel="1" x14ac:dyDescent="0.3">
      <c r="B73" s="4" t="s">
        <v>73</v>
      </c>
    </row>
    <row r="74" spans="1:10" hidden="1" outlineLevel="1" x14ac:dyDescent="0.3">
      <c r="C74" s="4" t="s">
        <v>74</v>
      </c>
    </row>
    <row r="75" spans="1:10" hidden="1" outlineLevel="1" x14ac:dyDescent="0.3">
      <c r="C75" s="4" t="s">
        <v>75</v>
      </c>
    </row>
    <row r="76" spans="1:10" hidden="1" outlineLevel="1" x14ac:dyDescent="0.3">
      <c r="C76" s="4" t="s">
        <v>76</v>
      </c>
    </row>
    <row r="77" spans="1:10" hidden="1" outlineLevel="1" x14ac:dyDescent="0.3">
      <c r="B77" s="4" t="s">
        <v>77</v>
      </c>
    </row>
    <row r="78" spans="1:10" hidden="1" outlineLevel="1" x14ac:dyDescent="0.3">
      <c r="C78" s="4" t="s">
        <v>78</v>
      </c>
    </row>
    <row r="79" spans="1:10" collapsed="1" x14ac:dyDescent="0.3"/>
    <row r="80" spans="1:10" x14ac:dyDescent="0.3">
      <c r="A80" t="s">
        <v>79</v>
      </c>
    </row>
    <row r="81" spans="2:3" x14ac:dyDescent="0.3">
      <c r="B81" s="4" t="s">
        <v>80</v>
      </c>
    </row>
    <row r="82" spans="2:3" x14ac:dyDescent="0.3">
      <c r="C82" s="4" t="s">
        <v>81</v>
      </c>
    </row>
    <row r="83" spans="2:3" x14ac:dyDescent="0.3">
      <c r="C83" s="4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4E0BB-84CD-4788-9BF6-07133E7B251F}">
  <dimension ref="A1:E51"/>
  <sheetViews>
    <sheetView zoomScale="130" zoomScaleNormal="130" workbookViewId="0">
      <selection activeCell="O18" sqref="O18"/>
    </sheetView>
    <sheetView workbookViewId="1"/>
  </sheetViews>
  <sheetFormatPr defaultRowHeight="14" x14ac:dyDescent="0.3"/>
  <cols>
    <col min="1" max="24" width="4.08203125" customWidth="1"/>
  </cols>
  <sheetData>
    <row r="1" spans="1:4" x14ac:dyDescent="0.3">
      <c r="A1" s="1" t="s">
        <v>2</v>
      </c>
      <c r="B1" t="s">
        <v>83</v>
      </c>
    </row>
    <row r="2" spans="1:4" x14ac:dyDescent="0.3">
      <c r="A2" s="1"/>
    </row>
    <row r="3" spans="1:4" x14ac:dyDescent="0.3">
      <c r="A3" s="1" t="s">
        <v>95</v>
      </c>
    </row>
    <row r="4" spans="1:4" x14ac:dyDescent="0.3">
      <c r="A4" s="1"/>
      <c r="B4" s="4" t="s">
        <v>96</v>
      </c>
    </row>
    <row r="5" spans="1:4" x14ac:dyDescent="0.3">
      <c r="A5" s="1"/>
      <c r="C5" s="4" t="s">
        <v>97</v>
      </c>
    </row>
    <row r="6" spans="1:4" x14ac:dyDescent="0.3">
      <c r="A6" s="1"/>
      <c r="C6" s="4" t="s">
        <v>98</v>
      </c>
    </row>
    <row r="7" spans="1:4" x14ac:dyDescent="0.3">
      <c r="A7" s="1"/>
      <c r="B7" t="s">
        <v>99</v>
      </c>
    </row>
    <row r="8" spans="1:4" x14ac:dyDescent="0.3">
      <c r="A8" s="1"/>
      <c r="C8" s="4" t="s">
        <v>100</v>
      </c>
    </row>
    <row r="9" spans="1:4" x14ac:dyDescent="0.3">
      <c r="A9" s="1"/>
      <c r="C9" s="4" t="s">
        <v>101</v>
      </c>
    </row>
    <row r="10" spans="1:4" x14ac:dyDescent="0.3">
      <c r="A10" s="1"/>
      <c r="C10" s="4" t="s">
        <v>102</v>
      </c>
    </row>
    <row r="11" spans="1:4" x14ac:dyDescent="0.3">
      <c r="A11" s="1"/>
      <c r="D11" s="4" t="s">
        <v>103</v>
      </c>
    </row>
    <row r="12" spans="1:4" x14ac:dyDescent="0.3">
      <c r="A12" s="1"/>
      <c r="D12" s="4" t="s">
        <v>104</v>
      </c>
    </row>
    <row r="13" spans="1:4" x14ac:dyDescent="0.3">
      <c r="A13" s="1"/>
      <c r="D13" s="4" t="s">
        <v>105</v>
      </c>
    </row>
    <row r="14" spans="1:4" x14ac:dyDescent="0.3">
      <c r="A14" s="1"/>
      <c r="C14" t="s">
        <v>106</v>
      </c>
    </row>
    <row r="15" spans="1:4" x14ac:dyDescent="0.3">
      <c r="A15" s="1"/>
      <c r="D15" t="s">
        <v>107</v>
      </c>
    </row>
    <row r="16" spans="1:4" x14ac:dyDescent="0.3">
      <c r="A16" s="1"/>
      <c r="C16" t="s">
        <v>108</v>
      </c>
    </row>
    <row r="17" spans="1:5" x14ac:dyDescent="0.3">
      <c r="A17" s="1"/>
      <c r="B17" t="s">
        <v>109</v>
      </c>
    </row>
    <row r="18" spans="1:5" x14ac:dyDescent="0.3">
      <c r="A18" s="1"/>
      <c r="C18" t="s">
        <v>110</v>
      </c>
    </row>
    <row r="19" spans="1:5" x14ac:dyDescent="0.3">
      <c r="A19" s="1"/>
      <c r="D19" t="s">
        <v>111</v>
      </c>
    </row>
    <row r="20" spans="1:5" x14ac:dyDescent="0.3">
      <c r="A20" s="1"/>
      <c r="E20" s="4" t="s">
        <v>112</v>
      </c>
    </row>
    <row r="21" spans="1:5" x14ac:dyDescent="0.3">
      <c r="A21" s="1"/>
      <c r="E21" s="4" t="s">
        <v>113</v>
      </c>
    </row>
    <row r="22" spans="1:5" x14ac:dyDescent="0.3">
      <c r="A22" s="1"/>
      <c r="C22" t="s">
        <v>114</v>
      </c>
    </row>
    <row r="23" spans="1:5" x14ac:dyDescent="0.3">
      <c r="A23" s="1"/>
      <c r="D23" t="s">
        <v>115</v>
      </c>
    </row>
    <row r="24" spans="1:5" x14ac:dyDescent="0.3">
      <c r="A24" s="1"/>
      <c r="D24" s="4" t="s">
        <v>116</v>
      </c>
    </row>
    <row r="25" spans="1:5" x14ac:dyDescent="0.3">
      <c r="A25" s="1"/>
      <c r="D25" s="4" t="s">
        <v>117</v>
      </c>
    </row>
    <row r="26" spans="1:5" x14ac:dyDescent="0.3">
      <c r="A26" s="1"/>
    </row>
    <row r="27" spans="1:5" x14ac:dyDescent="0.3">
      <c r="A27" s="1"/>
    </row>
    <row r="28" spans="1:5" x14ac:dyDescent="0.3">
      <c r="A28" s="1"/>
    </row>
    <row r="29" spans="1:5" x14ac:dyDescent="0.3">
      <c r="A29" s="1"/>
    </row>
    <row r="30" spans="1:5" x14ac:dyDescent="0.3">
      <c r="A30" s="1"/>
    </row>
    <row r="31" spans="1:5" x14ac:dyDescent="0.3">
      <c r="A31" s="1"/>
    </row>
    <row r="33" spans="1:2" x14ac:dyDescent="0.3">
      <c r="A33" t="s">
        <v>88</v>
      </c>
    </row>
    <row r="34" spans="1:2" x14ac:dyDescent="0.3">
      <c r="B34" s="11" t="s">
        <v>89</v>
      </c>
    </row>
    <row r="47" spans="1:2" x14ac:dyDescent="0.3">
      <c r="A47" t="s">
        <v>90</v>
      </c>
    </row>
    <row r="48" spans="1:2" x14ac:dyDescent="0.3">
      <c r="B48" t="s">
        <v>91</v>
      </c>
    </row>
    <row r="49" spans="2:3" x14ac:dyDescent="0.3">
      <c r="C49" t="s">
        <v>92</v>
      </c>
    </row>
    <row r="50" spans="2:3" x14ac:dyDescent="0.3">
      <c r="B50" t="s">
        <v>93</v>
      </c>
    </row>
    <row r="51" spans="2:3" x14ac:dyDescent="0.3">
      <c r="C51" t="s">
        <v>94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28340-1023-4EA8-9E13-B74161134F70}">
  <dimension ref="A1:B6"/>
  <sheetViews>
    <sheetView zoomScale="160" zoomScaleNormal="160" workbookViewId="0">
      <selection activeCell="E8" sqref="E8"/>
    </sheetView>
    <sheetView workbookViewId="1"/>
  </sheetViews>
  <sheetFormatPr defaultRowHeight="14" x14ac:dyDescent="0.3"/>
  <cols>
    <col min="1" max="23" width="4.08203125" customWidth="1"/>
  </cols>
  <sheetData>
    <row r="1" spans="1:2" x14ac:dyDescent="0.3">
      <c r="A1" s="1" t="s">
        <v>2</v>
      </c>
    </row>
    <row r="3" spans="1:2" x14ac:dyDescent="0.3">
      <c r="A3" t="s">
        <v>84</v>
      </c>
    </row>
    <row r="4" spans="1:2" x14ac:dyDescent="0.3">
      <c r="B4" s="4" t="s">
        <v>85</v>
      </c>
    </row>
    <row r="5" spans="1:2" x14ac:dyDescent="0.3">
      <c r="B5" s="4" t="s">
        <v>86</v>
      </c>
    </row>
    <row r="6" spans="1:2" x14ac:dyDescent="0.3">
      <c r="B6" s="4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0_Run Process</vt:lpstr>
      <vt:lpstr>CheckData</vt:lpstr>
      <vt:lpstr>1_ปรับปรุงสูตร vs PY ที่ตัวเก่า</vt:lpstr>
      <vt:lpstr>2_PJ202510</vt:lpstr>
      <vt:lpstr>3_CR2059</vt:lpstr>
      <vt:lpstr>4_CR</vt:lpstr>
      <vt:lpstr>Sheet0_Satisfaction</vt:lpstr>
      <vt:lpstr>Sheet0_Vendor_Evaluation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Sutripat Ngamjittrong</cp:lastModifiedBy>
  <cp:revision/>
  <dcterms:created xsi:type="dcterms:W3CDTF">2025-12-23T06:19:01Z</dcterms:created>
  <dcterms:modified xsi:type="dcterms:W3CDTF">2026-01-16T09:20:56Z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e5379f-c752-40b7-8c8a-de32cef4862d_Enabled">
    <vt:lpwstr>true</vt:lpwstr>
  </property>
  <property fmtid="{D5CDD505-2E9C-101B-9397-08002B2CF9AE}" pid="3" name="MSIP_Label_e3e5379f-c752-40b7-8c8a-de32cef4862d_SetDate">
    <vt:lpwstr>2025-12-23T06:20:32Z</vt:lpwstr>
  </property>
  <property fmtid="{D5CDD505-2E9C-101B-9397-08002B2CF9AE}" pid="4" name="MSIP_Label_e3e5379f-c752-40b7-8c8a-de32cef4862d_Method">
    <vt:lpwstr>Privileged</vt:lpwstr>
  </property>
  <property fmtid="{D5CDD505-2E9C-101B-9397-08002B2CF9AE}" pid="5" name="MSIP_Label_e3e5379f-c752-40b7-8c8a-de32cef4862d_Name">
    <vt:lpwstr>Internal Use (ภายในบริษัท)</vt:lpwstr>
  </property>
  <property fmtid="{D5CDD505-2E9C-101B-9397-08002B2CF9AE}" pid="6" name="MSIP_Label_e3e5379f-c752-40b7-8c8a-de32cef4862d_SiteId">
    <vt:lpwstr>50243939-22a9-47e3-918e-86b746997bec</vt:lpwstr>
  </property>
  <property fmtid="{D5CDD505-2E9C-101B-9397-08002B2CF9AE}" pid="7" name="MSIP_Label_e3e5379f-c752-40b7-8c8a-de32cef4862d_ActionId">
    <vt:lpwstr>be2adef6-5f30-4607-9cc9-586b28398406</vt:lpwstr>
  </property>
  <property fmtid="{D5CDD505-2E9C-101B-9397-08002B2CF9AE}" pid="8" name="MSIP_Label_e3e5379f-c752-40b7-8c8a-de32cef4862d_ContentBits">
    <vt:lpwstr>2</vt:lpwstr>
  </property>
  <property fmtid="{D5CDD505-2E9C-101B-9397-08002B2CF9AE}" pid="9" name="MSIP_Label_e3e5379f-c752-40b7-8c8a-de32cef4862d_Tag">
    <vt:lpwstr>10, 0, 1, 2</vt:lpwstr>
  </property>
</Properties>
</file>