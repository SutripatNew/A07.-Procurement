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Work/008. Procurement/#2 Project/"/>
    </mc:Choice>
  </mc:AlternateContent>
  <xr:revisionPtr revIDLastSave="91" documentId="8_{2671E8FD-1603-4810-A7D2-37038654FE78}" xr6:coauthVersionLast="47" xr6:coauthVersionMax="47" xr10:uidLastSave="{FCAEA1BA-26A8-954E-94E0-E71C320DE51A}"/>
  <bookViews>
    <workbookView xWindow="-110" yWindow="-110" windowWidth="19420" windowHeight="10300" activeTab="13" xr2:uid="{E4EECD95-B72D-41CC-82A8-E1ACFDEF6684}"/>
  </bookViews>
  <sheets>
    <sheet name="Information" sheetId="13" r:id="rId1"/>
    <sheet name="Sheet2" sheetId="14" r:id="rId2"/>
    <sheet name="1. VW_STG_MS_FORM_IT" sheetId="1" r:id="rId3"/>
    <sheet name="2. VW_FORM_01_UNION" sheetId="2" r:id="rId4"/>
    <sheet name="3. VW_FORM_02_UNION_VALUE_MAP" sheetId="3" r:id="rId5"/>
    <sheet name="4. VW_FORM_03_DISTINCT_QUESTION" sheetId="4" r:id="rId6"/>
    <sheet name="5. VW_FORM_04_WEIGHT" sheetId="5" r:id="rId7"/>
    <sheet name="Formula" sheetId="12" state="hidden" r:id="rId8"/>
    <sheet name="6. VW_FORM_05_CALCULATE_WEIGHT" sheetId="6" r:id="rId9"/>
    <sheet name="7. VW_FORM_06_SCORE" sheetId="7" r:id="rId10"/>
    <sheet name="8. VW_FORM_07_SCORE_FIX" sheetId="8" r:id="rId11"/>
    <sheet name="9. VW_FACT_MS_FORM" sheetId="9" r:id="rId12"/>
    <sheet name="10. VW_FACT_MS_FORM_GROUPING" sheetId="10" r:id="rId13"/>
    <sheet name="11. VW_FACT_MS_FORM_REPORT" sheetId="11" r:id="rId14"/>
  </sheets>
  <definedNames>
    <definedName name="_xlnm._FilterDatabase" localSheetId="13" hidden="1">'11. VW_FACT_MS_FORM_REPORT'!$A$29:$AC$80</definedName>
    <definedName name="_xlnm._FilterDatabase" localSheetId="9" hidden="1">'7. VW_FORM_06_SCORE'!$A$12:$AP$31</definedName>
    <definedName name="_xlnm._FilterDatabase" localSheetId="1" hidden="1">Sheet2!$A$1:$AC$37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1" i="14" l="1"/>
  <c r="P112" i="14"/>
  <c r="P113" i="14"/>
  <c r="P114" i="14"/>
  <c r="P115" i="14"/>
  <c r="P116" i="14"/>
  <c r="P117" i="14"/>
  <c r="P118" i="14"/>
  <c r="O111" i="14"/>
  <c r="O112" i="14"/>
  <c r="O113" i="14"/>
  <c r="O114" i="14"/>
  <c r="O115" i="14"/>
  <c r="O116" i="14"/>
  <c r="O117" i="14"/>
  <c r="O118" i="14"/>
  <c r="P101" i="14"/>
  <c r="P102" i="14"/>
  <c r="P103" i="14"/>
  <c r="P104" i="14"/>
  <c r="P105" i="14"/>
  <c r="P106" i="14"/>
  <c r="P107" i="14"/>
  <c r="P108" i="14"/>
  <c r="P109" i="14"/>
  <c r="P110" i="14"/>
  <c r="O101" i="14"/>
  <c r="O102" i="14"/>
  <c r="O103" i="14"/>
  <c r="O104" i="14"/>
  <c r="O105" i="14"/>
  <c r="O106" i="14"/>
  <c r="O107" i="14"/>
  <c r="O108" i="14"/>
  <c r="O109" i="14"/>
  <c r="O110" i="14"/>
  <c r="P100" i="14"/>
  <c r="O100" i="14"/>
  <c r="AF124" i="11"/>
  <c r="AF125" i="11"/>
  <c r="AF123" i="11"/>
  <c r="AD124" i="11"/>
  <c r="AD125" i="11"/>
  <c r="AD126" i="11"/>
  <c r="AD127" i="11"/>
  <c r="AD128" i="11"/>
  <c r="AD129" i="11"/>
  <c r="AD123" i="11"/>
  <c r="AC117" i="11"/>
  <c r="AB117" i="11"/>
  <c r="AA117" i="11"/>
  <c r="AE98" i="11"/>
  <c r="AE99" i="11"/>
  <c r="AE100" i="11"/>
  <c r="AE101" i="11"/>
  <c r="AE102" i="11"/>
  <c r="AE103" i="11"/>
  <c r="AE97" i="11"/>
  <c r="AD98" i="11"/>
  <c r="AD99" i="11"/>
  <c r="AD100" i="11"/>
  <c r="AD101" i="11"/>
  <c r="AD102" i="11"/>
  <c r="AD103" i="11"/>
  <c r="AD97" i="11"/>
  <c r="AD23" i="10"/>
  <c r="AD24" i="10"/>
  <c r="AD25" i="10"/>
  <c r="AD26" i="10"/>
  <c r="AD27" i="10"/>
  <c r="AD22" i="10"/>
  <c r="BA19" i="8"/>
  <c r="BA14" i="8"/>
  <c r="BA15" i="8"/>
  <c r="BA16" i="8"/>
  <c r="BA17" i="8"/>
  <c r="BA18" i="8"/>
  <c r="BA13" i="8"/>
  <c r="BA60" i="8"/>
  <c r="BB31" i="8"/>
  <c r="BE31" i="8"/>
  <c r="BB30" i="8"/>
  <c r="BE30" i="8"/>
  <c r="BB29" i="8"/>
  <c r="BE29" i="8"/>
  <c r="BB28" i="8"/>
  <c r="BE28" i="8"/>
  <c r="BB27" i="8"/>
  <c r="BE27" i="8"/>
  <c r="BB26" i="8"/>
  <c r="BE26" i="8"/>
  <c r="BB25" i="8"/>
  <c r="BE25" i="8"/>
  <c r="BB71" i="8"/>
  <c r="BE71" i="8"/>
  <c r="BB72" i="8"/>
  <c r="BE72" i="8"/>
  <c r="BB73" i="8"/>
  <c r="BE73" i="8"/>
  <c r="BB74" i="8"/>
  <c r="BE74" i="8"/>
  <c r="BB75" i="8"/>
  <c r="BE75" i="8"/>
  <c r="BB70" i="8"/>
  <c r="BE70" i="8"/>
  <c r="AD57" i="10"/>
  <c r="AD58" i="10"/>
  <c r="AD59" i="10"/>
  <c r="AD60" i="10"/>
  <c r="AD61" i="10"/>
  <c r="AD62" i="10"/>
  <c r="AD63" i="10"/>
  <c r="AD64" i="10"/>
  <c r="AD65" i="10"/>
  <c r="AD66" i="10"/>
  <c r="AD67" i="10"/>
  <c r="AD68" i="10"/>
  <c r="AL22" i="9"/>
  <c r="BA61" i="8"/>
  <c r="BA62" i="8"/>
  <c r="BA63" i="8"/>
  <c r="BA64" i="8"/>
  <c r="BA65" i="8"/>
  <c r="BZ38" i="9"/>
</calcChain>
</file>

<file path=xl/sharedStrings.xml><?xml version="1.0" encoding="utf-8"?>
<sst xmlns="http://schemas.openxmlformats.org/spreadsheetml/2006/main" count="8811" uniqueCount="521">
  <si>
    <t>Function_Name</t>
  </si>
  <si>
    <t>Function_SubType</t>
  </si>
  <si>
    <t>UniqueID</t>
  </si>
  <si>
    <t>FormYear</t>
  </si>
  <si>
    <t>RoundYear</t>
  </si>
  <si>
    <t>SharePoint_List</t>
  </si>
  <si>
    <t>Item_ID</t>
  </si>
  <si>
    <t>Title</t>
  </si>
  <si>
    <t>SubmissionTime</t>
  </si>
  <si>
    <t>ResponderEmail</t>
  </si>
  <si>
    <t>Level1</t>
  </si>
  <si>
    <t>Level2</t>
  </si>
  <si>
    <t>Level3</t>
  </si>
  <si>
    <t>Pur_Grp</t>
  </si>
  <si>
    <t>Plant</t>
  </si>
  <si>
    <t>Product</t>
  </si>
  <si>
    <t>Vendor_Name</t>
  </si>
  <si>
    <t>Comment1</t>
  </si>
  <si>
    <t>Comment2</t>
  </si>
  <si>
    <t>Comment3</t>
  </si>
  <si>
    <t>Comment4</t>
  </si>
  <si>
    <t>Above1MB</t>
  </si>
  <si>
    <t>Question_Order</t>
  </si>
  <si>
    <t>Question_Name</t>
  </si>
  <si>
    <t>Response</t>
  </si>
  <si>
    <t>Response_Value</t>
  </si>
  <si>
    <t>IT</t>
  </si>
  <si>
    <t>MS_FORM_IT_0123</t>
  </si>
  <si>
    <t>MS_FORM_IT</t>
  </si>
  <si>
    <t>siri.ro@thainamthip.co.th</t>
  </si>
  <si>
    <t>SERVICE &amp; OTHER</t>
  </si>
  <si>
    <t>NULL</t>
  </si>
  <si>
    <t>9000103576 บริษัท คาร์พิเดียม โซลูชั่นส์ จำกัด</t>
  </si>
  <si>
    <t>1. สินค้า/บริการ ถูกต้องตรงตามคุณสมบัติที่กำหนด (Specification)</t>
  </si>
  <si>
    <t>2. สินค้า/บริการ มีข้อบกพร่อง เช่นสินค้ามีตำหนิ, จำนวนไม่ครบถ้วน/ใช้งานโปรแกรมแล้วพบความผิดปกติ</t>
  </si>
  <si>
    <t>1.ส่งมอบสินค้า/บริการได้ตรงตามเวลาที่กำหนด</t>
  </si>
  <si>
    <t>1. สามารถให้คำปรึกษาและบริการได้ถูกต้อง และมีความรู้ความชำนาญทางด้าน IT</t>
  </si>
  <si>
    <t>2. บริการหลังการขาย สามารถติดต่อได้สะดวก หากพบปัญหาสามารถแก้ไขปัญหาได้รวดเร็ว ข้อเสนอแนะ เพื่อปรับปรุงการบริการของ Vendor</t>
  </si>
  <si>
    <t>ราคาเทียบกับคุณภาพของงาน Price &amp; Quality</t>
  </si>
  <si>
    <t>ราคาสินค้าหรือบริการ เมื่อเปรียบเทียบกับงบประมาณที่แจ้ง</t>
  </si>
  <si>
    <t>Order</t>
  </si>
  <si>
    <t>Scoring_Group</t>
  </si>
  <si>
    <t>Response_Source</t>
  </si>
  <si>
    <t>Response_Value_Source</t>
  </si>
  <si>
    <t>Max_Response_Value</t>
  </si>
  <si>
    <t>SHAREPOINT_LIST</t>
  </si>
  <si>
    <t>YEAR</t>
  </si>
  <si>
    <t>FORM_FULL_NAME</t>
  </si>
  <si>
    <t>FUNCTION_NAME</t>
  </si>
  <si>
    <t>FUNCTION_LEVEL1</t>
  </si>
  <si>
    <t>FUNCTION_LEVEL2</t>
  </si>
  <si>
    <t>FUNCTION_SUBTYPE</t>
  </si>
  <si>
    <t>QUESTION_ORDER</t>
  </si>
  <si>
    <t>QUESTION_NAME</t>
  </si>
  <si>
    <t>GROUP_QUESTION</t>
  </si>
  <si>
    <t>WEIGHT_100</t>
  </si>
  <si>
    <t>TOTAL_WEIGHT</t>
  </si>
  <si>
    <t>WEIGHT_SOURCE</t>
  </si>
  <si>
    <t>MAX_RESPONSE_VALUE</t>
  </si>
  <si>
    <t>UPDATE_DATE</t>
  </si>
  <si>
    <t xml:space="preserve">แบบประเมินคุณภาพการส่งมอบสินค้า/บริการ (For IT User) </t>
  </si>
  <si>
    <t>Quality</t>
  </si>
  <si>
    <t>Price</t>
  </si>
  <si>
    <t>Delivery</t>
  </si>
  <si>
    <t>Service</t>
  </si>
  <si>
    <t>Raw_Score</t>
  </si>
  <si>
    <t>Question_Year</t>
  </si>
  <si>
    <t>Group_Question</t>
  </si>
  <si>
    <t>Weight_Source</t>
  </si>
  <si>
    <t>WeightTotal_Source</t>
  </si>
  <si>
    <t>Weight_100</t>
  </si>
  <si>
    <t>WeightTotal_100</t>
  </si>
  <si>
    <t>Weight_100_NonNull</t>
  </si>
  <si>
    <t>WeightTotal_100_NonNull</t>
  </si>
  <si>
    <t>Score</t>
  </si>
  <si>
    <t>Weight</t>
  </si>
  <si>
    <t>WeightTotal</t>
  </si>
  <si>
    <t>Raw</t>
  </si>
  <si>
    <t>Score_UniqueID</t>
  </si>
  <si>
    <t>Weight_UniqueID</t>
  </si>
  <si>
    <t>WeightTotal_UniqueID</t>
  </si>
  <si>
    <t>Weight_UniqueIDQuestionGroup</t>
  </si>
  <si>
    <t>Weight_WithInGroup_Question</t>
  </si>
  <si>
    <t>Weight_WithInQuestionName</t>
  </si>
  <si>
    <t>Count_WithInQuestionName</t>
  </si>
  <si>
    <t>Weight_VendorPlantProduct</t>
  </si>
  <si>
    <t>Weight_Level</t>
  </si>
  <si>
    <t>Weight_Calc</t>
  </si>
  <si>
    <t>Score_Calc</t>
  </si>
  <si>
    <t>Score_Calc_Format</t>
  </si>
  <si>
    <t>Weight_RM</t>
  </si>
  <si>
    <t>Score_RM</t>
  </si>
  <si>
    <t>Score_RM_Format</t>
  </si>
  <si>
    <t>Weight_PCM</t>
  </si>
  <si>
    <t>Score_PCM</t>
  </si>
  <si>
    <t>Score_PCM_Format</t>
  </si>
  <si>
    <t>1.00 x 15.00 x  Weight (100.00/100.00)</t>
  </si>
  <si>
    <t>0.75 x 30.00 x  Weight (100.00/100.00)</t>
  </si>
  <si>
    <t>0.75 x 5.00 x  Weight (100.00/100.00)</t>
  </si>
  <si>
    <t>1.00 x 5.00 x  Weight (100.00/100.00)</t>
  </si>
  <si>
    <t>0.75 x 15.00 x  Weight (100.00/100.00)</t>
  </si>
  <si>
    <t>UniqueGroupID</t>
  </si>
  <si>
    <t>JoinKey</t>
  </si>
  <si>
    <t>Comment</t>
  </si>
  <si>
    <t>Question_Number</t>
  </si>
  <si>
    <t>GradeByUniqueID</t>
  </si>
  <si>
    <t>RawVendorScore</t>
  </si>
  <si>
    <t>RawVendorFormCount</t>
  </si>
  <si>
    <t>SumScoreByVendor</t>
  </si>
  <si>
    <t>GradeByVendor</t>
  </si>
  <si>
    <t>RawVendorLevelScore</t>
  </si>
  <si>
    <t>RawVendorLevelFormCount</t>
  </si>
  <si>
    <t>SumScoreByVendorLevel</t>
  </si>
  <si>
    <t>GradeByVendorLevel</t>
  </si>
  <si>
    <t>CURRENT_YEAR_INDEX</t>
  </si>
  <si>
    <t>IT__IT_9000103576 บริษัท คาร์พิเดียม โซลูชั่นส์ จำกัด_IT_SERVICE &amp; OTHER_2021</t>
  </si>
  <si>
    <t>IT__9000103576 บริษัท คาร์พิเดียม โซลูชั่นส์ จำกัด_IT__2021_1</t>
  </si>
  <si>
    <t>Q01</t>
  </si>
  <si>
    <t>A</t>
  </si>
  <si>
    <t>B</t>
  </si>
  <si>
    <t>Q02</t>
  </si>
  <si>
    <t>Q04</t>
  </si>
  <si>
    <t>Q03</t>
  </si>
  <si>
    <t>Q07</t>
  </si>
  <si>
    <t>Q06</t>
  </si>
  <si>
    <t>Q05</t>
  </si>
  <si>
    <t>Total_Question_In_Group</t>
  </si>
  <si>
    <t>Weight_Total_Line</t>
  </si>
  <si>
    <t>Weight_Proportion</t>
  </si>
  <si>
    <t>TEXT_CHECK</t>
  </si>
  <si>
    <t>(3/4 ได้  0.75 คะแนน ) * ( น้ำหนัก 30.00 ) = 22.5000</t>
  </si>
  <si>
    <t>(4/4 ได้  1.00 คะแนน ) * ( น้ำหนัก 15.00 ) = 15.0000</t>
  </si>
  <si>
    <t>(3/4 ได้  0.75 คะแนน ) * ( น้ำหนัก 15.00 ) = 11.2500</t>
  </si>
  <si>
    <t>(4/4 ได้  1.00 คะแนน ) * ( น้ำหนัก 5.00 ) = 5.0000</t>
  </si>
  <si>
    <t>(3/4 ได้  0.75 คะแนน ) * ( น้ำหนัก 5.00 ) = 3.7500</t>
  </si>
  <si>
    <t>QueryPart</t>
  </si>
  <si>
    <t>Question_Number_Sort</t>
  </si>
  <si>
    <t>Cell_Value</t>
  </si>
  <si>
    <t>10_QUESTION</t>
  </si>
  <si>
    <t>11_QUESTION_SUM</t>
  </si>
  <si>
    <t>Question Total</t>
  </si>
  <si>
    <t>TOTAL_QUESTION</t>
  </si>
  <si>
    <t>20_SCORE</t>
  </si>
  <si>
    <t>S03</t>
  </si>
  <si>
    <t>S06</t>
  </si>
  <si>
    <t>S07</t>
  </si>
  <si>
    <t>S01</t>
  </si>
  <si>
    <t>S02</t>
  </si>
  <si>
    <t>S04</t>
  </si>
  <si>
    <t>S05</t>
  </si>
  <si>
    <t>21_SCORE_WEIGHT_SUM</t>
  </si>
  <si>
    <t>Score Total</t>
  </si>
  <si>
    <t>TOTAL_SCORE</t>
  </si>
  <si>
    <t>30_SCORE_PCT</t>
  </si>
  <si>
    <t>Total Grade</t>
  </si>
  <si>
    <t>TOTAL_GRADE</t>
  </si>
  <si>
    <t>ZZ_Comment</t>
  </si>
  <si>
    <t>Z-Comment</t>
  </si>
  <si>
    <t>TOTAL_RAW_SCORE</t>
  </si>
  <si>
    <t xml:space="preserve">CASE </t>
  </si>
  <si>
    <t>WHEN Function_Name = 'RM&amp;PKG' AND FormYear = '2021'</t>
  </si>
  <si>
    <t xml:space="preserve">THEN </t>
  </si>
  <si>
    <t>CASE</t>
  </si>
  <si>
    <t>WHEN Question_Name = '3.2) เครดิตการชำระเงิน'</t>
  </si>
  <si>
    <t>WHEN Response = 4 THEN 10</t>
  </si>
  <si>
    <t>WHEN Response = 3 THEN 9</t>
  </si>
  <si>
    <t>WHEN Response = 2 THEN 8</t>
  </si>
  <si>
    <t>WHEN Response = 1 THEN 7</t>
  </si>
  <si>
    <t>WHEN Response = '-' THEN NULL</t>
  </si>
  <si>
    <t xml:space="preserve">ELSE Response END </t>
  </si>
  <si>
    <t xml:space="preserve">ELSE </t>
  </si>
  <si>
    <t>WHEN Response = 3 THEN 8</t>
  </si>
  <si>
    <t>WHEN Response = 2 THEN 6</t>
  </si>
  <si>
    <t>WHEN Response = 1 THEN 4</t>
  </si>
  <si>
    <t>END</t>
  </si>
  <si>
    <t>ELSE Response</t>
  </si>
  <si>
    <t>Response_Source,</t>
  </si>
  <si>
    <t>TRY_CAST(</t>
  </si>
  <si>
    <t>AS DECIMAL(9,4)) AS</t>
  </si>
  <si>
    <t xml:space="preserve">SELECT </t>
  </si>
  <si>
    <t xml:space="preserve">DISTINCT </t>
  </si>
  <si>
    <t>TOP 10000000</t>
  </si>
  <si>
    <t>FROM VW_FORM_01_UNION F</t>
  </si>
  <si>
    <t>LEFT JOIN (</t>
  </si>
  <si>
    <t>FROM VW_FORM_02_UNION_VALUE_MAP</t>
  </si>
  <si>
    <t>GROUP BY FormYear,SharePoint_List</t>
  </si>
  <si>
    <t>) V</t>
  </si>
  <si>
    <t>ON F.SharePoint_List = V.SharePoint_List AND F.FormYear = V.FormYear</t>
  </si>
  <si>
    <t>ORDER BY F.FormYear,F.SharePoint_List,Function_SubType,Question_Order</t>
  </si>
  <si>
    <r>
      <t xml:space="preserve">F.FormYear,F.SharePoint_List,Function_Name,Function_SubType,Question_Order,Question_Name, </t>
    </r>
    <r>
      <rPr>
        <sz val="11"/>
        <color rgb="FFFF0000"/>
        <rFont val="Calibri"/>
        <family val="2"/>
        <scheme val="minor"/>
      </rPr>
      <t>V.Max_Response_Value</t>
    </r>
  </si>
  <si>
    <r>
      <t xml:space="preserve">SELECT FormYear,SharePoint_List, </t>
    </r>
    <r>
      <rPr>
        <sz val="11"/>
        <color rgb="FFFF0000"/>
        <rFont val="Calibri"/>
        <family val="2"/>
        <scheme val="minor"/>
      </rPr>
      <t>MAX(Response_Value) AS Max_Response_Value</t>
    </r>
  </si>
  <si>
    <t>(Maximum of value each questions)</t>
  </si>
  <si>
    <t>WHEN COALESCE(F.FUNCTION_NAME, Q.FUNCTION_NAME) IN ('RM&amp;PKG')</t>
  </si>
  <si>
    <t>WHEN GROUP_QUESTION = 'Service'</t>
  </si>
  <si>
    <t xml:space="preserve">THEN CAST(CAST(Q.WEIGHT AS DECIMAL(9,4)) / 10 AS DECIMAL(9,4)) </t>
  </si>
  <si>
    <t>ELSE CAST(CAST(Q.WEIGHT AS DECIMAL(9,4)) / COUNT(Q.QUESTION) OVER (PARTITION BY Q.FUNCTION_NAME, Q.GROUP_QUESTION,Q.YEAR) AS DECIMAL(9,4))   END</t>
  </si>
  <si>
    <t xml:space="preserve">CAST( </t>
  </si>
  <si>
    <t>CAST(Q.WEIGHT AS DECIMAL(9,6))</t>
  </si>
  <si>
    <t>/</t>
  </si>
  <si>
    <t>CAST(SUM(CAST(Q.WEIGHT AS DECIMAL(9,6))) OVER (PARTITION BY F.SHAREPOINT_LIST,  Q.FORM_NAME, Q.YEAR, F.FUNCTION_NAME, F.FUNCTION_SUBTYPE) AS DECIMAL(9,4))</t>
  </si>
  <si>
    <t xml:space="preserve">* 100 </t>
  </si>
  <si>
    <t>AS DECIMAL(9,4))</t>
  </si>
  <si>
    <t>AS WEIGHT_100</t>
  </si>
  <si>
    <t>=-- RM Weighting</t>
  </si>
  <si>
    <t>=-- Non RM Weighting</t>
  </si>
  <si>
    <t>CAST(Q.WEIGHT AS DECIMAL(9,4)) AS WEIGHT_SOURCE</t>
  </si>
  <si>
    <t>F.MAX_RESPONSE_VALUE</t>
  </si>
  <si>
    <t>SELECT A.* ,</t>
  </si>
  <si>
    <t>WHEN FORM_NAME LIKE '%Uniform-DT%' AND [YEAR] = '2021' THEN 'UNIFORM-DT'</t>
  </si>
  <si>
    <t xml:space="preserve">WHEN FORM_NAME LIKE '%Uniform-DT%' AND [YEAR] = '2022' THEN 'UNIFORM' </t>
  </si>
  <si>
    <t>WHEN FORM_NAME LIKE '%Uniform-OF%' THEN 'UNIFORM-OF'</t>
  </si>
  <si>
    <t>WHEN FORM_NAME LIKE '%Uniform-WH%' THEN 'UNIFORM-WH'</t>
  </si>
  <si>
    <t>WHEN FORM_NAME LIKE '%Uniform-S%' THEN 'UNIFORM-S'</t>
  </si>
  <si>
    <t>WHEN FORM_NAME LIKE '%(Uniform) M/F%' THEN 'UNIFORM-M/F'</t>
  </si>
  <si>
    <t>WHEN FUNCTION_NAME = 'Procurement' AND LEVEL1 = 'Internal' THEN 'Internal'</t>
  </si>
  <si>
    <t>WHEN FUNCTION_NAME = 'Procurement' AND LEVEL1 = 'External' THEN 'External'</t>
  </si>
  <si>
    <t>ELSE '' END AS FUNCTION_SUBTYPE</t>
  </si>
  <si>
    <t>FROM</t>
  </si>
  <si>
    <t>STG_QUESTION A</t>
  </si>
  <si>
    <t>Table Q</t>
  </si>
  <si>
    <t>Table F</t>
  </si>
  <si>
    <r>
      <t xml:space="preserve">SELECT * FROM </t>
    </r>
    <r>
      <rPr>
        <sz val="11"/>
        <color rgb="FFFF0000"/>
        <rFont val="Calibri"/>
        <family val="2"/>
        <scheme val="minor"/>
      </rPr>
      <t xml:space="preserve">VW_FORM_03_DISTINCT_QUESTION </t>
    </r>
  </si>
  <si>
    <r>
      <rPr>
        <sz val="11"/>
        <color rgb="FFFF0000"/>
        <rFont val="Calibri"/>
        <family val="2"/>
        <scheme val="minor"/>
      </rPr>
      <t>SUM(CAST(Q.WEIGHT AS DECIMAL(9,4))) OVER (PARTITION BY F.SHAREPOINT_LIST, Q.FORM_NAME, Q.YEAR, F.FUNCTION_NAME, F.FUNCTION_SUBTYPE)</t>
    </r>
    <r>
      <rPr>
        <sz val="11"/>
        <color theme="1"/>
        <rFont val="Calibri"/>
        <family val="2"/>
        <charset val="222"/>
        <scheme val="minor"/>
      </rPr>
      <t xml:space="preserve"> AS TOTAL_WEIGHT</t>
    </r>
  </si>
  <si>
    <t>ถ้าไม่ใช่ RM</t>
  </si>
  <si>
    <t xml:space="preserve">WEIGHT_100 = </t>
  </si>
  <si>
    <t>ถ้าเป็น RM (Service)</t>
  </si>
  <si>
    <t>WEIGHT_100 = Q.WEIGHT</t>
  </si>
  <si>
    <t>ถ้าเป็น RM (ไม่ใช่ Service)</t>
  </si>
  <si>
    <t>WEIGHT_100 = Q.WEIGHT/COUNT(Q.QUESTION) [ตาม Function ปี]</t>
  </si>
  <si>
    <t>Q.WEIGHT/TOTAL_WEIGHT * 100</t>
  </si>
  <si>
    <t>ต้นทาง</t>
  </si>
  <si>
    <t>SELECT * FROM VW_FORM_02_UNION_VALUE_MAP</t>
  </si>
  <si>
    <t>VW_FORM_04_WEIGHT Q</t>
  </si>
  <si>
    <t>CAST(F.Response_Value / Q.Max_Response_Value AS DECIMAL(9,4)) AS Raw_Score</t>
  </si>
  <si>
    <t xml:space="preserve">SUM(Q.Weight_Source) OVER (PARTITION BY F.UniqueID) </t>
  </si>
  <si>
    <t>AS WeightTotal_Source</t>
  </si>
  <si>
    <t xml:space="preserve">CAST(CASE </t>
  </si>
  <si>
    <t>WHEN F.Function_Name = 'RM&amp;PKG' THEN 100</t>
  </si>
  <si>
    <t xml:space="preserve">ELSE SUM(Q.Weight_100) OVER (PARTITION BY F.UniqueID) </t>
  </si>
  <si>
    <t>END AS DECIMAL(9,4))</t>
  </si>
  <si>
    <t>AS WeightTotal_100</t>
  </si>
  <si>
    <t>WHEN Response_Value IS NOT NULL</t>
  </si>
  <si>
    <t>AS Weight_100_NonNull</t>
  </si>
  <si>
    <t>ELSE NULL END</t>
  </si>
  <si>
    <t xml:space="preserve">WHEN Response_Value IS NOT NULL THEN Q.Weight_100 </t>
  </si>
  <si>
    <t>SUM(</t>
  </si>
  <si>
    <t xml:space="preserve">THEN Q.Weight_100 ELSE NULL END </t>
  </si>
  <si>
    <t>) OVER (PARTITION BY F.UniqueID)</t>
  </si>
  <si>
    <t>AS WeightTotal_100_NonNull</t>
  </si>
  <si>
    <t>(สัดส่วนคะแนนที่ได้</t>
  </si>
  <si>
    <t>เมื่อเทียบกับคะแนนเต็ม)</t>
  </si>
  <si>
    <t>ถ้าเป็น Function ='RM&amp;PKG'</t>
  </si>
  <si>
    <t>WeightTotal_100 = 100</t>
  </si>
  <si>
    <t>ถ้าไม่ใช่</t>
  </si>
  <si>
    <t xml:space="preserve">SUM(Q.Weight_100) OVER (PARTITION BY F.UniqueID) </t>
  </si>
  <si>
    <t>ถ้า Response มีค่า</t>
  </si>
  <si>
    <t xml:space="preserve">= Q.Weight_100 </t>
  </si>
  <si>
    <t>ถ้า Response NULL</t>
  </si>
  <si>
    <t>= NULL</t>
  </si>
  <si>
    <t>=</t>
  </si>
  <si>
    <t>= SUM(Q.Weight_100) [ตาม 1 FORM 1 การประเมิน]</t>
  </si>
  <si>
    <t>Columns ต่อไปนี้มาจาก VW_FORM_05_CALCULATE_WEIGHT</t>
  </si>
  <si>
    <t>CAST( F.Raw_Score * F.Weight_100_NonNull AS DECIMAL(9,4)) AS Score</t>
  </si>
  <si>
    <t>= CAST(F.Response_Value / Q.Max_Response_Value AS DECIMAL(9,4)) AS Raw_Score *</t>
  </si>
  <si>
    <t xml:space="preserve">= F.Response_Value / Q.Max_Response_Value * Q.Weight_100 </t>
  </si>
  <si>
    <t>Weight ที่ได้เมื่อคิดจากคะแนนประเมิน</t>
  </si>
  <si>
    <t xml:space="preserve">CASE WHEN F.Weight_100_NonNull IS NOT NULL THEN </t>
  </si>
  <si>
    <t xml:space="preserve">SUM(F.Weight_100_NonNull) OVER (PARTITION BY UniqueID) </t>
  </si>
  <si>
    <t>ELSE NULL END AS WeightTotal</t>
  </si>
  <si>
    <t>F.Weight_100_NonNull AS Weight</t>
  </si>
  <si>
    <t>Columns ต่อไปนี้มาจาก FACT_MS_FORM_SCORE</t>
  </si>
  <si>
    <t>F.Raw_Score AS Raw</t>
  </si>
  <si>
    <t>Score AS Score_UniqueID</t>
  </si>
  <si>
    <t>=AO2</t>
  </si>
  <si>
    <t>Weight AS Weight_UniqueID</t>
  </si>
  <si>
    <t>=AP2</t>
  </si>
  <si>
    <t>WeightTotal AS WeightTotal_UniqueID</t>
  </si>
  <si>
    <t xml:space="preserve">SELECT  </t>
  </si>
  <si>
    <t xml:space="preserve">    FROM</t>
  </si>
  <si>
    <t xml:space="preserve">    (</t>
  </si>
  <si>
    <t xml:space="preserve">        SELECT</t>
  </si>
  <si>
    <t xml:space="preserve">       UniqueID,Group_Question,Weight_Source</t>
  </si>
  <si>
    <t xml:space="preserve">        FROM FACT_MS_FORM_SCORE</t>
  </si>
  <si>
    <t xml:space="preserve">        GROUP BY</t>
  </si>
  <si>
    <t xml:space="preserve">    ) A</t>
  </si>
  <si>
    <t xml:space="preserve">    GROUP BY UniqueID</t>
  </si>
  <si>
    <r>
      <t xml:space="preserve">    UniqueID, </t>
    </r>
    <r>
      <rPr>
        <sz val="11"/>
        <color rgb="FFFF0000"/>
        <rFont val="Calibri"/>
        <family val="2"/>
        <scheme val="minor"/>
      </rPr>
      <t>SUM(Weight_Source) AS Weight_UniqueIDQuestionGroup</t>
    </r>
  </si>
  <si>
    <r>
      <t xml:space="preserve">       UniqueID,Group_Question,</t>
    </r>
    <r>
      <rPr>
        <sz val="11"/>
        <color rgb="FFFF0000"/>
        <rFont val="Calibri"/>
        <family val="2"/>
        <scheme val="minor"/>
      </rPr>
      <t>Weight_Source</t>
    </r>
  </si>
  <si>
    <t>QG</t>
  </si>
  <si>
    <t>SUM(F.Weight_UniqueID) OVER (PARTITION BY F.Function_Name,F.Function_SubType,F.Scoring_Group,F.FormYear,F.SharePoint_List,F.Plant,F.Product,F.Vendor_Name,F.Group_Question ) AS Weight_WithInGroup_Question</t>
  </si>
  <si>
    <t>SUM(F.Weight_UniqueID) OVER (PARTITION BY F.Function_Name,F.Function_SubType,F.Scoring_Group,F.FormYear,F.SharePoint_List,F.Plant,F.Product,F.Vendor_Name,F.Pur_Grp/*F.Level1*/,F.Question_Name ) AS Weight_WithInQuestionName</t>
  </si>
  <si>
    <t>COUNT(F.Weight_UniqueID) OVER (PARTITION BY F.Function_Name,F.Function_SubType,F.Scoring_Group,F.FormYear,F.SharePoint_List,F.Plant,F.Product,F.Vendor_Name,F.Pur_Grp/*F.Level1*/,F.Question_Name ) AS Count_WithInQuestionName</t>
  </si>
  <si>
    <t>F.Weight AS Weight_Calc</t>
  </si>
  <si>
    <t>CAST( F.Raw_Score * F.Weight * (100/F.WeightTotal) AS DECIMAL(9,4)) AS Score_Calc</t>
  </si>
  <si>
    <t>* F.Weight</t>
  </si>
  <si>
    <t>CAST( F.Weight * ( F.Weight_Source / F.Weight_WithInGroup_Question )  * ( 100.00 / F.Weight_VendorPlantProduct) AS DECIMAL(9,4)) AS Weight_RM</t>
  </si>
  <si>
    <t>CAST( F.Raw_Score *  F.Weight * ( F.Weight_Source / F.Weight_WithInGroup_Question )  * ( 100.00 / F.Weight_VendorPlantProduct) AS DECIMAL(9,4))  AS Score_RM</t>
  </si>
  <si>
    <t>CAST( F.Weight * ( F.Weight_Source / F.Weight_WithInQuestionName )  * ( 100.00 / F.Weight_Level) AS DECIMAL(9,4)) AS Weight_PCM</t>
  </si>
  <si>
    <t>CAST( F.Raw_Score *  F.Weight * ( F.Weight_Source / F.Weight_WithInQuestionName )  * ( 100.00 / F.Weight_Level) AS DECIMAL(9,4))  AS Score_PCM</t>
  </si>
  <si>
    <t>WHEN F.SumScoreByUniqueID &gt;= 85 THEN 'A'</t>
  </si>
  <si>
    <t>WHEN F.SumScoreByUniqueID &gt;= 68 THEN 'B'</t>
  </si>
  <si>
    <t>WHEN F.SumScoreByUniqueID &gt;= 51 THEN 'C'</t>
  </si>
  <si>
    <t>WHEN F.SumScoreByUniqueID &gt;= 0 THEN 'D'</t>
  </si>
  <si>
    <t xml:space="preserve">ELSE '-' </t>
  </si>
  <si>
    <t>END AS GradeByUniqueID</t>
  </si>
  <si>
    <t xml:space="preserve"> = SUM(Score_Report) OVER (PARTITION BY UniqueID) AS SumScoreByUniqueID</t>
  </si>
  <si>
    <t>WHEN F.SumScoreByVendor &gt;= 85 THEN 'A'</t>
  </si>
  <si>
    <t>WHEN F.SumScoreByVendor &gt;= 68 THEN 'B'</t>
  </si>
  <si>
    <t>WHEN F.SumScoreByVendor &gt;= 51 THEN 'C'</t>
  </si>
  <si>
    <t>WHEN F.SumScoreByVendor &gt;= 0 THEN 'D'</t>
  </si>
  <si>
    <t>END AS GradeByVendor</t>
  </si>
  <si>
    <t>= C.RawVendorScore / C.RawVendorFormCount AS SumScoreByVendor</t>
  </si>
  <si>
    <t>SELECT FormYear,Function_Name, Function_SubType, Vendor_Name, SUM(Score_Report) AS RawVendorScore, COUNT(DISTINCT UniqueID) AS RawVendorFormCount</t>
  </si>
  <si>
    <t>FROM W_FACT</t>
  </si>
  <si>
    <t>GROUP BY FormYear,Function_Name, Function_SubType, Vendor_Name</t>
  </si>
  <si>
    <t>C =</t>
  </si>
  <si>
    <t xml:space="preserve">SELECT FormYear,Function_Name, Function_SubType, Vendor_Name, </t>
  </si>
  <si>
    <t xml:space="preserve">SUM(CASE </t>
  </si>
  <si>
    <t>WHEN Function_Name IN ('RM&amp;PKG')</t>
  </si>
  <si>
    <t>THEN F.Score_RM</t>
  </si>
  <si>
    <t>WHEN Function_Name IN ('Procurement')</t>
  </si>
  <si>
    <t>THEN F.Score_PCM</t>
  </si>
  <si>
    <t xml:space="preserve">ELSE F.Score_Calc END) AS RawVendorScore, </t>
  </si>
  <si>
    <t>COUNT(DISTINCT UniqueID) AS RawVendorFormCount</t>
  </si>
  <si>
    <t>FROM VW_FORM_07_SCORE_FIX F</t>
  </si>
  <si>
    <t>HAVING Function_Name = 'IT'</t>
  </si>
  <si>
    <t>AND FormYear = '2021'</t>
  </si>
  <si>
    <t>AND Vendor_Name = '9000103576 บริษัท คาร์พิเดียม โซลูชั่นส์ จำกัด'</t>
  </si>
  <si>
    <t xml:space="preserve">C = </t>
  </si>
  <si>
    <t>=CF28/CG28</t>
  </si>
  <si>
    <t xml:space="preserve">    CASE</t>
  </si>
  <si>
    <t xml:space="preserve">        WHEN F.SumScoreByVendorLevel &gt;= 85 THEN 'A'</t>
  </si>
  <si>
    <t xml:space="preserve">        WHEN F.SumScoreByVendorLevel &gt;= 68 THEN 'B'</t>
  </si>
  <si>
    <t xml:space="preserve">        WHEN F.SumScoreByVendorLevel &gt;= 51 THEN 'C'</t>
  </si>
  <si>
    <t xml:space="preserve">        WHEN F.SumScoreByVendorLevel &gt;= 0 THEN 'D'</t>
  </si>
  <si>
    <t xml:space="preserve">        ELSE '-' </t>
  </si>
  <si>
    <t xml:space="preserve">    --END </t>
  </si>
  <si>
    <t>END AS GradeByVendorLevel</t>
  </si>
  <si>
    <t>= COALESCE(L.RawVendorLevelFormCount,LP.RawVendorLevelFormCount) AS SumScoreByVendorLevel</t>
  </si>
  <si>
    <t>RM&amp;PKG</t>
  </si>
  <si>
    <t>MS_FORM_RM</t>
  </si>
  <si>
    <t>QA</t>
  </si>
  <si>
    <t>2.1) ส่งสินค้าได้ไม่กระทบกับแผนการผลิต (ผลิตตามแผน และ lead time สั่งสินค้าปกติ)</t>
  </si>
  <si>
    <t>4.1.2)ดำเนินการติดตาม CAR และความสำเร็จในการแก้ไขปัญหา</t>
  </si>
  <si>
    <t>3.2) เครดิตการชำระเงิน</t>
  </si>
  <si>
    <t>4.1.1) ตอบและปิด CAR ภายในเวลาที่กำหนด</t>
  </si>
  <si>
    <t>1.1) สินค้าถูกต้องตรงตามข้อกำหนด (Specification) ที่ตกลงกัน</t>
  </si>
  <si>
    <t>= SUM(Q.WEIGHT) [ตาม Function ปี]</t>
  </si>
  <si>
    <t>WEIGHT_100 = Q.WEIGHT/10</t>
  </si>
  <si>
    <t>1.WEIGHT_SOURCE</t>
  </si>
  <si>
    <t>- เอามาจาก ต้นทางเลย</t>
  </si>
  <si>
    <t>5. VW_FORM_04_WEIGHT</t>
  </si>
  <si>
    <t>2. TOTAL_WEIGHT</t>
  </si>
  <si>
    <t>- ดึงทีละ Form แล้วเอา Weight_source มาบวกกัน</t>
  </si>
  <si>
    <t>3. WEIGHT_100</t>
  </si>
  <si>
    <t>- พยายามทำให้ weight รวมกันเป็น 100 ให้ได้</t>
  </si>
  <si>
    <t>CASE WHEN COALESCE(F.FUNCTION_NAME, Q.FUNCTION_NAME) IN ('RM&amp;PKG')</t>
  </si>
  <si>
    <t>CASE WHEN GROUP_QUESTION = 'Service'</t>
  </si>
  <si>
    <r>
      <t xml:space="preserve">CAST( CAST(Q.WEIGHT AS DECIMAL(9,6)) </t>
    </r>
    <r>
      <rPr>
        <sz val="11"/>
        <color theme="9" tint="-0.249977111117893"/>
        <rFont val="Calibri"/>
        <family val="2"/>
        <scheme val="minor"/>
      </rPr>
      <t>/</t>
    </r>
    <r>
      <rPr>
        <sz val="11"/>
        <color theme="5" tint="-0.249977111117893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CAST(SUM(CAST(Q.WEIGHT AS DECIMAL(9,6))) OVER (PARTITION BY F.SHAREPOINT_LIST,  Q.FORM_NAME, Q.YEAR, F.FUNCTION_NAME, F.FUNCTION_SUBTYPE) AS DECIMAL(9,4))</t>
    </r>
    <r>
      <rPr>
        <sz val="11"/>
        <color theme="1"/>
        <rFont val="Calibri"/>
        <family val="2"/>
        <charset val="222"/>
        <scheme val="minor"/>
      </rPr>
      <t xml:space="preserve"> </t>
    </r>
    <r>
      <rPr>
        <sz val="11"/>
        <color theme="1"/>
        <rFont val="Calibri"/>
        <family val="2"/>
        <scheme val="minor"/>
      </rPr>
      <t>* 100 AS DECIMAL(9,4))</t>
    </r>
  </si>
  <si>
    <r>
      <rPr>
        <b/>
        <sz val="11"/>
        <color theme="1"/>
        <rFont val="Calibri"/>
        <family val="2"/>
        <scheme val="minor"/>
      </rPr>
      <t xml:space="preserve">- ถ้าเป็น RM (Service) </t>
    </r>
    <r>
      <rPr>
        <sz val="11"/>
        <color theme="1"/>
        <rFont val="Calibri"/>
        <family val="2"/>
        <charset val="222"/>
        <scheme val="minor"/>
      </rPr>
      <t>: WEIGHT_100 = Q.WEIGHT/10</t>
    </r>
  </si>
  <si>
    <r>
      <rPr>
        <b/>
        <sz val="11"/>
        <color theme="1"/>
        <rFont val="Calibri"/>
        <family val="2"/>
        <scheme val="minor"/>
      </rPr>
      <t>- ถ้าเป็น RM (ไม่ใช่ Service)</t>
    </r>
    <r>
      <rPr>
        <sz val="11"/>
        <color theme="1"/>
        <rFont val="Calibri"/>
        <family val="2"/>
        <charset val="222"/>
        <scheme val="minor"/>
      </rPr>
      <t xml:space="preserve"> : WEIGHT_100 = Q.WEIGHT/COUNT(Q.QUESTION) [ตาม Function ปี]</t>
    </r>
  </si>
  <si>
    <r>
      <rPr>
        <b/>
        <sz val="11"/>
        <color rgb="FFFF0000"/>
        <rFont val="Calibri"/>
        <family val="2"/>
        <scheme val="minor"/>
      </rPr>
      <t xml:space="preserve">- ถ้าไม่ใช่ RM : </t>
    </r>
    <r>
      <rPr>
        <sz val="11"/>
        <rFont val="Calibri"/>
        <family val="2"/>
        <scheme val="minor"/>
      </rPr>
      <t>WEIGHT_100</t>
    </r>
    <r>
      <rPr>
        <sz val="11"/>
        <color theme="1"/>
        <rFont val="Calibri"/>
        <family val="2"/>
        <charset val="222"/>
        <scheme val="minor"/>
      </rPr>
      <t xml:space="preserve"> = Q.WEIGHT/TOTAL_WEIGHT * 100</t>
    </r>
  </si>
  <si>
    <t>1.2) จำนวน CAR ที่ออกทางด้านคุณภาพ</t>
  </si>
  <si>
    <t>1.3) COA ถูกต้องและครบถ้วน</t>
  </si>
  <si>
    <t>2.2) ส่งสินค้าตรงตามที่กำหนด (ไม่กระทบกับการทำงาน)</t>
  </si>
  <si>
    <t>2.3) ส่งสินค้าได้ครบตามจำนวนและชนิดที่สั่ง</t>
  </si>
  <si>
    <t>2.4) ความสะอาดของ package และรถ ความสมบูรณ์  package ภายนอกของสินค้า</t>
  </si>
  <si>
    <t xml:space="preserve">2.5) มีเอกสาร เช่น 1. PO หรือ JIT, COA ครบถ้วน  / 2.ใบส่งของหรือ invoice ถูกและครบถ้วน  </t>
  </si>
  <si>
    <t>2.6) ปฏิบัติตามกฏของบุคคลภายนอกที่เข้ามาปฏิบัติงานในโรงงาน</t>
  </si>
  <si>
    <t>3.1) ราคาแข่งขันได้เมื่อเปรียบเทียบกับ vendor  ที่ขายวัตถุดิบประเภทเดียวกัน</t>
  </si>
  <si>
    <t>4.2.1 /4.3.1)สามารถติดต่อ และติดตามงานกับเจ้าหน้าที่ของบริษัทได้</t>
  </si>
  <si>
    <t>4.2.2 /4.3.2) ให้ความช่วยเหลือหรือข้อแนะนำใน ด้านข้อมูล ด้านเทคนิคต่าง ๆ หรือการแก้ไขปัญหา</t>
  </si>
  <si>
    <t>4.3.3) มีทีมงานที่มีความเชี่ยวชาญสนับสนุนด้านเทคนิค (Specialist) สามารถให้คำแนะนำทางด้านเทคนิค การให้ความรู้ด้านบรรจุภัณฑ์</t>
  </si>
  <si>
    <t>4.3.4) สามารถจัดทำ Artwork และตัวอย่างบรรจุภัณฑ์สำหรับสินค้าใหม่ได้อย่างรวดเร็วและถูกต้อง</t>
  </si>
  <si>
    <t>5.1)จำนวน CAR ที่ออกด้านความปลอดภัยของอาหาร (Food Safty) ของวัตุดิบและบรรจุภัณฑ์ที่ส่งมอบ</t>
  </si>
  <si>
    <t>แบบประเมินคุณภาพการส่งมอบสินค้า/บริการ RAW MATERIAL &amp; PKG</t>
  </si>
  <si>
    <t>Food Safety</t>
  </si>
  <si>
    <t>2.5) มีเอกสาร เช่น 1. PO หรือ JIT, COA ครบถ้วน  / 2.ใบส่งของหรือ invoice ถูกและครบถ้วน</t>
  </si>
  <si>
    <t>MS_FORM_AGILE_0006</t>
  </si>
  <si>
    <t>AGILE</t>
  </si>
  <si>
    <t>MS_FORM_AGILE</t>
  </si>
  <si>
    <t>aunchala.ke@thainamthip.co.th</t>
  </si>
  <si>
    <t>Office Supply</t>
  </si>
  <si>
    <t>9000100857 บริษัท สินสยาม พลัส จำกัด</t>
  </si>
  <si>
    <t>test4</t>
  </si>
  <si>
    <t>1.1 ชิ้นงานหรือตัวสินค้าตรงตามความต้องการ</t>
  </si>
  <si>
    <t>4.2 ให้บริการหลังการขาย/ติดตาม/แก้ไขปัญหาเป็นอย่างดี และรวดเร็ว</t>
  </si>
  <si>
    <t>2.1 การขนส่งสินค้าได้ตามวันและเวลาตามข้อตกลง</t>
  </si>
  <si>
    <t>1.3 ชิ้นงานบรรจุตามจำนวนที่กำหนด</t>
  </si>
  <si>
    <t>4.3 ความรวดเร็วในการช่วยแก้ปัญหา</t>
  </si>
  <si>
    <t>1.2 ผลิตภัณฑ์ได้มาตรฐานและมีคุณภาพ</t>
  </si>
  <si>
    <t>4.1 มีการให้ข้อมูลได้ถูกต้องตามความต้องการ</t>
  </si>
  <si>
    <t>2.2 ความถูกต้องของจำนวนสินค้าตรงตามเอกสารส่งมอบสินค้า</t>
  </si>
  <si>
    <t>2.3 ความเรียบร้อยของผลิตภัณฑ์/บรรจุภัณฑ์ระหว่างการขนส่ง</t>
  </si>
  <si>
    <t>3.1 ราคาซื้อเมื่อเปรียบเทียบกับงบประมาณที่แจ้งมา</t>
  </si>
  <si>
    <t>1.00 x 10.00 x  Weight (100.00/70.00)</t>
  </si>
  <si>
    <t>1.00 x 15.00 x  Weight (100.00/70.00)</t>
  </si>
  <si>
    <t>1.00 x 5.00 x  Weight (100.00/70.00)</t>
  </si>
  <si>
    <t>AGILE__9000100857 บริษัท สินสยาม พลัส จำกัด_Office Supply__1999_1</t>
  </si>
  <si>
    <t>Q09</t>
  </si>
  <si>
    <t>test4test4test4test4test4test4test4</t>
  </si>
  <si>
    <t>S09</t>
  </si>
  <si>
    <t>AGILE__AGILE_9000100857 บริษัท สินสยาม พลัส จำกัด_Office Supply__1999</t>
  </si>
  <si>
    <t>(4/4 ได้  1.00 คะแนน ) * ( น้ำหนัก 10.00 ) = 10.0000</t>
  </si>
  <si>
    <t>Q17</t>
  </si>
  <si>
    <t>(4/4 ได้  1.00 คะแนน ) * ( น้ำหนัก 15.00 คำนวณมาจาก 15/1 )  = 15.0000</t>
  </si>
  <si>
    <t>(3/4 ได้  0.75 คะแนน ) * ( น้ำหนัก 10.00 คำนวณมาจาก 30/3 )  = 7.5000</t>
  </si>
  <si>
    <t>(4/4 ได้  1.00 คะแนน ) * ( น้ำหนัก 10.00 คำนวณมาจาก 30/3 )  = 10.0000</t>
  </si>
  <si>
    <t>Q11</t>
  </si>
  <si>
    <t>Q12</t>
  </si>
  <si>
    <t>(3/4 ได้  0.75 คะแนน ) * ( น้ำหนัก 1.50 คำนวณมาจาก 15/10 )  = 1.1250</t>
  </si>
  <si>
    <t>0.75 x 1.50 x  Weight (100.00/48.00)</t>
  </si>
  <si>
    <t>D</t>
  </si>
  <si>
    <t>0.75 x 10.00 x  Weight (100.00/48.00)</t>
  </si>
  <si>
    <t>0.75 x 10.00 x  WithinGroup (30.00/60.00) x Weight (100.00/100.00)</t>
  </si>
  <si>
    <t>1.00 x 10.00 x  Weight (100.00/48.00)</t>
  </si>
  <si>
    <t>1.00 x 10.00 x  WithinGroup (30.00/60.00) x Weight (100.00/100.00)</t>
  </si>
  <si>
    <t>1.00 x 15.00 x  Weight (100.00/48.00)</t>
  </si>
  <si>
    <t>1.00 x 15.00 x  WithinGroup (15.00/30.00) x Weight (100.00/100.00)</t>
  </si>
  <si>
    <t>=M2/L2*100</t>
  </si>
  <si>
    <t>=AA2/AD2</t>
  </si>
  <si>
    <t>=AJ2</t>
  </si>
  <si>
    <t>=SUM(AJ2:AJ8)</t>
  </si>
  <si>
    <t>=AE2*AL2</t>
  </si>
  <si>
    <t>=AA2/AD2*AJ2</t>
  </si>
  <si>
    <t>=AL2</t>
  </si>
  <si>
    <t>=AE2</t>
  </si>
  <si>
    <t>=AN2</t>
  </si>
  <si>
    <t>=AE2 * AO2 * (100/AP2)</t>
  </si>
  <si>
    <t>=SUM(AL2:AL8) ซึ่ง = A</t>
  </si>
  <si>
    <t>Description</t>
  </si>
  <si>
    <t>Link</t>
  </si>
  <si>
    <t>Recommend</t>
  </si>
  <si>
    <r>
      <t xml:space="preserve">Excel to acess </t>
    </r>
    <r>
      <rPr>
        <sz val="11"/>
        <color rgb="FFFF0000"/>
        <rFont val="Calibri"/>
        <family val="2"/>
        <scheme val="minor"/>
      </rPr>
      <t>MS Form (Evaluation)</t>
    </r>
  </si>
  <si>
    <t>Vendor Evaluation additional requirement.xlsx</t>
  </si>
  <si>
    <t>Explorer</t>
  </si>
  <si>
    <t>MS Form (Dev)</t>
  </si>
  <si>
    <t>Sharepoint List</t>
  </si>
  <si>
    <t>https://thainamthip2.sharepoint.com/sites/ProcurementMicrosoftform</t>
  </si>
  <si>
    <t>Firefox</t>
  </si>
  <si>
    <t>Power Automate</t>
  </si>
  <si>
    <t>https://make.powerautomate.com/environments/Default-50243939-22a9-47e3-918e-86b746997bec/flows</t>
  </si>
  <si>
    <t>FireFox</t>
  </si>
  <si>
    <t>MS_FORM_RM_4897</t>
  </si>
  <si>
    <t>Chariya.Ph@thainamthip.co.th</t>
  </si>
  <si>
    <t>CROWN</t>
  </si>
  <si>
    <t>ขอนแก่น</t>
  </si>
  <si>
    <t>9000100373  บริษัท คราวน์ เบ็บแคน แอนด์โคลสเซอร์ส (ประเทศไทย) จำกัด</t>
  </si>
  <si>
    <t>-</t>
  </si>
  <si>
    <t>9000100373 บริษัท คราวน์ เบ็บแคน แอนด์โคลสเซอร์ส (ประเทศไทย) จำกัด</t>
  </si>
  <si>
    <t>0.75 x 1.50 x  WithinGroup (15.00/27.00) x Weight (100.00/100.00)</t>
  </si>
  <si>
    <t>1.00 x 1.50 x  Weight (100.00/48.00)</t>
  </si>
  <si>
    <t>1.00 x 1.50 x  WithinGroup (15.00/27.00) x Weight (100.00/100.00)</t>
  </si>
  <si>
    <t>RM&amp;PKG__RM&amp;PKG_9000100373 บริษัท คราวน์ เบ็บแคน แอนด์โคลสเซอร์ส (ประเทศไทย) จำกัด_CROWN__2024</t>
  </si>
  <si>
    <t>RM&amp;PKG__9000100373 บริษัท คราวน์ เบ็บแคน แอนด์โคลสเซอร์ส (ประเทศไทย) จำกัด_CROWN_ขอนแก่น_2024_1</t>
  </si>
  <si>
    <t>9000100373 บริษัท คราวน์ เบ็บแคน แอนด์โคลสเซอร์ส (ประเทศไทย) จำกัด_ขอนแก่น_CROWN__1</t>
  </si>
  <si>
    <t>(4/4 ได้  1.00 คะแนน ) * ( น้ำหนัก 1.50 คำนวณมาจาก 15/10 )  = 1.5000</t>
  </si>
  <si>
    <t>Q18</t>
  </si>
  <si>
    <t>Q08</t>
  </si>
  <si>
    <t>Q10</t>
  </si>
  <si>
    <t>Q13</t>
  </si>
  <si>
    <t>Q14(PACKAGING)</t>
  </si>
  <si>
    <t>4.2.2 /4.3.2) ให้ความช่วยเหลือหรือข้อแนะนำใน ด้านข้อมูล ด้านเทคนิคต่าง ๆ หรือการแก้ไขปัญหา(PACKAGING)</t>
  </si>
  <si>
    <t>Q14(PURCHASING)</t>
  </si>
  <si>
    <t>4.2.2 /4.3.2) ให้ความช่วยเหลือหรือข้อแนะนำใน ด้านข้อมูล ด้านเทคนิคต่าง ๆ หรือการแก้ไขปัญหา(PURCHASING)</t>
  </si>
  <si>
    <t>Q14(STORE)</t>
  </si>
  <si>
    <t>4.2.2 /4.3.2) ให้ความช่วยเหลือหรือข้อแนะนำใน ด้านข้อมูล ด้านเทคนิคต่าง ๆ หรือการแก้ไขปัญหา(STORE)</t>
  </si>
  <si>
    <t>Q15(PACKAGING)</t>
  </si>
  <si>
    <t>4.3.3) มีทีมงานที่มีความเชี่ยวชาญสนับสนุนด้านเทคนิค (Specialist) สามารถให้คำแนะนำทางด้านเทคนิค การให้ความรู้ด้านบรรจุภัณฑ์(PACKAGING)</t>
  </si>
  <si>
    <t>Q16</t>
  </si>
  <si>
    <t>S18</t>
  </si>
  <si>
    <t>S08</t>
  </si>
  <si>
    <t>S10</t>
  </si>
  <si>
    <t>S11</t>
  </si>
  <si>
    <t>S12</t>
  </si>
  <si>
    <t>S13</t>
  </si>
  <si>
    <t>S14(PACKAGING)</t>
  </si>
  <si>
    <t>S14(PURCHASING)</t>
  </si>
  <si>
    <t>S14(STORE)</t>
  </si>
  <si>
    <t>S15(PACKAGING)</t>
  </si>
  <si>
    <t>S16</t>
  </si>
  <si>
    <t>S17</t>
  </si>
  <si>
    <t>ถ้า ได้คะแนนเต็มทุกข้อ</t>
  </si>
  <si>
    <t xml:space="preserve">ELSE F.Score_Calc END </t>
  </si>
  <si>
    <t>AS Score_Report</t>
  </si>
  <si>
    <t>CAST( Raw_Score * Weight_Calc * ( Weight_Proportion / Weight_Source ) AS DECIMAL(9,4)) AS Score</t>
  </si>
  <si>
    <t>แบบประเมินคุณภาพการส่งมอบสินค้า/บริการ (Agile)</t>
  </si>
  <si>
    <t>Agile</t>
  </si>
  <si>
    <t>สร้างข้อมูล RM -&gt; 2 Rec</t>
  </si>
  <si>
    <t>IT__9000102970 บริษัท โอจีเอ อินเตอร์เนชั่นแนล จำก_IT__2022_1</t>
  </si>
  <si>
    <t>MS_FORM_IT_0270</t>
  </si>
  <si>
    <t>Vichuda.Ch@thainamthip.co.th</t>
  </si>
  <si>
    <t>HARDWARE</t>
  </si>
  <si>
    <t>9000102970 บริษัท โอจีเอ อินเตอร์เนชั่นแนล จำก</t>
  </si>
  <si>
    <t>MS_FORM_IT_0283</t>
  </si>
  <si>
    <t>Chayapol.Ka@thainamthip.co.th</t>
  </si>
  <si>
    <t>ทำงานดีมาก มี Service ล่าช้าบ้างเล็กน้อย</t>
  </si>
  <si>
    <t>ทำงานดีมาก มี Service ล่าช้าบ้างเล็กน้อยทำงานดีมาก มี Service ล่าช้าบ้างเล็กน้อยทำงานดีมาก มี Service ล่าช้าบ้างเล็กน้อยทำงานดีมาก มี Service ล่าช้าบ้างเล็กน้อยทำงานดีมาก มี Service ล่าช้าบ้างเล็กน้อยทำงานดีมาก มี Service ล่าช้าบ้างเล็กน้อยทำงานดีมาก มี Service ล่าช้าบ้างเล็กน้อย</t>
  </si>
  <si>
    <t>ScoreA</t>
  </si>
  <si>
    <t>ScoreB</t>
  </si>
  <si>
    <t>Vendor ก</t>
  </si>
  <si>
    <t>LEVEL1</t>
  </si>
  <si>
    <t>LEVEL2</t>
  </si>
  <si>
    <t>WEIGHT</t>
  </si>
  <si>
    <t>FORM_NAME</t>
  </si>
  <si>
    <t>QUESTION</t>
  </si>
  <si>
    <t>QUESTION_DISPLAY</t>
  </si>
  <si>
    <t>1.2) มีเกณฑ์มาตรฐานด้านคุณภาพที่สม่ำเสมอ</t>
  </si>
  <si>
    <t>1.3) จำนวน CAR ที่ออกทางด้านคุณภาพ</t>
  </si>
  <si>
    <t>2.1) ส่งสินค้าตรงตามเวลา</t>
  </si>
  <si>
    <t>2.2) ส่งสินค้าได้ครบตามจำนวนและชนิดที่สั่ง</t>
  </si>
  <si>
    <t>2.3) ความสะอาดของ package และรถ ความสมบูรณ์ package ภายนอกของสินค้า</t>
  </si>
  <si>
    <t>2.4) มีเอกสาร เช่น ใบส่งของ/ PO / JIT/invoice ถูกต้องครบถ้วน / COA</t>
  </si>
  <si>
    <t>2.5) ปฏิบัติตามกฏของบุคคลภายนอกที่เข้ามาปฏิบัติงานในโรงงาน</t>
  </si>
  <si>
    <t>3.1) ราคาแข่งขันได้เมื่อเปรียบเทียบกับ vendor ที่ขายวัตถุดิบประเภทเดียวกัน</t>
  </si>
  <si>
    <t>4.2.1 สามารถติดต่อ และติดตามงานกับเจ้าหน้าที่ของบริษัทได้</t>
  </si>
  <si>
    <t>4.2.2 ให้ความช่วยเหลือหรือข้อแนะนำใน ด้านข้อมูล ด้านเทคนิคต่าง ๆ หรือการแก้ไขปัญหา</t>
  </si>
  <si>
    <t>4.3.1) มีทีมงานที่มีความเชี่ยวชาญสนับสนุนด้านเทคนิค (Specialist) สามารถให้คำแนะนำทางด้านเทคนิค การให้ความรู้ด้านบรรจุภัณฑ์</t>
  </si>
  <si>
    <t>4.3.2) สามารถจัดทำ Artwork และตัวอย่างบรรจุภัณฑ์สำหรับสินค้าใหม่ได้อย่างรวดเร็วและถูกต้อง</t>
  </si>
  <si>
    <t>5.1)จำนวน CAR ที่ออกด้านความปลอดภัยของอาหาร (Food Safety) ของวัตุดิบและบรรจุภัณฑ์ที่ส่งมอบ</t>
  </si>
  <si>
    <t>1.4) COA ถูกต้องและครบถ้วน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</si>
</sst>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14" x14ac:knownFonts="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3.5"/>
      <color rgb="FF000000"/>
      <name val="-Webkit-Standard"/>
      <family val="18"/>
    </font>
    <font>
      <u/>
      <sz val="11"/>
      <color theme="10"/>
      <name val="Calibri"/>
      <family val="2"/>
      <charset val="22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8">
    <xf numFmtId="0" fontId="0" fillId="0" borderId="0" xfId="0"/>
    <xf numFmtId="22" fontId="0" fillId="0" borderId="0" xfId="0" applyNumberFormat="1"/>
    <xf numFmtId="0" fontId="0" fillId="2" borderId="0" xfId="0" applyFill="1"/>
    <xf numFmtId="164" fontId="0" fillId="0" borderId="0" xfId="0" applyNumberFormat="1"/>
    <xf numFmtId="0" fontId="0" fillId="3" borderId="0" xfId="0" applyFill="1"/>
    <xf numFmtId="0" fontId="0" fillId="4" borderId="0" xfId="0" applyFill="1"/>
    <xf numFmtId="0" fontId="5" fillId="0" borderId="0" xfId="0" applyFont="1"/>
    <xf numFmtId="0" fontId="0" fillId="0" borderId="0" xfId="0" quotePrefix="1"/>
    <xf numFmtId="0" fontId="0" fillId="5" borderId="0" xfId="0" applyFill="1"/>
    <xf numFmtId="0" fontId="0" fillId="6" borderId="0" xfId="0" applyFill="1"/>
    <xf numFmtId="0" fontId="6" fillId="7" borderId="0" xfId="0" applyFont="1" applyFill="1"/>
    <xf numFmtId="0" fontId="2" fillId="0" borderId="0" xfId="0" applyFont="1"/>
    <xf numFmtId="0" fontId="7" fillId="0" borderId="0" xfId="0" applyFont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3" fillId="17" borderId="0" xfId="0" applyFont="1" applyFill="1"/>
    <xf numFmtId="0" fontId="3" fillId="18" borderId="0" xfId="0" applyFont="1" applyFill="1"/>
    <xf numFmtId="0" fontId="0" fillId="0" borderId="0" xfId="0" applyFill="1"/>
    <xf numFmtId="0" fontId="0" fillId="0" borderId="0" xfId="0" applyFont="1" applyFill="1"/>
    <xf numFmtId="0" fontId="0" fillId="19" borderId="0" xfId="0" applyFill="1"/>
    <xf numFmtId="0" fontId="0" fillId="0" borderId="0" xfId="0" applyAlignment="1">
      <alignment vertical="top"/>
    </xf>
    <xf numFmtId="0" fontId="0" fillId="0" borderId="0" xfId="0" applyAlignment="1">
      <alignment horizontal="left" vertical="top" indent="1"/>
    </xf>
    <xf numFmtId="0" fontId="5" fillId="3" borderId="0" xfId="0" applyFont="1" applyFill="1" applyAlignment="1">
      <alignment vertical="top"/>
    </xf>
    <xf numFmtId="0" fontId="0" fillId="0" borderId="0" xfId="0" quotePrefix="1" applyAlignment="1">
      <alignment horizontal="left" vertical="top" indent="2"/>
    </xf>
    <xf numFmtId="0" fontId="0" fillId="0" borderId="0" xfId="0" applyAlignment="1">
      <alignment horizontal="left" vertical="top" indent="3"/>
    </xf>
    <xf numFmtId="0" fontId="7" fillId="0" borderId="0" xfId="0" applyFont="1" applyAlignment="1">
      <alignment horizontal="left" indent="3"/>
    </xf>
    <xf numFmtId="0" fontId="0" fillId="0" borderId="0" xfId="0" applyAlignment="1">
      <alignment horizontal="left" indent="3"/>
    </xf>
    <xf numFmtId="0" fontId="0" fillId="0" borderId="0" xfId="0" quotePrefix="1" applyAlignment="1">
      <alignment horizontal="left" indent="3"/>
    </xf>
    <xf numFmtId="0" fontId="2" fillId="0" borderId="0" xfId="0" applyFont="1" applyAlignment="1">
      <alignment horizontal="left" indent="3"/>
    </xf>
    <xf numFmtId="0" fontId="0" fillId="0" borderId="0" xfId="0" quotePrefix="1" applyAlignment="1">
      <alignment horizontal="left" vertical="top"/>
    </xf>
    <xf numFmtId="0" fontId="5" fillId="5" borderId="0" xfId="0" applyFont="1" applyFill="1"/>
    <xf numFmtId="0" fontId="7" fillId="13" borderId="0" xfId="0" applyFont="1" applyFill="1"/>
    <xf numFmtId="0" fontId="0" fillId="20" borderId="0" xfId="0" applyFill="1"/>
    <xf numFmtId="0" fontId="12" fillId="0" borderId="0" xfId="0" applyFont="1" applyAlignment="1"/>
    <xf numFmtId="0" fontId="13" fillId="0" borderId="0" xfId="1"/>
    <xf numFmtId="164" fontId="0" fillId="0" borderId="0" xfId="0" applyNumberFormat="1" applyFill="1"/>
    <xf numFmtId="47" fontId="0" fillId="0" borderId="0" xfId="0" applyNumberFormat="1" applyFill="1"/>
    <xf numFmtId="0" fontId="0" fillId="21" borderId="0" xfId="0" applyFill="1"/>
    <xf numFmtId="0" fontId="0" fillId="0" borderId="0" xfId="0" applyAlignment="1">
      <alignment horizontal="left" indent="1"/>
    </xf>
    <xf numFmtId="47" fontId="0" fillId="0" borderId="0" xfId="0" applyNumberFormat="1"/>
    <xf numFmtId="47" fontId="0" fillId="3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ke.powerautomate.com/environments/Default-50243939-22a9-47e3-918e-86b746997bec/flows" TargetMode="External"/><Relationship Id="rId2" Type="http://schemas.openxmlformats.org/officeDocument/2006/relationships/hyperlink" Target="https://thainamthip2.sharepoint.com/sites/ProcurementMicrosoftform" TargetMode="External"/><Relationship Id="rId1" Type="http://schemas.openxmlformats.org/officeDocument/2006/relationships/hyperlink" Target="https://thainamthip2.sharepoint.com/:x:/r/BI/_layouts/15/doc2.aspx?sourcedoc=%7B8935C262-AF0F-4F4C-A1F2-83352D8470E7%7D&amp;file=Vendor%20Evaluation%20additional%20requirement.xlsx&amp;action=default&amp;mobileredirect=true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BDE4-B0BB-4920-BEAB-1BA320E0CCE4}">
  <sheetPr>
    <tabColor theme="1"/>
  </sheetPr>
  <dimension ref="A1:D9"/>
  <sheetViews>
    <sheetView zoomScale="160" zoomScaleNormal="160" workbookViewId="0">
      <selection activeCell="B3" sqref="B3"/>
    </sheetView>
  </sheetViews>
  <sheetFormatPr defaultRowHeight="15" x14ac:dyDescent="0.2"/>
  <cols>
    <col min="2" max="2" width="30.53515625" bestFit="1" customWidth="1"/>
    <col min="3" max="3" width="57.44140625" bestFit="1" customWidth="1"/>
    <col min="4" max="4" width="10.76171875" bestFit="1" customWidth="1"/>
  </cols>
  <sheetData>
    <row r="1" spans="1:4" x14ac:dyDescent="0.2">
      <c r="A1" t="s">
        <v>40</v>
      </c>
      <c r="B1" t="s">
        <v>430</v>
      </c>
      <c r="C1" t="s">
        <v>431</v>
      </c>
      <c r="D1" t="s">
        <v>432</v>
      </c>
    </row>
    <row r="2" spans="1:4" x14ac:dyDescent="0.2">
      <c r="A2">
        <v>1</v>
      </c>
      <c r="B2" t="s">
        <v>436</v>
      </c>
    </row>
    <row r="3" spans="1:4" x14ac:dyDescent="0.2">
      <c r="A3">
        <v>2</v>
      </c>
      <c r="B3" t="s">
        <v>433</v>
      </c>
      <c r="C3" s="41" t="s">
        <v>434</v>
      </c>
      <c r="D3" t="s">
        <v>435</v>
      </c>
    </row>
    <row r="4" spans="1:4" x14ac:dyDescent="0.2">
      <c r="A4">
        <v>3</v>
      </c>
      <c r="B4" t="s">
        <v>437</v>
      </c>
      <c r="C4" s="41" t="s">
        <v>438</v>
      </c>
      <c r="D4" t="s">
        <v>439</v>
      </c>
    </row>
    <row r="5" spans="1:4" x14ac:dyDescent="0.2">
      <c r="A5">
        <v>4</v>
      </c>
      <c r="B5" t="s">
        <v>440</v>
      </c>
      <c r="C5" s="41" t="s">
        <v>441</v>
      </c>
      <c r="D5" t="s">
        <v>442</v>
      </c>
    </row>
    <row r="9" spans="1:4" x14ac:dyDescent="0.2">
      <c r="B9" t="s">
        <v>488</v>
      </c>
    </row>
  </sheetData>
  <hyperlinks>
    <hyperlink ref="C3" r:id="rId1" display="https://thainamthip2.sharepoint.com/:x:/r/BI/_layouts/15/doc2.aspx?sourcedoc=%7B8935C262-AF0F-4F4C-A1F2-83352D8470E7%7D&amp;file=Vendor%20Evaluation%20additional%20requirement.xlsx&amp;action=default&amp;mobileredirect=true" xr:uid="{701E54B8-BCD8-45D7-9378-75FD13A6F094}"/>
    <hyperlink ref="C4" r:id="rId2" xr:uid="{B75FAC74-C8BD-47AB-8294-BA572153B46A}"/>
    <hyperlink ref="C5" r:id="rId3" xr:uid="{B95418E2-BF15-43BF-BF1D-A68B058445F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FABDA-4059-4BAA-A843-3DAD9BE436F1}">
  <sheetPr filterMode="1"/>
  <dimension ref="A1:AC118"/>
  <sheetViews>
    <sheetView topLeftCell="M68" zoomScale="70" zoomScaleNormal="70" workbookViewId="0">
      <selection activeCell="N118" sqref="N118"/>
    </sheetView>
  </sheetViews>
  <sheetFormatPr defaultRowHeight="15" x14ac:dyDescent="0.2"/>
  <cols>
    <col min="14" max="14" width="101.5625" bestFit="1" customWidth="1"/>
  </cols>
  <sheetData>
    <row r="1" spans="1:29" x14ac:dyDescent="0.2">
      <c r="A1" t="s">
        <v>135</v>
      </c>
      <c r="B1" t="s">
        <v>102</v>
      </c>
      <c r="C1" t="s">
        <v>2</v>
      </c>
      <c r="D1" t="s">
        <v>3</v>
      </c>
      <c r="E1" t="s">
        <v>0</v>
      </c>
      <c r="F1" t="s">
        <v>1</v>
      </c>
      <c r="G1" t="s">
        <v>41</v>
      </c>
      <c r="H1" t="s">
        <v>4</v>
      </c>
      <c r="I1" t="s">
        <v>5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16</v>
      </c>
      <c r="P1" t="s">
        <v>14</v>
      </c>
      <c r="Q1" t="s">
        <v>15</v>
      </c>
      <c r="R1" t="s">
        <v>103</v>
      </c>
      <c r="S1" t="s">
        <v>21</v>
      </c>
      <c r="T1" t="s">
        <v>67</v>
      </c>
      <c r="U1" t="s">
        <v>104</v>
      </c>
      <c r="V1" t="s">
        <v>136</v>
      </c>
      <c r="W1" t="s">
        <v>23</v>
      </c>
      <c r="X1" t="s">
        <v>137</v>
      </c>
      <c r="Y1" t="s">
        <v>25</v>
      </c>
      <c r="Z1" t="s">
        <v>44</v>
      </c>
      <c r="AA1" t="s">
        <v>68</v>
      </c>
      <c r="AB1" t="s">
        <v>87</v>
      </c>
      <c r="AC1" t="s">
        <v>127</v>
      </c>
    </row>
    <row r="2" spans="1:29" hidden="1" x14ac:dyDescent="0.2">
      <c r="A2" t="s">
        <v>138</v>
      </c>
      <c r="B2" t="s">
        <v>489</v>
      </c>
      <c r="C2" t="s">
        <v>490</v>
      </c>
      <c r="D2">
        <v>2022</v>
      </c>
      <c r="E2" t="s">
        <v>26</v>
      </c>
      <c r="G2" t="s">
        <v>26</v>
      </c>
      <c r="H2">
        <v>1</v>
      </c>
      <c r="I2" t="s">
        <v>28</v>
      </c>
      <c r="J2" s="1">
        <v>44804.43172453704</v>
      </c>
      <c r="K2" t="s">
        <v>491</v>
      </c>
      <c r="L2" t="s">
        <v>26</v>
      </c>
      <c r="M2" t="s">
        <v>492</v>
      </c>
      <c r="O2" t="s">
        <v>493</v>
      </c>
      <c r="Q2" t="s">
        <v>31</v>
      </c>
      <c r="S2" t="s">
        <v>31</v>
      </c>
      <c r="T2" t="s">
        <v>64</v>
      </c>
      <c r="U2" t="s">
        <v>121</v>
      </c>
      <c r="V2" t="s">
        <v>121</v>
      </c>
      <c r="W2" t="s">
        <v>36</v>
      </c>
      <c r="X2">
        <v>3</v>
      </c>
      <c r="Y2">
        <v>3</v>
      </c>
      <c r="Z2">
        <v>4</v>
      </c>
      <c r="AA2">
        <v>5</v>
      </c>
      <c r="AB2">
        <v>5</v>
      </c>
      <c r="AC2">
        <v>5</v>
      </c>
    </row>
    <row r="3" spans="1:29" hidden="1" x14ac:dyDescent="0.2">
      <c r="A3" t="s">
        <v>138</v>
      </c>
      <c r="B3" t="s">
        <v>489</v>
      </c>
      <c r="C3" t="s">
        <v>490</v>
      </c>
      <c r="D3">
        <v>2022</v>
      </c>
      <c r="E3" t="s">
        <v>26</v>
      </c>
      <c r="G3" t="s">
        <v>26</v>
      </c>
      <c r="H3">
        <v>1</v>
      </c>
      <c r="I3" t="s">
        <v>28</v>
      </c>
      <c r="J3" s="1">
        <v>44804.43172453704</v>
      </c>
      <c r="K3" t="s">
        <v>491</v>
      </c>
      <c r="L3" t="s">
        <v>26</v>
      </c>
      <c r="M3" t="s">
        <v>492</v>
      </c>
      <c r="O3" t="s">
        <v>493</v>
      </c>
      <c r="Q3" t="s">
        <v>31</v>
      </c>
      <c r="S3" t="s">
        <v>31</v>
      </c>
      <c r="T3" t="s">
        <v>61</v>
      </c>
      <c r="U3" t="s">
        <v>117</v>
      </c>
      <c r="V3" t="s">
        <v>117</v>
      </c>
      <c r="W3" t="s">
        <v>33</v>
      </c>
      <c r="X3">
        <v>3</v>
      </c>
      <c r="Y3">
        <v>3</v>
      </c>
      <c r="Z3">
        <v>4</v>
      </c>
      <c r="AA3">
        <v>15</v>
      </c>
      <c r="AB3">
        <v>15</v>
      </c>
      <c r="AC3">
        <v>15</v>
      </c>
    </row>
    <row r="4" spans="1:29" hidden="1" x14ac:dyDescent="0.2">
      <c r="A4" t="s">
        <v>138</v>
      </c>
      <c r="B4" t="s">
        <v>489</v>
      </c>
      <c r="C4" t="s">
        <v>490</v>
      </c>
      <c r="D4">
        <v>2022</v>
      </c>
      <c r="E4" t="s">
        <v>26</v>
      </c>
      <c r="G4" t="s">
        <v>26</v>
      </c>
      <c r="H4">
        <v>1</v>
      </c>
      <c r="I4" t="s">
        <v>28</v>
      </c>
      <c r="J4" s="1">
        <v>44804.43172453704</v>
      </c>
      <c r="K4" t="s">
        <v>491</v>
      </c>
      <c r="L4" t="s">
        <v>26</v>
      </c>
      <c r="M4" t="s">
        <v>492</v>
      </c>
      <c r="O4" t="s">
        <v>493</v>
      </c>
      <c r="Q4" t="s">
        <v>31</v>
      </c>
      <c r="S4" t="s">
        <v>31</v>
      </c>
      <c r="T4" t="s">
        <v>63</v>
      </c>
      <c r="U4" t="s">
        <v>122</v>
      </c>
      <c r="V4" t="s">
        <v>122</v>
      </c>
      <c r="W4" t="s">
        <v>35</v>
      </c>
      <c r="X4">
        <v>3</v>
      </c>
      <c r="Y4">
        <v>3</v>
      </c>
      <c r="Z4">
        <v>4</v>
      </c>
      <c r="AA4">
        <v>30</v>
      </c>
      <c r="AB4">
        <v>30</v>
      </c>
      <c r="AC4">
        <v>30</v>
      </c>
    </row>
    <row r="5" spans="1:29" hidden="1" x14ac:dyDescent="0.2">
      <c r="A5" t="s">
        <v>138</v>
      </c>
      <c r="B5" t="s">
        <v>489</v>
      </c>
      <c r="C5" t="s">
        <v>490</v>
      </c>
      <c r="D5">
        <v>2022</v>
      </c>
      <c r="E5" t="s">
        <v>26</v>
      </c>
      <c r="G5" t="s">
        <v>26</v>
      </c>
      <c r="H5">
        <v>1</v>
      </c>
      <c r="I5" t="s">
        <v>28</v>
      </c>
      <c r="J5" s="1">
        <v>44804.43172453704</v>
      </c>
      <c r="K5" t="s">
        <v>491</v>
      </c>
      <c r="L5" t="s">
        <v>26</v>
      </c>
      <c r="M5" t="s">
        <v>492</v>
      </c>
      <c r="O5" t="s">
        <v>493</v>
      </c>
      <c r="Q5" t="s">
        <v>31</v>
      </c>
      <c r="S5" t="s">
        <v>31</v>
      </c>
      <c r="T5" t="s">
        <v>64</v>
      </c>
      <c r="U5" t="s">
        <v>125</v>
      </c>
      <c r="V5" t="s">
        <v>125</v>
      </c>
      <c r="W5" t="s">
        <v>37</v>
      </c>
      <c r="X5">
        <v>3</v>
      </c>
      <c r="Y5">
        <v>3</v>
      </c>
      <c r="Z5">
        <v>4</v>
      </c>
      <c r="AA5">
        <v>5</v>
      </c>
      <c r="AB5">
        <v>5</v>
      </c>
      <c r="AC5">
        <v>5</v>
      </c>
    </row>
    <row r="6" spans="1:29" hidden="1" x14ac:dyDescent="0.2">
      <c r="A6" t="s">
        <v>138</v>
      </c>
      <c r="B6" t="s">
        <v>489</v>
      </c>
      <c r="C6" t="s">
        <v>490</v>
      </c>
      <c r="D6">
        <v>2022</v>
      </c>
      <c r="E6" t="s">
        <v>26</v>
      </c>
      <c r="G6" t="s">
        <v>26</v>
      </c>
      <c r="H6">
        <v>1</v>
      </c>
      <c r="I6" t="s">
        <v>28</v>
      </c>
      <c r="J6" s="1">
        <v>44804.43172453704</v>
      </c>
      <c r="K6" t="s">
        <v>491</v>
      </c>
      <c r="L6" t="s">
        <v>26</v>
      </c>
      <c r="M6" t="s">
        <v>492</v>
      </c>
      <c r="O6" t="s">
        <v>493</v>
      </c>
      <c r="Q6" t="s">
        <v>31</v>
      </c>
      <c r="S6" t="s">
        <v>31</v>
      </c>
      <c r="T6" t="s">
        <v>61</v>
      </c>
      <c r="U6" t="s">
        <v>120</v>
      </c>
      <c r="V6" t="s">
        <v>120</v>
      </c>
      <c r="W6" t="s">
        <v>34</v>
      </c>
      <c r="X6">
        <v>3</v>
      </c>
      <c r="Y6">
        <v>3</v>
      </c>
      <c r="Z6">
        <v>4</v>
      </c>
      <c r="AA6">
        <v>15</v>
      </c>
      <c r="AB6">
        <v>15</v>
      </c>
      <c r="AC6">
        <v>15</v>
      </c>
    </row>
    <row r="7" spans="1:29" hidden="1" x14ac:dyDescent="0.2">
      <c r="A7" t="s">
        <v>138</v>
      </c>
      <c r="B7" t="s">
        <v>489</v>
      </c>
      <c r="C7" t="s">
        <v>490</v>
      </c>
      <c r="D7">
        <v>2022</v>
      </c>
      <c r="E7" t="s">
        <v>26</v>
      </c>
      <c r="G7" t="s">
        <v>26</v>
      </c>
      <c r="H7">
        <v>1</v>
      </c>
      <c r="I7" t="s">
        <v>28</v>
      </c>
      <c r="J7" s="1">
        <v>44804.43172453704</v>
      </c>
      <c r="K7" t="s">
        <v>491</v>
      </c>
      <c r="L7" t="s">
        <v>26</v>
      </c>
      <c r="M7" t="s">
        <v>492</v>
      </c>
      <c r="O7" t="s">
        <v>493</v>
      </c>
      <c r="Q7" t="s">
        <v>31</v>
      </c>
      <c r="S7" t="s">
        <v>31</v>
      </c>
      <c r="T7" t="s">
        <v>62</v>
      </c>
      <c r="U7" t="s">
        <v>124</v>
      </c>
      <c r="V7" t="s">
        <v>124</v>
      </c>
      <c r="W7" t="s">
        <v>38</v>
      </c>
      <c r="X7">
        <v>3</v>
      </c>
      <c r="Y7">
        <v>3</v>
      </c>
      <c r="Z7">
        <v>4</v>
      </c>
      <c r="AA7">
        <v>15</v>
      </c>
      <c r="AB7">
        <v>15</v>
      </c>
      <c r="AC7">
        <v>15</v>
      </c>
    </row>
    <row r="8" spans="1:29" hidden="1" x14ac:dyDescent="0.2">
      <c r="A8" t="s">
        <v>138</v>
      </c>
      <c r="B8" t="s">
        <v>489</v>
      </c>
      <c r="C8" t="s">
        <v>490</v>
      </c>
      <c r="D8">
        <v>2022</v>
      </c>
      <c r="E8" t="s">
        <v>26</v>
      </c>
      <c r="G8" t="s">
        <v>26</v>
      </c>
      <c r="H8">
        <v>1</v>
      </c>
      <c r="I8" t="s">
        <v>28</v>
      </c>
      <c r="J8" s="1">
        <v>44804.43172453704</v>
      </c>
      <c r="K8" t="s">
        <v>491</v>
      </c>
      <c r="L8" t="s">
        <v>26</v>
      </c>
      <c r="M8" t="s">
        <v>492</v>
      </c>
      <c r="O8" t="s">
        <v>493</v>
      </c>
      <c r="Q8" t="s">
        <v>31</v>
      </c>
      <c r="S8" t="s">
        <v>31</v>
      </c>
      <c r="T8" t="s">
        <v>62</v>
      </c>
      <c r="U8" t="s">
        <v>123</v>
      </c>
      <c r="V8" t="s">
        <v>123</v>
      </c>
      <c r="W8" t="s">
        <v>39</v>
      </c>
      <c r="X8">
        <v>3</v>
      </c>
      <c r="Y8">
        <v>3</v>
      </c>
      <c r="Z8">
        <v>4</v>
      </c>
      <c r="AA8">
        <v>15</v>
      </c>
      <c r="AB8">
        <v>15</v>
      </c>
      <c r="AC8">
        <v>15</v>
      </c>
    </row>
    <row r="9" spans="1:29" hidden="1" x14ac:dyDescent="0.2">
      <c r="A9" t="s">
        <v>139</v>
      </c>
      <c r="B9" t="s">
        <v>489</v>
      </c>
      <c r="C9" t="s">
        <v>490</v>
      </c>
      <c r="D9">
        <v>2022</v>
      </c>
      <c r="E9" t="s">
        <v>26</v>
      </c>
      <c r="G9" t="s">
        <v>26</v>
      </c>
      <c r="H9">
        <v>1</v>
      </c>
      <c r="I9" t="s">
        <v>28</v>
      </c>
      <c r="J9" s="1">
        <v>44804.43172453704</v>
      </c>
      <c r="K9" t="s">
        <v>491</v>
      </c>
      <c r="L9" t="s">
        <v>26</v>
      </c>
      <c r="M9" t="s">
        <v>492</v>
      </c>
      <c r="O9" t="s">
        <v>493</v>
      </c>
      <c r="Q9" t="s">
        <v>31</v>
      </c>
      <c r="S9" t="s">
        <v>31</v>
      </c>
      <c r="U9" t="s">
        <v>140</v>
      </c>
      <c r="V9" t="s">
        <v>140</v>
      </c>
      <c r="W9" t="s">
        <v>141</v>
      </c>
      <c r="X9">
        <v>21</v>
      </c>
      <c r="Y9">
        <v>21</v>
      </c>
      <c r="Z9">
        <v>4</v>
      </c>
      <c r="AA9">
        <v>30</v>
      </c>
      <c r="AB9">
        <v>30</v>
      </c>
      <c r="AC9">
        <v>30</v>
      </c>
    </row>
    <row r="10" spans="1:29" hidden="1" x14ac:dyDescent="0.2">
      <c r="A10" t="s">
        <v>142</v>
      </c>
      <c r="B10" t="s">
        <v>489</v>
      </c>
      <c r="C10" t="s">
        <v>490</v>
      </c>
      <c r="D10">
        <v>2022</v>
      </c>
      <c r="E10" t="s">
        <v>26</v>
      </c>
      <c r="G10" t="s">
        <v>26</v>
      </c>
      <c r="H10">
        <v>1</v>
      </c>
      <c r="I10" t="s">
        <v>28</v>
      </c>
      <c r="J10" s="1">
        <v>44804.43172453704</v>
      </c>
      <c r="K10" t="s">
        <v>491</v>
      </c>
      <c r="L10" t="s">
        <v>26</v>
      </c>
      <c r="M10" t="s">
        <v>492</v>
      </c>
      <c r="O10" t="s">
        <v>493</v>
      </c>
      <c r="Q10" t="s">
        <v>31</v>
      </c>
      <c r="S10" t="s">
        <v>31</v>
      </c>
      <c r="T10" t="s">
        <v>64</v>
      </c>
      <c r="U10" t="s">
        <v>148</v>
      </c>
      <c r="V10" t="s">
        <v>148</v>
      </c>
      <c r="W10" t="s">
        <v>36</v>
      </c>
      <c r="X10">
        <v>3.75</v>
      </c>
      <c r="Y10">
        <v>3</v>
      </c>
      <c r="Z10">
        <v>4</v>
      </c>
      <c r="AA10">
        <v>5</v>
      </c>
      <c r="AB10">
        <v>5</v>
      </c>
      <c r="AC10">
        <v>5</v>
      </c>
    </row>
    <row r="11" spans="1:29" hidden="1" x14ac:dyDescent="0.2">
      <c r="A11" t="s">
        <v>142</v>
      </c>
      <c r="B11" t="s">
        <v>489</v>
      </c>
      <c r="C11" t="s">
        <v>490</v>
      </c>
      <c r="D11">
        <v>2022</v>
      </c>
      <c r="E11" t="s">
        <v>26</v>
      </c>
      <c r="G11" t="s">
        <v>26</v>
      </c>
      <c r="H11">
        <v>1</v>
      </c>
      <c r="I11" t="s">
        <v>28</v>
      </c>
      <c r="J11" s="1">
        <v>44804.43172453704</v>
      </c>
      <c r="K11" t="s">
        <v>491</v>
      </c>
      <c r="L11" t="s">
        <v>26</v>
      </c>
      <c r="M11" t="s">
        <v>492</v>
      </c>
      <c r="O11" t="s">
        <v>493</v>
      </c>
      <c r="Q11" t="s">
        <v>31</v>
      </c>
      <c r="S11" t="s">
        <v>31</v>
      </c>
      <c r="T11" t="s">
        <v>61</v>
      </c>
      <c r="U11" t="s">
        <v>146</v>
      </c>
      <c r="V11" t="s">
        <v>146</v>
      </c>
      <c r="W11" t="s">
        <v>33</v>
      </c>
      <c r="X11">
        <v>11.25</v>
      </c>
      <c r="Y11">
        <v>3</v>
      </c>
      <c r="Z11">
        <v>4</v>
      </c>
      <c r="AA11">
        <v>15</v>
      </c>
      <c r="AB11">
        <v>15</v>
      </c>
      <c r="AC11">
        <v>15</v>
      </c>
    </row>
    <row r="12" spans="1:29" hidden="1" x14ac:dyDescent="0.2">
      <c r="A12" t="s">
        <v>142</v>
      </c>
      <c r="B12" t="s">
        <v>489</v>
      </c>
      <c r="C12" t="s">
        <v>490</v>
      </c>
      <c r="D12">
        <v>2022</v>
      </c>
      <c r="E12" t="s">
        <v>26</v>
      </c>
      <c r="G12" t="s">
        <v>26</v>
      </c>
      <c r="H12">
        <v>1</v>
      </c>
      <c r="I12" t="s">
        <v>28</v>
      </c>
      <c r="J12" s="1">
        <v>44804.43172453704</v>
      </c>
      <c r="K12" t="s">
        <v>491</v>
      </c>
      <c r="L12" t="s">
        <v>26</v>
      </c>
      <c r="M12" t="s">
        <v>492</v>
      </c>
      <c r="O12" t="s">
        <v>493</v>
      </c>
      <c r="Q12" t="s">
        <v>31</v>
      </c>
      <c r="S12" t="s">
        <v>31</v>
      </c>
      <c r="T12" t="s">
        <v>63</v>
      </c>
      <c r="U12" t="s">
        <v>143</v>
      </c>
      <c r="V12" t="s">
        <v>143</v>
      </c>
      <c r="W12" t="s">
        <v>35</v>
      </c>
      <c r="X12">
        <v>22.5</v>
      </c>
      <c r="Y12">
        <v>3</v>
      </c>
      <c r="Z12">
        <v>4</v>
      </c>
      <c r="AA12">
        <v>30</v>
      </c>
      <c r="AB12">
        <v>30</v>
      </c>
      <c r="AC12">
        <v>30</v>
      </c>
    </row>
    <row r="13" spans="1:29" hidden="1" x14ac:dyDescent="0.2">
      <c r="A13" t="s">
        <v>142</v>
      </c>
      <c r="B13" t="s">
        <v>489</v>
      </c>
      <c r="C13" t="s">
        <v>490</v>
      </c>
      <c r="D13">
        <v>2022</v>
      </c>
      <c r="E13" t="s">
        <v>26</v>
      </c>
      <c r="G13" t="s">
        <v>26</v>
      </c>
      <c r="H13">
        <v>1</v>
      </c>
      <c r="I13" t="s">
        <v>28</v>
      </c>
      <c r="J13" s="1">
        <v>44804.43172453704</v>
      </c>
      <c r="K13" t="s">
        <v>491</v>
      </c>
      <c r="L13" t="s">
        <v>26</v>
      </c>
      <c r="M13" t="s">
        <v>492</v>
      </c>
      <c r="O13" t="s">
        <v>493</v>
      </c>
      <c r="Q13" t="s">
        <v>31</v>
      </c>
      <c r="S13" t="s">
        <v>31</v>
      </c>
      <c r="T13" t="s">
        <v>64</v>
      </c>
      <c r="U13" t="s">
        <v>149</v>
      </c>
      <c r="V13" t="s">
        <v>149</v>
      </c>
      <c r="W13" t="s">
        <v>37</v>
      </c>
      <c r="X13">
        <v>3.75</v>
      </c>
      <c r="Y13">
        <v>3</v>
      </c>
      <c r="Z13">
        <v>4</v>
      </c>
      <c r="AA13">
        <v>5</v>
      </c>
      <c r="AB13">
        <v>5</v>
      </c>
      <c r="AC13">
        <v>5</v>
      </c>
    </row>
    <row r="14" spans="1:29" hidden="1" x14ac:dyDescent="0.2">
      <c r="A14" t="s">
        <v>142</v>
      </c>
      <c r="B14" t="s">
        <v>489</v>
      </c>
      <c r="C14" t="s">
        <v>490</v>
      </c>
      <c r="D14">
        <v>2022</v>
      </c>
      <c r="E14" t="s">
        <v>26</v>
      </c>
      <c r="G14" t="s">
        <v>26</v>
      </c>
      <c r="H14">
        <v>1</v>
      </c>
      <c r="I14" t="s">
        <v>28</v>
      </c>
      <c r="J14" s="1">
        <v>44804.43172453704</v>
      </c>
      <c r="K14" t="s">
        <v>491</v>
      </c>
      <c r="L14" t="s">
        <v>26</v>
      </c>
      <c r="M14" t="s">
        <v>492</v>
      </c>
      <c r="O14" t="s">
        <v>493</v>
      </c>
      <c r="Q14" t="s">
        <v>31</v>
      </c>
      <c r="S14" t="s">
        <v>31</v>
      </c>
      <c r="T14" t="s">
        <v>61</v>
      </c>
      <c r="U14" t="s">
        <v>147</v>
      </c>
      <c r="V14" t="s">
        <v>147</v>
      </c>
      <c r="W14" t="s">
        <v>34</v>
      </c>
      <c r="X14">
        <v>11.25</v>
      </c>
      <c r="Y14">
        <v>3</v>
      </c>
      <c r="Z14">
        <v>4</v>
      </c>
      <c r="AA14">
        <v>15</v>
      </c>
      <c r="AB14">
        <v>15</v>
      </c>
      <c r="AC14">
        <v>15</v>
      </c>
    </row>
    <row r="15" spans="1:29" hidden="1" x14ac:dyDescent="0.2">
      <c r="A15" t="s">
        <v>142</v>
      </c>
      <c r="B15" t="s">
        <v>489</v>
      </c>
      <c r="C15" t="s">
        <v>490</v>
      </c>
      <c r="D15">
        <v>2022</v>
      </c>
      <c r="E15" t="s">
        <v>26</v>
      </c>
      <c r="G15" t="s">
        <v>26</v>
      </c>
      <c r="H15">
        <v>1</v>
      </c>
      <c r="I15" t="s">
        <v>28</v>
      </c>
      <c r="J15" s="1">
        <v>44804.43172453704</v>
      </c>
      <c r="K15" t="s">
        <v>491</v>
      </c>
      <c r="L15" t="s">
        <v>26</v>
      </c>
      <c r="M15" t="s">
        <v>492</v>
      </c>
      <c r="O15" t="s">
        <v>493</v>
      </c>
      <c r="Q15" t="s">
        <v>31</v>
      </c>
      <c r="S15" t="s">
        <v>31</v>
      </c>
      <c r="T15" t="s">
        <v>62</v>
      </c>
      <c r="U15" t="s">
        <v>144</v>
      </c>
      <c r="V15" t="s">
        <v>144</v>
      </c>
      <c r="W15" t="s">
        <v>38</v>
      </c>
      <c r="X15">
        <v>11.25</v>
      </c>
      <c r="Y15">
        <v>3</v>
      </c>
      <c r="Z15">
        <v>4</v>
      </c>
      <c r="AA15">
        <v>15</v>
      </c>
      <c r="AB15">
        <v>15</v>
      </c>
      <c r="AC15">
        <v>15</v>
      </c>
    </row>
    <row r="16" spans="1:29" hidden="1" x14ac:dyDescent="0.2">
      <c r="A16" t="s">
        <v>142</v>
      </c>
      <c r="B16" t="s">
        <v>489</v>
      </c>
      <c r="C16" t="s">
        <v>490</v>
      </c>
      <c r="D16">
        <v>2022</v>
      </c>
      <c r="E16" t="s">
        <v>26</v>
      </c>
      <c r="G16" t="s">
        <v>26</v>
      </c>
      <c r="H16">
        <v>1</v>
      </c>
      <c r="I16" t="s">
        <v>28</v>
      </c>
      <c r="J16" s="1">
        <v>44804.43172453704</v>
      </c>
      <c r="K16" t="s">
        <v>491</v>
      </c>
      <c r="L16" t="s">
        <v>26</v>
      </c>
      <c r="M16" t="s">
        <v>492</v>
      </c>
      <c r="O16" t="s">
        <v>493</v>
      </c>
      <c r="Q16" t="s">
        <v>31</v>
      </c>
      <c r="S16" t="s">
        <v>31</v>
      </c>
      <c r="T16" t="s">
        <v>62</v>
      </c>
      <c r="U16" t="s">
        <v>145</v>
      </c>
      <c r="V16" t="s">
        <v>145</v>
      </c>
      <c r="W16" t="s">
        <v>39</v>
      </c>
      <c r="X16">
        <v>11.25</v>
      </c>
      <c r="Y16">
        <v>3</v>
      </c>
      <c r="Z16">
        <v>4</v>
      </c>
      <c r="AA16">
        <v>15</v>
      </c>
      <c r="AB16">
        <v>15</v>
      </c>
      <c r="AC16">
        <v>15</v>
      </c>
    </row>
    <row r="17" spans="1:29" hidden="1" x14ac:dyDescent="0.2">
      <c r="A17" t="s">
        <v>150</v>
      </c>
      <c r="B17" t="s">
        <v>489</v>
      </c>
      <c r="C17" t="s">
        <v>490</v>
      </c>
      <c r="D17">
        <v>2022</v>
      </c>
      <c r="E17" t="s">
        <v>26</v>
      </c>
      <c r="G17" t="s">
        <v>26</v>
      </c>
      <c r="H17">
        <v>1</v>
      </c>
      <c r="I17" t="s">
        <v>28</v>
      </c>
      <c r="J17" s="1">
        <v>44804.43172453704</v>
      </c>
      <c r="K17" t="s">
        <v>491</v>
      </c>
      <c r="L17" t="s">
        <v>26</v>
      </c>
      <c r="M17" t="s">
        <v>492</v>
      </c>
      <c r="O17" t="s">
        <v>493</v>
      </c>
      <c r="Q17" t="s">
        <v>31</v>
      </c>
      <c r="S17" t="s">
        <v>31</v>
      </c>
      <c r="U17" t="s">
        <v>151</v>
      </c>
      <c r="V17" t="s">
        <v>151</v>
      </c>
      <c r="W17" t="s">
        <v>152</v>
      </c>
      <c r="X17">
        <v>75</v>
      </c>
      <c r="Y17">
        <v>21</v>
      </c>
      <c r="Z17">
        <v>4</v>
      </c>
      <c r="AA17">
        <v>30</v>
      </c>
      <c r="AB17">
        <v>30</v>
      </c>
      <c r="AC17">
        <v>30</v>
      </c>
    </row>
    <row r="18" spans="1:29" hidden="1" x14ac:dyDescent="0.2">
      <c r="A18" t="s">
        <v>153</v>
      </c>
      <c r="B18" t="s">
        <v>489</v>
      </c>
      <c r="C18" t="s">
        <v>490</v>
      </c>
      <c r="D18">
        <v>2022</v>
      </c>
      <c r="E18" t="s">
        <v>26</v>
      </c>
      <c r="G18" t="s">
        <v>26</v>
      </c>
      <c r="H18">
        <v>1</v>
      </c>
      <c r="I18" t="s">
        <v>28</v>
      </c>
      <c r="J18" s="1">
        <v>44804.43172453704</v>
      </c>
      <c r="K18" t="s">
        <v>491</v>
      </c>
      <c r="L18" t="s">
        <v>26</v>
      </c>
      <c r="M18" t="s">
        <v>492</v>
      </c>
      <c r="O18" t="s">
        <v>493</v>
      </c>
      <c r="Q18" t="s">
        <v>31</v>
      </c>
      <c r="S18" t="s">
        <v>31</v>
      </c>
      <c r="U18" t="s">
        <v>154</v>
      </c>
      <c r="V18" t="s">
        <v>154</v>
      </c>
      <c r="W18" t="s">
        <v>155</v>
      </c>
      <c r="X18">
        <v>75</v>
      </c>
      <c r="Y18">
        <v>21</v>
      </c>
      <c r="Z18">
        <v>4</v>
      </c>
      <c r="AA18">
        <v>30</v>
      </c>
      <c r="AB18">
        <v>30</v>
      </c>
      <c r="AC18">
        <v>30</v>
      </c>
    </row>
    <row r="19" spans="1:29" hidden="1" x14ac:dyDescent="0.2">
      <c r="A19" t="s">
        <v>156</v>
      </c>
      <c r="B19" t="s">
        <v>489</v>
      </c>
      <c r="C19" t="s">
        <v>490</v>
      </c>
      <c r="D19">
        <v>2022</v>
      </c>
      <c r="E19" t="s">
        <v>26</v>
      </c>
      <c r="G19" t="s">
        <v>26</v>
      </c>
      <c r="H19">
        <v>1</v>
      </c>
      <c r="I19" t="s">
        <v>28</v>
      </c>
      <c r="J19" s="1">
        <v>44804.43172453704</v>
      </c>
      <c r="K19" t="s">
        <v>491</v>
      </c>
      <c r="L19" t="s">
        <v>26</v>
      </c>
      <c r="M19" t="s">
        <v>492</v>
      </c>
      <c r="O19" t="s">
        <v>493</v>
      </c>
      <c r="Q19" t="s">
        <v>31</v>
      </c>
      <c r="S19" t="s">
        <v>31</v>
      </c>
      <c r="U19" t="s">
        <v>103</v>
      </c>
      <c r="V19" t="s">
        <v>157</v>
      </c>
      <c r="W19" t="s">
        <v>158</v>
      </c>
      <c r="X19">
        <v>75</v>
      </c>
      <c r="Y19">
        <v>21</v>
      </c>
      <c r="Z19">
        <v>4</v>
      </c>
      <c r="AA19">
        <v>30</v>
      </c>
      <c r="AB19">
        <v>30</v>
      </c>
      <c r="AC19">
        <v>30</v>
      </c>
    </row>
    <row r="20" spans="1:29" x14ac:dyDescent="0.2">
      <c r="A20" t="s">
        <v>138</v>
      </c>
      <c r="B20" t="s">
        <v>489</v>
      </c>
      <c r="C20" t="s">
        <v>494</v>
      </c>
      <c r="D20">
        <v>2022</v>
      </c>
      <c r="E20" t="s">
        <v>26</v>
      </c>
      <c r="G20" t="s">
        <v>26</v>
      </c>
      <c r="H20">
        <v>1</v>
      </c>
      <c r="I20" t="s">
        <v>28</v>
      </c>
      <c r="J20" s="1">
        <v>44804.646701388891</v>
      </c>
      <c r="K20" t="s">
        <v>495</v>
      </c>
      <c r="L20" t="s">
        <v>26</v>
      </c>
      <c r="M20" t="s">
        <v>492</v>
      </c>
      <c r="O20" t="s">
        <v>493</v>
      </c>
      <c r="Q20" t="s">
        <v>31</v>
      </c>
      <c r="R20" t="s">
        <v>496</v>
      </c>
      <c r="S20" t="s">
        <v>31</v>
      </c>
      <c r="T20" t="s">
        <v>64</v>
      </c>
      <c r="U20" t="s">
        <v>121</v>
      </c>
      <c r="V20" t="s">
        <v>121</v>
      </c>
      <c r="W20" t="s">
        <v>36</v>
      </c>
      <c r="X20">
        <v>4</v>
      </c>
      <c r="Y20">
        <v>4</v>
      </c>
      <c r="Z20">
        <v>4</v>
      </c>
      <c r="AA20">
        <v>5</v>
      </c>
      <c r="AB20">
        <v>5</v>
      </c>
      <c r="AC20">
        <v>5</v>
      </c>
    </row>
    <row r="21" spans="1:29" x14ac:dyDescent="0.2">
      <c r="A21" t="s">
        <v>138</v>
      </c>
      <c r="B21" t="s">
        <v>489</v>
      </c>
      <c r="C21" t="s">
        <v>494</v>
      </c>
      <c r="D21">
        <v>2022</v>
      </c>
      <c r="E21" t="s">
        <v>26</v>
      </c>
      <c r="G21" t="s">
        <v>26</v>
      </c>
      <c r="H21">
        <v>1</v>
      </c>
      <c r="I21" t="s">
        <v>28</v>
      </c>
      <c r="J21" s="1">
        <v>44804.646701388891</v>
      </c>
      <c r="K21" t="s">
        <v>495</v>
      </c>
      <c r="L21" t="s">
        <v>26</v>
      </c>
      <c r="M21" t="s">
        <v>492</v>
      </c>
      <c r="O21" t="s">
        <v>493</v>
      </c>
      <c r="Q21" t="s">
        <v>31</v>
      </c>
      <c r="R21" t="s">
        <v>496</v>
      </c>
      <c r="S21" t="s">
        <v>31</v>
      </c>
      <c r="T21" t="s">
        <v>61</v>
      </c>
      <c r="U21" t="s">
        <v>117</v>
      </c>
      <c r="V21" t="s">
        <v>117</v>
      </c>
      <c r="W21" t="s">
        <v>33</v>
      </c>
      <c r="X21">
        <v>4</v>
      </c>
      <c r="Y21">
        <v>4</v>
      </c>
      <c r="Z21">
        <v>4</v>
      </c>
      <c r="AA21">
        <v>15</v>
      </c>
      <c r="AB21">
        <v>15</v>
      </c>
      <c r="AC21">
        <v>15</v>
      </c>
    </row>
    <row r="22" spans="1:29" x14ac:dyDescent="0.2">
      <c r="A22" t="s">
        <v>138</v>
      </c>
      <c r="B22" t="s">
        <v>489</v>
      </c>
      <c r="C22" t="s">
        <v>494</v>
      </c>
      <c r="D22">
        <v>2022</v>
      </c>
      <c r="E22" t="s">
        <v>26</v>
      </c>
      <c r="G22" t="s">
        <v>26</v>
      </c>
      <c r="H22">
        <v>1</v>
      </c>
      <c r="I22" t="s">
        <v>28</v>
      </c>
      <c r="J22" s="1">
        <v>44804.646701388891</v>
      </c>
      <c r="K22" t="s">
        <v>495</v>
      </c>
      <c r="L22" t="s">
        <v>26</v>
      </c>
      <c r="M22" t="s">
        <v>492</v>
      </c>
      <c r="O22" t="s">
        <v>493</v>
      </c>
      <c r="Q22" t="s">
        <v>31</v>
      </c>
      <c r="R22" t="s">
        <v>496</v>
      </c>
      <c r="S22" t="s">
        <v>31</v>
      </c>
      <c r="T22" t="s">
        <v>63</v>
      </c>
      <c r="U22" t="s">
        <v>122</v>
      </c>
      <c r="V22" t="s">
        <v>122</v>
      </c>
      <c r="W22" t="s">
        <v>35</v>
      </c>
      <c r="X22">
        <v>4</v>
      </c>
      <c r="Y22">
        <v>4</v>
      </c>
      <c r="Z22">
        <v>4</v>
      </c>
      <c r="AA22">
        <v>30</v>
      </c>
      <c r="AB22">
        <v>30</v>
      </c>
      <c r="AC22">
        <v>30</v>
      </c>
    </row>
    <row r="23" spans="1:29" x14ac:dyDescent="0.2">
      <c r="A23" t="s">
        <v>138</v>
      </c>
      <c r="B23" t="s">
        <v>489</v>
      </c>
      <c r="C23" t="s">
        <v>494</v>
      </c>
      <c r="D23">
        <v>2022</v>
      </c>
      <c r="E23" t="s">
        <v>26</v>
      </c>
      <c r="G23" t="s">
        <v>26</v>
      </c>
      <c r="H23">
        <v>1</v>
      </c>
      <c r="I23" t="s">
        <v>28</v>
      </c>
      <c r="J23" s="1">
        <v>44804.646701388891</v>
      </c>
      <c r="K23" t="s">
        <v>495</v>
      </c>
      <c r="L23" t="s">
        <v>26</v>
      </c>
      <c r="M23" t="s">
        <v>492</v>
      </c>
      <c r="O23" t="s">
        <v>493</v>
      </c>
      <c r="Q23" t="s">
        <v>31</v>
      </c>
      <c r="R23" t="s">
        <v>496</v>
      </c>
      <c r="S23" t="s">
        <v>31</v>
      </c>
      <c r="T23" t="s">
        <v>64</v>
      </c>
      <c r="U23" t="s">
        <v>125</v>
      </c>
      <c r="V23" t="s">
        <v>125</v>
      </c>
      <c r="W23" t="s">
        <v>37</v>
      </c>
      <c r="X23">
        <v>3</v>
      </c>
      <c r="Y23">
        <v>3</v>
      </c>
      <c r="Z23">
        <v>4</v>
      </c>
      <c r="AA23">
        <v>5</v>
      </c>
      <c r="AB23">
        <v>5</v>
      </c>
      <c r="AC23">
        <v>5</v>
      </c>
    </row>
    <row r="24" spans="1:29" x14ac:dyDescent="0.2">
      <c r="A24" t="s">
        <v>138</v>
      </c>
      <c r="B24" t="s">
        <v>489</v>
      </c>
      <c r="C24" t="s">
        <v>494</v>
      </c>
      <c r="D24">
        <v>2022</v>
      </c>
      <c r="E24" t="s">
        <v>26</v>
      </c>
      <c r="G24" t="s">
        <v>26</v>
      </c>
      <c r="H24">
        <v>1</v>
      </c>
      <c r="I24" t="s">
        <v>28</v>
      </c>
      <c r="J24" s="1">
        <v>44804.646701388891</v>
      </c>
      <c r="K24" t="s">
        <v>495</v>
      </c>
      <c r="L24" t="s">
        <v>26</v>
      </c>
      <c r="M24" t="s">
        <v>492</v>
      </c>
      <c r="O24" t="s">
        <v>493</v>
      </c>
      <c r="Q24" t="s">
        <v>31</v>
      </c>
      <c r="R24" t="s">
        <v>496</v>
      </c>
      <c r="S24" t="s">
        <v>31</v>
      </c>
      <c r="T24" t="s">
        <v>61</v>
      </c>
      <c r="U24" t="s">
        <v>120</v>
      </c>
      <c r="V24" t="s">
        <v>120</v>
      </c>
      <c r="W24" t="s">
        <v>34</v>
      </c>
      <c r="X24">
        <v>4</v>
      </c>
      <c r="Y24">
        <v>4</v>
      </c>
      <c r="Z24">
        <v>4</v>
      </c>
      <c r="AA24">
        <v>15</v>
      </c>
      <c r="AB24">
        <v>15</v>
      </c>
      <c r="AC24">
        <v>15</v>
      </c>
    </row>
    <row r="25" spans="1:29" x14ac:dyDescent="0.2">
      <c r="A25" t="s">
        <v>138</v>
      </c>
      <c r="B25" t="s">
        <v>489</v>
      </c>
      <c r="C25" t="s">
        <v>494</v>
      </c>
      <c r="D25">
        <v>2022</v>
      </c>
      <c r="E25" t="s">
        <v>26</v>
      </c>
      <c r="G25" t="s">
        <v>26</v>
      </c>
      <c r="H25">
        <v>1</v>
      </c>
      <c r="I25" t="s">
        <v>28</v>
      </c>
      <c r="J25" s="1">
        <v>44804.646701388891</v>
      </c>
      <c r="K25" t="s">
        <v>495</v>
      </c>
      <c r="L25" t="s">
        <v>26</v>
      </c>
      <c r="M25" t="s">
        <v>492</v>
      </c>
      <c r="O25" t="s">
        <v>493</v>
      </c>
      <c r="Q25" t="s">
        <v>31</v>
      </c>
      <c r="R25" t="s">
        <v>496</v>
      </c>
      <c r="S25" t="s">
        <v>31</v>
      </c>
      <c r="T25" t="s">
        <v>62</v>
      </c>
      <c r="U25" t="s">
        <v>124</v>
      </c>
      <c r="V25" t="s">
        <v>124</v>
      </c>
      <c r="W25" t="s">
        <v>38</v>
      </c>
      <c r="X25">
        <v>4</v>
      </c>
      <c r="Y25">
        <v>4</v>
      </c>
      <c r="Z25">
        <v>4</v>
      </c>
      <c r="AA25">
        <v>15</v>
      </c>
      <c r="AB25">
        <v>15</v>
      </c>
      <c r="AC25">
        <v>15</v>
      </c>
    </row>
    <row r="26" spans="1:29" x14ac:dyDescent="0.2">
      <c r="A26" t="s">
        <v>138</v>
      </c>
      <c r="B26" t="s">
        <v>489</v>
      </c>
      <c r="C26" t="s">
        <v>494</v>
      </c>
      <c r="D26">
        <v>2022</v>
      </c>
      <c r="E26" t="s">
        <v>26</v>
      </c>
      <c r="G26" t="s">
        <v>26</v>
      </c>
      <c r="H26">
        <v>1</v>
      </c>
      <c r="I26" t="s">
        <v>28</v>
      </c>
      <c r="J26" s="1">
        <v>44804.646701388891</v>
      </c>
      <c r="K26" t="s">
        <v>495</v>
      </c>
      <c r="L26" t="s">
        <v>26</v>
      </c>
      <c r="M26" t="s">
        <v>492</v>
      </c>
      <c r="O26" t="s">
        <v>493</v>
      </c>
      <c r="Q26" t="s">
        <v>31</v>
      </c>
      <c r="R26" t="s">
        <v>496</v>
      </c>
      <c r="S26" t="s">
        <v>31</v>
      </c>
      <c r="T26" t="s">
        <v>62</v>
      </c>
      <c r="U26" t="s">
        <v>123</v>
      </c>
      <c r="V26" t="s">
        <v>123</v>
      </c>
      <c r="W26" t="s">
        <v>39</v>
      </c>
      <c r="X26">
        <v>4</v>
      </c>
      <c r="Y26">
        <v>4</v>
      </c>
      <c r="Z26">
        <v>4</v>
      </c>
      <c r="AA26">
        <v>15</v>
      </c>
      <c r="AB26">
        <v>15</v>
      </c>
      <c r="AC26">
        <v>15</v>
      </c>
    </row>
    <row r="27" spans="1:29" x14ac:dyDescent="0.2">
      <c r="A27" t="s">
        <v>139</v>
      </c>
      <c r="B27" t="s">
        <v>489</v>
      </c>
      <c r="C27" t="s">
        <v>494</v>
      </c>
      <c r="D27">
        <v>2022</v>
      </c>
      <c r="E27" t="s">
        <v>26</v>
      </c>
      <c r="G27" t="s">
        <v>26</v>
      </c>
      <c r="H27">
        <v>1</v>
      </c>
      <c r="I27" t="s">
        <v>28</v>
      </c>
      <c r="J27" s="1">
        <v>44804.646701388891</v>
      </c>
      <c r="K27" t="s">
        <v>495</v>
      </c>
      <c r="L27" t="s">
        <v>26</v>
      </c>
      <c r="M27" t="s">
        <v>492</v>
      </c>
      <c r="O27" t="s">
        <v>493</v>
      </c>
      <c r="Q27" t="s">
        <v>31</v>
      </c>
      <c r="R27" t="s">
        <v>497</v>
      </c>
      <c r="S27" t="s">
        <v>31</v>
      </c>
      <c r="U27" t="s">
        <v>140</v>
      </c>
      <c r="V27" t="s">
        <v>140</v>
      </c>
      <c r="W27" t="s">
        <v>141</v>
      </c>
      <c r="X27">
        <v>27</v>
      </c>
      <c r="Y27">
        <v>27</v>
      </c>
      <c r="Z27">
        <v>4</v>
      </c>
      <c r="AA27">
        <v>30</v>
      </c>
      <c r="AB27">
        <v>30</v>
      </c>
      <c r="AC27">
        <v>30</v>
      </c>
    </row>
    <row r="28" spans="1:29" x14ac:dyDescent="0.2">
      <c r="A28" t="s">
        <v>142</v>
      </c>
      <c r="B28" t="s">
        <v>489</v>
      </c>
      <c r="C28" t="s">
        <v>494</v>
      </c>
      <c r="D28">
        <v>2022</v>
      </c>
      <c r="E28" t="s">
        <v>26</v>
      </c>
      <c r="G28" t="s">
        <v>26</v>
      </c>
      <c r="H28">
        <v>1</v>
      </c>
      <c r="I28" t="s">
        <v>28</v>
      </c>
      <c r="J28" s="1">
        <v>44804.646701388891</v>
      </c>
      <c r="K28" t="s">
        <v>495</v>
      </c>
      <c r="L28" t="s">
        <v>26</v>
      </c>
      <c r="M28" t="s">
        <v>492</v>
      </c>
      <c r="O28" t="s">
        <v>493</v>
      </c>
      <c r="Q28" t="s">
        <v>31</v>
      </c>
      <c r="R28" t="s">
        <v>496</v>
      </c>
      <c r="S28" t="s">
        <v>31</v>
      </c>
      <c r="T28" t="s">
        <v>64</v>
      </c>
      <c r="U28" t="s">
        <v>148</v>
      </c>
      <c r="V28" t="s">
        <v>148</v>
      </c>
      <c r="W28" t="s">
        <v>36</v>
      </c>
      <c r="X28">
        <v>5</v>
      </c>
      <c r="Y28">
        <v>4</v>
      </c>
      <c r="Z28">
        <v>4</v>
      </c>
      <c r="AA28">
        <v>5</v>
      </c>
      <c r="AB28">
        <v>5</v>
      </c>
      <c r="AC28">
        <v>5</v>
      </c>
    </row>
    <row r="29" spans="1:29" x14ac:dyDescent="0.2">
      <c r="A29" t="s">
        <v>142</v>
      </c>
      <c r="B29" t="s">
        <v>489</v>
      </c>
      <c r="C29" t="s">
        <v>494</v>
      </c>
      <c r="D29">
        <v>2022</v>
      </c>
      <c r="E29" t="s">
        <v>26</v>
      </c>
      <c r="G29" t="s">
        <v>26</v>
      </c>
      <c r="H29">
        <v>1</v>
      </c>
      <c r="I29" t="s">
        <v>28</v>
      </c>
      <c r="J29" s="1">
        <v>44804.646701388891</v>
      </c>
      <c r="K29" t="s">
        <v>495</v>
      </c>
      <c r="L29" t="s">
        <v>26</v>
      </c>
      <c r="M29" t="s">
        <v>492</v>
      </c>
      <c r="O29" t="s">
        <v>493</v>
      </c>
      <c r="Q29" t="s">
        <v>31</v>
      </c>
      <c r="R29" t="s">
        <v>496</v>
      </c>
      <c r="S29" t="s">
        <v>31</v>
      </c>
      <c r="T29" t="s">
        <v>61</v>
      </c>
      <c r="U29" t="s">
        <v>146</v>
      </c>
      <c r="V29" t="s">
        <v>146</v>
      </c>
      <c r="W29" t="s">
        <v>33</v>
      </c>
      <c r="X29">
        <v>15</v>
      </c>
      <c r="Y29">
        <v>4</v>
      </c>
      <c r="Z29">
        <v>4</v>
      </c>
      <c r="AA29">
        <v>15</v>
      </c>
      <c r="AB29">
        <v>15</v>
      </c>
      <c r="AC29">
        <v>15</v>
      </c>
    </row>
    <row r="30" spans="1:29" x14ac:dyDescent="0.2">
      <c r="A30" t="s">
        <v>142</v>
      </c>
      <c r="B30" t="s">
        <v>489</v>
      </c>
      <c r="C30" t="s">
        <v>494</v>
      </c>
      <c r="D30">
        <v>2022</v>
      </c>
      <c r="E30" t="s">
        <v>26</v>
      </c>
      <c r="G30" t="s">
        <v>26</v>
      </c>
      <c r="H30">
        <v>1</v>
      </c>
      <c r="I30" t="s">
        <v>28</v>
      </c>
      <c r="J30" s="1">
        <v>44804.646701388891</v>
      </c>
      <c r="K30" t="s">
        <v>495</v>
      </c>
      <c r="L30" t="s">
        <v>26</v>
      </c>
      <c r="M30" t="s">
        <v>492</v>
      </c>
      <c r="O30" t="s">
        <v>493</v>
      </c>
      <c r="Q30" t="s">
        <v>31</v>
      </c>
      <c r="R30" t="s">
        <v>496</v>
      </c>
      <c r="S30" t="s">
        <v>31</v>
      </c>
      <c r="T30" t="s">
        <v>63</v>
      </c>
      <c r="U30" t="s">
        <v>143</v>
      </c>
      <c r="V30" t="s">
        <v>143</v>
      </c>
      <c r="W30" t="s">
        <v>35</v>
      </c>
      <c r="X30">
        <v>30</v>
      </c>
      <c r="Y30">
        <v>4</v>
      </c>
      <c r="Z30">
        <v>4</v>
      </c>
      <c r="AA30">
        <v>30</v>
      </c>
      <c r="AB30">
        <v>30</v>
      </c>
      <c r="AC30">
        <v>30</v>
      </c>
    </row>
    <row r="31" spans="1:29" x14ac:dyDescent="0.2">
      <c r="A31" t="s">
        <v>142</v>
      </c>
      <c r="B31" t="s">
        <v>489</v>
      </c>
      <c r="C31" t="s">
        <v>494</v>
      </c>
      <c r="D31">
        <v>2022</v>
      </c>
      <c r="E31" t="s">
        <v>26</v>
      </c>
      <c r="G31" t="s">
        <v>26</v>
      </c>
      <c r="H31">
        <v>1</v>
      </c>
      <c r="I31" t="s">
        <v>28</v>
      </c>
      <c r="J31" s="1">
        <v>44804.646701388891</v>
      </c>
      <c r="K31" t="s">
        <v>495</v>
      </c>
      <c r="L31" t="s">
        <v>26</v>
      </c>
      <c r="M31" t="s">
        <v>492</v>
      </c>
      <c r="O31" t="s">
        <v>493</v>
      </c>
      <c r="Q31" t="s">
        <v>31</v>
      </c>
      <c r="R31" t="s">
        <v>496</v>
      </c>
      <c r="S31" t="s">
        <v>31</v>
      </c>
      <c r="T31" t="s">
        <v>64</v>
      </c>
      <c r="U31" t="s">
        <v>149</v>
      </c>
      <c r="V31" t="s">
        <v>149</v>
      </c>
      <c r="W31" t="s">
        <v>37</v>
      </c>
      <c r="X31">
        <v>3.75</v>
      </c>
      <c r="Y31">
        <v>3</v>
      </c>
      <c r="Z31">
        <v>4</v>
      </c>
      <c r="AA31">
        <v>5</v>
      </c>
      <c r="AB31">
        <v>5</v>
      </c>
      <c r="AC31">
        <v>5</v>
      </c>
    </row>
    <row r="32" spans="1:29" x14ac:dyDescent="0.2">
      <c r="A32" t="s">
        <v>142</v>
      </c>
      <c r="B32" t="s">
        <v>489</v>
      </c>
      <c r="C32" t="s">
        <v>494</v>
      </c>
      <c r="D32">
        <v>2022</v>
      </c>
      <c r="E32" t="s">
        <v>26</v>
      </c>
      <c r="G32" t="s">
        <v>26</v>
      </c>
      <c r="H32">
        <v>1</v>
      </c>
      <c r="I32" t="s">
        <v>28</v>
      </c>
      <c r="J32" s="1">
        <v>44804.646701388891</v>
      </c>
      <c r="K32" t="s">
        <v>495</v>
      </c>
      <c r="L32" t="s">
        <v>26</v>
      </c>
      <c r="M32" t="s">
        <v>492</v>
      </c>
      <c r="O32" t="s">
        <v>493</v>
      </c>
      <c r="Q32" t="s">
        <v>31</v>
      </c>
      <c r="R32" t="s">
        <v>496</v>
      </c>
      <c r="S32" t="s">
        <v>31</v>
      </c>
      <c r="T32" t="s">
        <v>61</v>
      </c>
      <c r="U32" t="s">
        <v>147</v>
      </c>
      <c r="V32" t="s">
        <v>147</v>
      </c>
      <c r="W32" t="s">
        <v>34</v>
      </c>
      <c r="X32">
        <v>15</v>
      </c>
      <c r="Y32">
        <v>4</v>
      </c>
      <c r="Z32">
        <v>4</v>
      </c>
      <c r="AA32">
        <v>15</v>
      </c>
      <c r="AB32">
        <v>15</v>
      </c>
      <c r="AC32">
        <v>15</v>
      </c>
    </row>
    <row r="33" spans="1:29" x14ac:dyDescent="0.2">
      <c r="A33" t="s">
        <v>142</v>
      </c>
      <c r="B33" t="s">
        <v>489</v>
      </c>
      <c r="C33" t="s">
        <v>494</v>
      </c>
      <c r="D33">
        <v>2022</v>
      </c>
      <c r="E33" t="s">
        <v>26</v>
      </c>
      <c r="G33" t="s">
        <v>26</v>
      </c>
      <c r="H33">
        <v>1</v>
      </c>
      <c r="I33" t="s">
        <v>28</v>
      </c>
      <c r="J33" s="1">
        <v>44804.646701388891</v>
      </c>
      <c r="K33" t="s">
        <v>495</v>
      </c>
      <c r="L33" t="s">
        <v>26</v>
      </c>
      <c r="M33" t="s">
        <v>492</v>
      </c>
      <c r="O33" t="s">
        <v>493</v>
      </c>
      <c r="Q33" t="s">
        <v>31</v>
      </c>
      <c r="R33" t="s">
        <v>496</v>
      </c>
      <c r="S33" t="s">
        <v>31</v>
      </c>
      <c r="T33" t="s">
        <v>62</v>
      </c>
      <c r="U33" t="s">
        <v>144</v>
      </c>
      <c r="V33" t="s">
        <v>144</v>
      </c>
      <c r="W33" t="s">
        <v>38</v>
      </c>
      <c r="X33">
        <v>15</v>
      </c>
      <c r="Y33">
        <v>4</v>
      </c>
      <c r="Z33">
        <v>4</v>
      </c>
      <c r="AA33">
        <v>15</v>
      </c>
      <c r="AB33">
        <v>15</v>
      </c>
      <c r="AC33">
        <v>15</v>
      </c>
    </row>
    <row r="34" spans="1:29" x14ac:dyDescent="0.2">
      <c r="A34" t="s">
        <v>142</v>
      </c>
      <c r="B34" t="s">
        <v>489</v>
      </c>
      <c r="C34" t="s">
        <v>494</v>
      </c>
      <c r="D34">
        <v>2022</v>
      </c>
      <c r="E34" t="s">
        <v>26</v>
      </c>
      <c r="G34" t="s">
        <v>26</v>
      </c>
      <c r="H34">
        <v>1</v>
      </c>
      <c r="I34" t="s">
        <v>28</v>
      </c>
      <c r="J34" s="1">
        <v>44804.646701388891</v>
      </c>
      <c r="K34" t="s">
        <v>495</v>
      </c>
      <c r="L34" t="s">
        <v>26</v>
      </c>
      <c r="M34" t="s">
        <v>492</v>
      </c>
      <c r="O34" t="s">
        <v>493</v>
      </c>
      <c r="Q34" t="s">
        <v>31</v>
      </c>
      <c r="R34" t="s">
        <v>496</v>
      </c>
      <c r="S34" t="s">
        <v>31</v>
      </c>
      <c r="T34" t="s">
        <v>62</v>
      </c>
      <c r="U34" t="s">
        <v>145</v>
      </c>
      <c r="V34" t="s">
        <v>145</v>
      </c>
      <c r="W34" t="s">
        <v>39</v>
      </c>
      <c r="X34">
        <v>15</v>
      </c>
      <c r="Y34">
        <v>4</v>
      </c>
      <c r="Z34">
        <v>4</v>
      </c>
      <c r="AA34">
        <v>15</v>
      </c>
      <c r="AB34">
        <v>15</v>
      </c>
      <c r="AC34">
        <v>15</v>
      </c>
    </row>
    <row r="35" spans="1:29" x14ac:dyDescent="0.2">
      <c r="A35" t="s">
        <v>150</v>
      </c>
      <c r="B35" t="s">
        <v>489</v>
      </c>
      <c r="C35" t="s">
        <v>494</v>
      </c>
      <c r="D35">
        <v>2022</v>
      </c>
      <c r="E35" t="s">
        <v>26</v>
      </c>
      <c r="G35" t="s">
        <v>26</v>
      </c>
      <c r="H35">
        <v>1</v>
      </c>
      <c r="I35" t="s">
        <v>28</v>
      </c>
      <c r="J35" s="1">
        <v>44804.646701388891</v>
      </c>
      <c r="K35" t="s">
        <v>495</v>
      </c>
      <c r="L35" t="s">
        <v>26</v>
      </c>
      <c r="M35" t="s">
        <v>492</v>
      </c>
      <c r="O35" t="s">
        <v>493</v>
      </c>
      <c r="Q35" t="s">
        <v>31</v>
      </c>
      <c r="R35" t="s">
        <v>497</v>
      </c>
      <c r="S35" t="s">
        <v>31</v>
      </c>
      <c r="U35" t="s">
        <v>151</v>
      </c>
      <c r="V35" t="s">
        <v>151</v>
      </c>
      <c r="W35" t="s">
        <v>152</v>
      </c>
      <c r="X35">
        <v>98.75</v>
      </c>
      <c r="Y35">
        <v>27</v>
      </c>
      <c r="Z35">
        <v>4</v>
      </c>
      <c r="AA35">
        <v>30</v>
      </c>
      <c r="AB35">
        <v>30</v>
      </c>
      <c r="AC35">
        <v>30</v>
      </c>
    </row>
    <row r="36" spans="1:29" x14ac:dyDescent="0.2">
      <c r="A36" t="s">
        <v>153</v>
      </c>
      <c r="B36" t="s">
        <v>489</v>
      </c>
      <c r="C36" t="s">
        <v>494</v>
      </c>
      <c r="D36">
        <v>2022</v>
      </c>
      <c r="E36" t="s">
        <v>26</v>
      </c>
      <c r="G36" t="s">
        <v>26</v>
      </c>
      <c r="H36">
        <v>1</v>
      </c>
      <c r="I36" t="s">
        <v>28</v>
      </c>
      <c r="J36" s="1">
        <v>44804.646701388891</v>
      </c>
      <c r="K36" t="s">
        <v>495</v>
      </c>
      <c r="L36" t="s">
        <v>26</v>
      </c>
      <c r="M36" t="s">
        <v>492</v>
      </c>
      <c r="O36" t="s">
        <v>493</v>
      </c>
      <c r="Q36" t="s">
        <v>31</v>
      </c>
      <c r="R36" t="s">
        <v>497</v>
      </c>
      <c r="S36" t="s">
        <v>31</v>
      </c>
      <c r="U36" t="s">
        <v>154</v>
      </c>
      <c r="V36" t="s">
        <v>154</v>
      </c>
      <c r="W36" t="s">
        <v>155</v>
      </c>
      <c r="X36">
        <v>98.75</v>
      </c>
      <c r="Y36">
        <v>27</v>
      </c>
      <c r="Z36">
        <v>4</v>
      </c>
      <c r="AA36">
        <v>30</v>
      </c>
      <c r="AB36">
        <v>30</v>
      </c>
      <c r="AC36">
        <v>30</v>
      </c>
    </row>
    <row r="37" spans="1:29" x14ac:dyDescent="0.2">
      <c r="A37" t="s">
        <v>156</v>
      </c>
      <c r="B37" t="s">
        <v>489</v>
      </c>
      <c r="C37" t="s">
        <v>494</v>
      </c>
      <c r="D37">
        <v>2022</v>
      </c>
      <c r="E37" t="s">
        <v>26</v>
      </c>
      <c r="G37" t="s">
        <v>26</v>
      </c>
      <c r="H37">
        <v>1</v>
      </c>
      <c r="I37" t="s">
        <v>28</v>
      </c>
      <c r="J37" s="1">
        <v>44804.646701388891</v>
      </c>
      <c r="K37" t="s">
        <v>495</v>
      </c>
      <c r="L37" t="s">
        <v>26</v>
      </c>
      <c r="M37" t="s">
        <v>492</v>
      </c>
      <c r="O37" t="s">
        <v>493</v>
      </c>
      <c r="Q37" t="s">
        <v>31</v>
      </c>
      <c r="R37" t="s">
        <v>497</v>
      </c>
      <c r="S37" t="s">
        <v>31</v>
      </c>
      <c r="U37" t="s">
        <v>103</v>
      </c>
      <c r="V37" t="s">
        <v>157</v>
      </c>
      <c r="W37" t="s">
        <v>158</v>
      </c>
      <c r="X37">
        <v>98.75</v>
      </c>
      <c r="Y37">
        <v>27</v>
      </c>
      <c r="Z37">
        <v>4</v>
      </c>
      <c r="AA37">
        <v>30</v>
      </c>
      <c r="AB37">
        <v>30</v>
      </c>
      <c r="AC37">
        <v>30</v>
      </c>
    </row>
    <row r="45" spans="1:29" x14ac:dyDescent="0.2">
      <c r="A45" t="s">
        <v>46</v>
      </c>
      <c r="B45" t="s">
        <v>48</v>
      </c>
      <c r="C45" t="s">
        <v>501</v>
      </c>
      <c r="D45" t="s">
        <v>502</v>
      </c>
      <c r="E45" t="s">
        <v>54</v>
      </c>
      <c r="F45" t="s">
        <v>503</v>
      </c>
      <c r="G45" t="s">
        <v>504</v>
      </c>
      <c r="H45" t="s">
        <v>505</v>
      </c>
      <c r="I45" t="s">
        <v>506</v>
      </c>
      <c r="J45" t="s">
        <v>59</v>
      </c>
    </row>
    <row r="46" spans="1:29" x14ac:dyDescent="0.2">
      <c r="A46">
        <v>2024</v>
      </c>
      <c r="B46" t="s">
        <v>339</v>
      </c>
      <c r="C46" t="s">
        <v>339</v>
      </c>
      <c r="D46" t="s">
        <v>339</v>
      </c>
      <c r="E46" t="s">
        <v>61</v>
      </c>
      <c r="F46">
        <v>30</v>
      </c>
      <c r="G46" t="s">
        <v>375</v>
      </c>
      <c r="H46" t="s">
        <v>346</v>
      </c>
      <c r="I46" t="s">
        <v>346</v>
      </c>
      <c r="J46" s="46">
        <v>44727.673432523145</v>
      </c>
      <c r="K46" t="s">
        <v>346</v>
      </c>
    </row>
    <row r="47" spans="1:29" x14ac:dyDescent="0.2">
      <c r="A47">
        <v>2024</v>
      </c>
      <c r="B47" t="s">
        <v>339</v>
      </c>
      <c r="C47" t="s">
        <v>339</v>
      </c>
      <c r="D47" t="s">
        <v>339</v>
      </c>
      <c r="E47" t="s">
        <v>61</v>
      </c>
      <c r="F47">
        <v>30</v>
      </c>
      <c r="G47" t="s">
        <v>375</v>
      </c>
      <c r="H47" t="s">
        <v>507</v>
      </c>
      <c r="I47" t="s">
        <v>362</v>
      </c>
      <c r="J47" s="46">
        <v>44727.673432523145</v>
      </c>
      <c r="K47" t="s">
        <v>362</v>
      </c>
    </row>
    <row r="48" spans="1:29" x14ac:dyDescent="0.2">
      <c r="A48">
        <v>2024</v>
      </c>
      <c r="B48" t="s">
        <v>339</v>
      </c>
      <c r="C48" t="s">
        <v>339</v>
      </c>
      <c r="D48" t="s">
        <v>339</v>
      </c>
      <c r="E48" t="s">
        <v>61</v>
      </c>
      <c r="F48">
        <v>30</v>
      </c>
      <c r="G48" t="s">
        <v>375</v>
      </c>
      <c r="H48" t="s">
        <v>508</v>
      </c>
      <c r="I48" t="s">
        <v>363</v>
      </c>
      <c r="J48" s="46">
        <v>44727.673432523145</v>
      </c>
      <c r="K48" t="s">
        <v>363</v>
      </c>
    </row>
    <row r="49" spans="1:10" x14ac:dyDescent="0.2">
      <c r="A49">
        <v>2024</v>
      </c>
      <c r="B49" t="s">
        <v>339</v>
      </c>
      <c r="C49" t="s">
        <v>339</v>
      </c>
      <c r="D49" t="s">
        <v>339</v>
      </c>
      <c r="E49" t="s">
        <v>63</v>
      </c>
      <c r="F49">
        <v>20</v>
      </c>
      <c r="G49" t="s">
        <v>375</v>
      </c>
      <c r="H49" t="s">
        <v>509</v>
      </c>
      <c r="I49" t="s">
        <v>364</v>
      </c>
      <c r="J49" s="46">
        <v>44727.673432523145</v>
      </c>
    </row>
    <row r="50" spans="1:10" x14ac:dyDescent="0.2">
      <c r="A50">
        <v>2024</v>
      </c>
      <c r="B50" t="s">
        <v>339</v>
      </c>
      <c r="C50" t="s">
        <v>339</v>
      </c>
      <c r="D50" t="s">
        <v>339</v>
      </c>
      <c r="E50" t="s">
        <v>63</v>
      </c>
      <c r="F50">
        <v>20</v>
      </c>
      <c r="G50" t="s">
        <v>375</v>
      </c>
      <c r="H50" t="s">
        <v>510</v>
      </c>
      <c r="I50" t="s">
        <v>365</v>
      </c>
      <c r="J50" s="46">
        <v>44727.673432523145</v>
      </c>
    </row>
    <row r="51" spans="1:10" x14ac:dyDescent="0.2">
      <c r="A51">
        <v>2024</v>
      </c>
      <c r="B51" t="s">
        <v>339</v>
      </c>
      <c r="C51" t="s">
        <v>339</v>
      </c>
      <c r="D51" t="s">
        <v>339</v>
      </c>
      <c r="E51" t="s">
        <v>63</v>
      </c>
      <c r="F51">
        <v>20</v>
      </c>
      <c r="G51" t="s">
        <v>375</v>
      </c>
      <c r="H51" t="s">
        <v>511</v>
      </c>
      <c r="I51" t="s">
        <v>366</v>
      </c>
      <c r="J51" s="46">
        <v>44727.673432523145</v>
      </c>
    </row>
    <row r="52" spans="1:10" x14ac:dyDescent="0.2">
      <c r="A52">
        <v>2024</v>
      </c>
      <c r="B52" t="s">
        <v>339</v>
      </c>
      <c r="C52" t="s">
        <v>339</v>
      </c>
      <c r="D52" t="s">
        <v>339</v>
      </c>
      <c r="E52" t="s">
        <v>63</v>
      </c>
      <c r="F52">
        <v>20</v>
      </c>
      <c r="G52" t="s">
        <v>375</v>
      </c>
      <c r="H52" t="s">
        <v>512</v>
      </c>
      <c r="I52" t="s">
        <v>367</v>
      </c>
      <c r="J52" s="46">
        <v>44727.673432523145</v>
      </c>
    </row>
    <row r="53" spans="1:10" x14ac:dyDescent="0.2">
      <c r="A53">
        <v>2024</v>
      </c>
      <c r="B53" t="s">
        <v>339</v>
      </c>
      <c r="C53" t="s">
        <v>339</v>
      </c>
      <c r="D53" t="s">
        <v>339</v>
      </c>
      <c r="E53" t="s">
        <v>63</v>
      </c>
      <c r="F53">
        <v>20</v>
      </c>
      <c r="G53" t="s">
        <v>375</v>
      </c>
      <c r="H53" t="s">
        <v>513</v>
      </c>
      <c r="I53" t="s">
        <v>368</v>
      </c>
      <c r="J53" s="46">
        <v>44727.673432523145</v>
      </c>
    </row>
    <row r="54" spans="1:10" x14ac:dyDescent="0.2">
      <c r="A54">
        <v>2024</v>
      </c>
      <c r="B54" t="s">
        <v>339</v>
      </c>
      <c r="C54" t="s">
        <v>339</v>
      </c>
      <c r="D54" t="s">
        <v>339</v>
      </c>
      <c r="E54" t="s">
        <v>63</v>
      </c>
      <c r="F54">
        <v>20</v>
      </c>
      <c r="G54" t="s">
        <v>375</v>
      </c>
      <c r="H54" t="s">
        <v>342</v>
      </c>
      <c r="I54" t="s">
        <v>342</v>
      </c>
      <c r="J54" s="46">
        <v>44727.673432523145</v>
      </c>
    </row>
    <row r="55" spans="1:10" x14ac:dyDescent="0.2">
      <c r="A55">
        <v>2024</v>
      </c>
      <c r="B55" t="s">
        <v>339</v>
      </c>
      <c r="C55" t="s">
        <v>339</v>
      </c>
      <c r="D55" t="s">
        <v>339</v>
      </c>
      <c r="E55" t="s">
        <v>62</v>
      </c>
      <c r="F55">
        <v>20</v>
      </c>
      <c r="G55" t="s">
        <v>375</v>
      </c>
      <c r="H55" t="s">
        <v>514</v>
      </c>
      <c r="I55" t="s">
        <v>514</v>
      </c>
      <c r="J55" s="46">
        <v>44727.673432523145</v>
      </c>
    </row>
    <row r="56" spans="1:10" x14ac:dyDescent="0.2">
      <c r="A56">
        <v>2024</v>
      </c>
      <c r="B56" t="s">
        <v>339</v>
      </c>
      <c r="C56" t="s">
        <v>339</v>
      </c>
      <c r="D56" t="s">
        <v>339</v>
      </c>
      <c r="E56" t="s">
        <v>62</v>
      </c>
      <c r="F56">
        <v>20</v>
      </c>
      <c r="G56" t="s">
        <v>375</v>
      </c>
      <c r="H56" t="s">
        <v>344</v>
      </c>
      <c r="I56" t="s">
        <v>344</v>
      </c>
      <c r="J56" s="46">
        <v>44727.673432523145</v>
      </c>
    </row>
    <row r="57" spans="1:10" x14ac:dyDescent="0.2">
      <c r="A57">
        <v>2024</v>
      </c>
      <c r="B57" t="s">
        <v>339</v>
      </c>
      <c r="C57" t="s">
        <v>339</v>
      </c>
      <c r="D57" t="s">
        <v>339</v>
      </c>
      <c r="E57" t="s">
        <v>64</v>
      </c>
      <c r="F57">
        <v>15</v>
      </c>
      <c r="G57" t="s">
        <v>375</v>
      </c>
      <c r="H57" t="s">
        <v>345</v>
      </c>
      <c r="I57" t="s">
        <v>345</v>
      </c>
      <c r="J57" s="46">
        <v>44727.673432523145</v>
      </c>
    </row>
    <row r="58" spans="1:10" x14ac:dyDescent="0.2">
      <c r="A58">
        <v>2024</v>
      </c>
      <c r="B58" t="s">
        <v>339</v>
      </c>
      <c r="C58" t="s">
        <v>339</v>
      </c>
      <c r="D58" t="s">
        <v>339</v>
      </c>
      <c r="E58" t="s">
        <v>64</v>
      </c>
      <c r="F58">
        <v>15</v>
      </c>
      <c r="G58" t="s">
        <v>375</v>
      </c>
      <c r="H58" t="s">
        <v>343</v>
      </c>
      <c r="I58" t="s">
        <v>343</v>
      </c>
      <c r="J58" s="46">
        <v>44727.673432523145</v>
      </c>
    </row>
    <row r="59" spans="1:10" x14ac:dyDescent="0.2">
      <c r="A59">
        <v>2024</v>
      </c>
      <c r="B59" t="s">
        <v>339</v>
      </c>
      <c r="C59" t="s">
        <v>339</v>
      </c>
      <c r="D59" t="s">
        <v>339</v>
      </c>
      <c r="E59" t="s">
        <v>64</v>
      </c>
      <c r="F59">
        <v>15</v>
      </c>
      <c r="G59" t="s">
        <v>375</v>
      </c>
      <c r="H59" t="s">
        <v>515</v>
      </c>
      <c r="I59" t="s">
        <v>515</v>
      </c>
      <c r="J59" s="46">
        <v>44727.673432523145</v>
      </c>
    </row>
    <row r="60" spans="1:10" x14ac:dyDescent="0.2">
      <c r="A60">
        <v>2024</v>
      </c>
      <c r="B60" t="s">
        <v>339</v>
      </c>
      <c r="C60" t="s">
        <v>339</v>
      </c>
      <c r="D60" t="s">
        <v>339</v>
      </c>
      <c r="E60" t="s">
        <v>64</v>
      </c>
      <c r="F60">
        <v>15</v>
      </c>
      <c r="G60" t="s">
        <v>375</v>
      </c>
      <c r="H60" t="s">
        <v>516</v>
      </c>
      <c r="I60" t="s">
        <v>516</v>
      </c>
      <c r="J60" s="46">
        <v>44727.673432523145</v>
      </c>
    </row>
    <row r="61" spans="1:10" x14ac:dyDescent="0.2">
      <c r="A61">
        <v>2024</v>
      </c>
      <c r="B61" t="s">
        <v>339</v>
      </c>
      <c r="C61" t="s">
        <v>339</v>
      </c>
      <c r="D61" t="s">
        <v>339</v>
      </c>
      <c r="E61" t="s">
        <v>64</v>
      </c>
      <c r="F61">
        <v>15</v>
      </c>
      <c r="G61" t="s">
        <v>375</v>
      </c>
      <c r="H61" t="s">
        <v>517</v>
      </c>
      <c r="I61" t="s">
        <v>517</v>
      </c>
      <c r="J61" s="46">
        <v>44727.673432523145</v>
      </c>
    </row>
    <row r="62" spans="1:10" x14ac:dyDescent="0.2">
      <c r="A62">
        <v>2024</v>
      </c>
      <c r="B62" t="s">
        <v>339</v>
      </c>
      <c r="C62" t="s">
        <v>339</v>
      </c>
      <c r="D62" t="s">
        <v>339</v>
      </c>
      <c r="E62" t="s">
        <v>64</v>
      </c>
      <c r="F62">
        <v>15</v>
      </c>
      <c r="G62" t="s">
        <v>375</v>
      </c>
      <c r="H62" t="s">
        <v>518</v>
      </c>
      <c r="I62" t="s">
        <v>518</v>
      </c>
      <c r="J62" s="46">
        <v>44727.673432523145</v>
      </c>
    </row>
    <row r="63" spans="1:10" x14ac:dyDescent="0.2">
      <c r="A63">
        <v>2024</v>
      </c>
      <c r="B63" t="s">
        <v>339</v>
      </c>
      <c r="C63" t="s">
        <v>339</v>
      </c>
      <c r="D63" t="s">
        <v>339</v>
      </c>
      <c r="E63" t="s">
        <v>376</v>
      </c>
      <c r="F63">
        <v>15</v>
      </c>
      <c r="G63" t="s">
        <v>375</v>
      </c>
      <c r="H63" t="s">
        <v>519</v>
      </c>
      <c r="I63" t="s">
        <v>519</v>
      </c>
      <c r="J63" s="46">
        <v>44727.673432523145</v>
      </c>
    </row>
    <row r="69" spans="8:8" x14ac:dyDescent="0.2">
      <c r="H69" t="s">
        <v>346</v>
      </c>
    </row>
    <row r="70" spans="8:8" x14ac:dyDescent="0.2">
      <c r="H70" t="s">
        <v>362</v>
      </c>
    </row>
    <row r="71" spans="8:8" x14ac:dyDescent="0.2">
      <c r="H71" t="s">
        <v>363</v>
      </c>
    </row>
    <row r="72" spans="8:8" x14ac:dyDescent="0.2">
      <c r="H72" t="s">
        <v>342</v>
      </c>
    </row>
    <row r="73" spans="8:8" x14ac:dyDescent="0.2">
      <c r="H73" t="s">
        <v>344</v>
      </c>
    </row>
    <row r="74" spans="8:8" x14ac:dyDescent="0.2">
      <c r="H74" t="s">
        <v>345</v>
      </c>
    </row>
    <row r="75" spans="8:8" x14ac:dyDescent="0.2">
      <c r="H75" t="s">
        <v>343</v>
      </c>
    </row>
    <row r="76" spans="8:8" x14ac:dyDescent="0.2">
      <c r="H76" t="s">
        <v>374</v>
      </c>
    </row>
    <row r="80" spans="8:8" x14ac:dyDescent="0.2">
      <c r="H80" t="s">
        <v>364</v>
      </c>
    </row>
    <row r="81" spans="8:8" x14ac:dyDescent="0.2">
      <c r="H81" t="s">
        <v>365</v>
      </c>
    </row>
    <row r="82" spans="8:8" x14ac:dyDescent="0.2">
      <c r="H82" t="s">
        <v>366</v>
      </c>
    </row>
    <row r="83" spans="8:8" x14ac:dyDescent="0.2">
      <c r="H83" t="s">
        <v>367</v>
      </c>
    </row>
    <row r="84" spans="8:8" x14ac:dyDescent="0.2">
      <c r="H84" t="s">
        <v>368</v>
      </c>
    </row>
    <row r="85" spans="8:8" x14ac:dyDescent="0.2">
      <c r="H85" t="s">
        <v>369</v>
      </c>
    </row>
    <row r="86" spans="8:8" x14ac:dyDescent="0.2">
      <c r="H86" t="s">
        <v>370</v>
      </c>
    </row>
    <row r="87" spans="8:8" x14ac:dyDescent="0.2">
      <c r="H87" t="s">
        <v>371</v>
      </c>
    </row>
    <row r="88" spans="8:8" x14ac:dyDescent="0.2">
      <c r="H88" t="s">
        <v>373</v>
      </c>
    </row>
    <row r="99" spans="4:16" x14ac:dyDescent="0.2">
      <c r="D99" t="s">
        <v>46</v>
      </c>
      <c r="E99" t="s">
        <v>48</v>
      </c>
      <c r="F99" t="s">
        <v>501</v>
      </c>
      <c r="G99" t="s">
        <v>502</v>
      </c>
      <c r="H99" t="s">
        <v>54</v>
      </c>
      <c r="I99" t="s">
        <v>503</v>
      </c>
      <c r="J99" t="s">
        <v>504</v>
      </c>
      <c r="K99" t="s">
        <v>505</v>
      </c>
      <c r="L99" t="s">
        <v>506</v>
      </c>
      <c r="M99" t="s">
        <v>59</v>
      </c>
    </row>
    <row r="100" spans="4:16" x14ac:dyDescent="0.2">
      <c r="D100">
        <v>2024</v>
      </c>
      <c r="E100" t="s">
        <v>339</v>
      </c>
      <c r="F100" t="s">
        <v>339</v>
      </c>
      <c r="G100" t="s">
        <v>339</v>
      </c>
      <c r="H100" t="s">
        <v>61</v>
      </c>
      <c r="I100">
        <v>30</v>
      </c>
      <c r="J100" t="s">
        <v>375</v>
      </c>
      <c r="K100" t="s">
        <v>346</v>
      </c>
      <c r="L100" t="s">
        <v>346</v>
      </c>
      <c r="M100" s="46">
        <v>44727.673432523145</v>
      </c>
      <c r="N100" t="s">
        <v>346</v>
      </c>
      <c r="O100" t="b">
        <f>K100=N100</f>
        <v>1</v>
      </c>
      <c r="P100" t="b">
        <f>L100=N100</f>
        <v>1</v>
      </c>
    </row>
    <row r="101" spans="4:16" x14ac:dyDescent="0.2">
      <c r="D101">
        <v>2024</v>
      </c>
      <c r="E101" t="s">
        <v>339</v>
      </c>
      <c r="F101" t="s">
        <v>339</v>
      </c>
      <c r="G101" t="s">
        <v>339</v>
      </c>
      <c r="H101" t="s">
        <v>61</v>
      </c>
      <c r="I101">
        <v>30</v>
      </c>
      <c r="J101" t="s">
        <v>375</v>
      </c>
      <c r="K101" t="s">
        <v>362</v>
      </c>
      <c r="L101" t="s">
        <v>362</v>
      </c>
      <c r="M101" s="46">
        <v>44727.673432523145</v>
      </c>
      <c r="N101" t="s">
        <v>362</v>
      </c>
      <c r="O101" t="b">
        <f t="shared" ref="O101:O118" si="0">K101=N101</f>
        <v>1</v>
      </c>
      <c r="P101" t="b">
        <f t="shared" ref="P101:P118" si="1">L101=N101</f>
        <v>1</v>
      </c>
    </row>
    <row r="102" spans="4:16" x14ac:dyDescent="0.2">
      <c r="D102">
        <v>2024</v>
      </c>
      <c r="E102" t="s">
        <v>339</v>
      </c>
      <c r="F102" t="s">
        <v>339</v>
      </c>
      <c r="G102" t="s">
        <v>339</v>
      </c>
      <c r="H102" t="s">
        <v>61</v>
      </c>
      <c r="I102">
        <v>30</v>
      </c>
      <c r="J102" t="s">
        <v>375</v>
      </c>
      <c r="K102" t="s">
        <v>363</v>
      </c>
      <c r="L102" t="s">
        <v>363</v>
      </c>
      <c r="M102" s="46">
        <v>44727.673432523145</v>
      </c>
      <c r="N102" t="s">
        <v>363</v>
      </c>
      <c r="O102" t="b">
        <f t="shared" si="0"/>
        <v>1</v>
      </c>
      <c r="P102" t="b">
        <f t="shared" si="1"/>
        <v>1</v>
      </c>
    </row>
    <row r="103" spans="4:16" x14ac:dyDescent="0.2">
      <c r="D103">
        <v>2024</v>
      </c>
      <c r="E103" t="s">
        <v>339</v>
      </c>
      <c r="F103" t="s">
        <v>339</v>
      </c>
      <c r="G103" t="s">
        <v>339</v>
      </c>
      <c r="H103" t="s">
        <v>63</v>
      </c>
      <c r="I103">
        <v>20</v>
      </c>
      <c r="J103" t="s">
        <v>375</v>
      </c>
      <c r="K103" t="s">
        <v>342</v>
      </c>
      <c r="L103" t="s">
        <v>342</v>
      </c>
      <c r="M103" s="46">
        <v>44727.673432523145</v>
      </c>
      <c r="N103" t="s">
        <v>342</v>
      </c>
      <c r="O103" t="b">
        <f t="shared" si="0"/>
        <v>1</v>
      </c>
      <c r="P103" t="b">
        <f t="shared" si="1"/>
        <v>1</v>
      </c>
    </row>
    <row r="104" spans="4:16" x14ac:dyDescent="0.2">
      <c r="D104">
        <v>2024</v>
      </c>
      <c r="E104" t="s">
        <v>339</v>
      </c>
      <c r="F104" t="s">
        <v>339</v>
      </c>
      <c r="G104" t="s">
        <v>339</v>
      </c>
      <c r="H104" t="s">
        <v>63</v>
      </c>
      <c r="I104">
        <v>20</v>
      </c>
      <c r="J104" t="s">
        <v>375</v>
      </c>
      <c r="K104" t="s">
        <v>364</v>
      </c>
      <c r="L104" t="s">
        <v>364</v>
      </c>
      <c r="M104" s="46">
        <v>44727.673432523145</v>
      </c>
      <c r="N104" t="s">
        <v>364</v>
      </c>
      <c r="O104" t="b">
        <f t="shared" si="0"/>
        <v>1</v>
      </c>
      <c r="P104" t="b">
        <f t="shared" si="1"/>
        <v>1</v>
      </c>
    </row>
    <row r="105" spans="4:16" x14ac:dyDescent="0.2">
      <c r="D105">
        <v>2024</v>
      </c>
      <c r="E105" t="s">
        <v>339</v>
      </c>
      <c r="F105" t="s">
        <v>339</v>
      </c>
      <c r="G105" t="s">
        <v>339</v>
      </c>
      <c r="H105" t="s">
        <v>63</v>
      </c>
      <c r="I105">
        <v>20</v>
      </c>
      <c r="J105" t="s">
        <v>375</v>
      </c>
      <c r="K105" t="s">
        <v>365</v>
      </c>
      <c r="L105" t="s">
        <v>365</v>
      </c>
      <c r="M105" s="46">
        <v>44727.673432523145</v>
      </c>
      <c r="N105" t="s">
        <v>365</v>
      </c>
      <c r="O105" t="b">
        <f t="shared" si="0"/>
        <v>1</v>
      </c>
      <c r="P105" t="b">
        <f t="shared" si="1"/>
        <v>1</v>
      </c>
    </row>
    <row r="106" spans="4:16" x14ac:dyDescent="0.2">
      <c r="D106">
        <v>2024</v>
      </c>
      <c r="E106" t="s">
        <v>339</v>
      </c>
      <c r="F106" t="s">
        <v>339</v>
      </c>
      <c r="G106" t="s">
        <v>339</v>
      </c>
      <c r="H106" t="s">
        <v>63</v>
      </c>
      <c r="I106">
        <v>20</v>
      </c>
      <c r="J106" t="s">
        <v>375</v>
      </c>
      <c r="K106" t="s">
        <v>366</v>
      </c>
      <c r="L106" t="s">
        <v>366</v>
      </c>
      <c r="M106" s="46">
        <v>44727.673432523145</v>
      </c>
      <c r="N106" t="s">
        <v>366</v>
      </c>
      <c r="O106" t="b">
        <f t="shared" si="0"/>
        <v>1</v>
      </c>
      <c r="P106" t="b">
        <f t="shared" si="1"/>
        <v>1</v>
      </c>
    </row>
    <row r="107" spans="4:16" x14ac:dyDescent="0.2">
      <c r="D107">
        <v>2024</v>
      </c>
      <c r="E107" t="s">
        <v>339</v>
      </c>
      <c r="F107" t="s">
        <v>339</v>
      </c>
      <c r="G107" t="s">
        <v>339</v>
      </c>
      <c r="H107" t="s">
        <v>63</v>
      </c>
      <c r="I107">
        <v>20</v>
      </c>
      <c r="J107" t="s">
        <v>375</v>
      </c>
      <c r="K107" t="s">
        <v>367</v>
      </c>
      <c r="L107" t="s">
        <v>367</v>
      </c>
      <c r="M107" s="46">
        <v>44727.673432523145</v>
      </c>
      <c r="N107" t="s">
        <v>367</v>
      </c>
      <c r="O107" t="b">
        <f t="shared" si="0"/>
        <v>1</v>
      </c>
      <c r="P107" t="b">
        <f t="shared" si="1"/>
        <v>1</v>
      </c>
    </row>
    <row r="108" spans="4:16" s="24" customFormat="1" x14ac:dyDescent="0.2">
      <c r="D108" s="24">
        <v>2024</v>
      </c>
      <c r="E108" s="24" t="s">
        <v>339</v>
      </c>
      <c r="F108" s="24" t="s">
        <v>339</v>
      </c>
      <c r="G108" s="24" t="s">
        <v>339</v>
      </c>
      <c r="H108" s="24" t="s">
        <v>62</v>
      </c>
      <c r="I108" s="24">
        <v>20</v>
      </c>
      <c r="J108" s="24" t="s">
        <v>375</v>
      </c>
      <c r="K108" s="24" t="s">
        <v>369</v>
      </c>
      <c r="L108" s="24" t="s">
        <v>369</v>
      </c>
      <c r="M108" s="43">
        <v>44727.673432523145</v>
      </c>
      <c r="N108" t="s">
        <v>369</v>
      </c>
      <c r="O108" t="b">
        <f t="shared" si="0"/>
        <v>1</v>
      </c>
      <c r="P108" t="b">
        <f t="shared" si="1"/>
        <v>1</v>
      </c>
    </row>
    <row r="109" spans="4:16" x14ac:dyDescent="0.2">
      <c r="D109">
        <v>2024</v>
      </c>
      <c r="E109" t="s">
        <v>339</v>
      </c>
      <c r="F109" t="s">
        <v>339</v>
      </c>
      <c r="G109" t="s">
        <v>339</v>
      </c>
      <c r="H109" t="s">
        <v>62</v>
      </c>
      <c r="I109">
        <v>20</v>
      </c>
      <c r="J109" t="s">
        <v>375</v>
      </c>
      <c r="K109" t="s">
        <v>344</v>
      </c>
      <c r="L109" t="s">
        <v>344</v>
      </c>
      <c r="M109" s="46">
        <v>44727.673432523145</v>
      </c>
      <c r="N109" t="s">
        <v>344</v>
      </c>
      <c r="O109" t="b">
        <f t="shared" si="0"/>
        <v>1</v>
      </c>
      <c r="P109" t="b">
        <f t="shared" si="1"/>
        <v>1</v>
      </c>
    </row>
    <row r="110" spans="4:16" x14ac:dyDescent="0.2">
      <c r="D110">
        <v>2024</v>
      </c>
      <c r="E110" t="s">
        <v>339</v>
      </c>
      <c r="F110" t="s">
        <v>339</v>
      </c>
      <c r="G110" t="s">
        <v>339</v>
      </c>
      <c r="H110" t="s">
        <v>64</v>
      </c>
      <c r="I110">
        <v>15</v>
      </c>
      <c r="J110" t="s">
        <v>375</v>
      </c>
      <c r="K110" t="s">
        <v>345</v>
      </c>
      <c r="L110" t="s">
        <v>345</v>
      </c>
      <c r="M110" s="46">
        <v>44727.673432523145</v>
      </c>
      <c r="N110" t="s">
        <v>345</v>
      </c>
      <c r="O110" t="b">
        <f t="shared" si="0"/>
        <v>1</v>
      </c>
      <c r="P110" t="b">
        <f t="shared" si="1"/>
        <v>1</v>
      </c>
    </row>
    <row r="111" spans="4:16" s="24" customFormat="1" x14ac:dyDescent="0.2">
      <c r="D111" s="24">
        <v>2024</v>
      </c>
      <c r="E111" s="24" t="s">
        <v>339</v>
      </c>
      <c r="F111" s="24" t="s">
        <v>339</v>
      </c>
      <c r="G111" s="24" t="s">
        <v>339</v>
      </c>
      <c r="H111" s="24" t="s">
        <v>64</v>
      </c>
      <c r="I111" s="24">
        <v>15</v>
      </c>
      <c r="J111" s="24" t="s">
        <v>375</v>
      </c>
      <c r="K111" s="24" t="s">
        <v>343</v>
      </c>
      <c r="L111" s="24" t="s">
        <v>343</v>
      </c>
      <c r="M111" s="43">
        <v>44727.673432523145</v>
      </c>
      <c r="N111" s="24" t="s">
        <v>343</v>
      </c>
      <c r="O111" s="24" t="b">
        <f t="shared" si="0"/>
        <v>1</v>
      </c>
      <c r="P111" s="24" t="b">
        <f t="shared" si="1"/>
        <v>1</v>
      </c>
    </row>
    <row r="112" spans="4:16" s="4" customFormat="1" x14ac:dyDescent="0.2">
      <c r="D112" s="4">
        <v>2024</v>
      </c>
      <c r="E112" s="4" t="s">
        <v>339</v>
      </c>
      <c r="F112" s="4" t="s">
        <v>339</v>
      </c>
      <c r="G112" s="4" t="s">
        <v>339</v>
      </c>
      <c r="H112" s="4" t="s">
        <v>64</v>
      </c>
      <c r="I112" s="4">
        <v>15</v>
      </c>
      <c r="J112" s="4" t="s">
        <v>375</v>
      </c>
      <c r="K112" s="4" t="s">
        <v>515</v>
      </c>
      <c r="L112" s="4" t="s">
        <v>515</v>
      </c>
      <c r="M112" s="47">
        <v>44727.673432523145</v>
      </c>
      <c r="N112" s="4" t="s">
        <v>370</v>
      </c>
      <c r="O112" s="4" t="b">
        <f t="shared" si="0"/>
        <v>0</v>
      </c>
      <c r="P112" s="4" t="b">
        <f t="shared" si="1"/>
        <v>0</v>
      </c>
    </row>
    <row r="113" spans="4:16" x14ac:dyDescent="0.2">
      <c r="D113">
        <v>2024</v>
      </c>
      <c r="E113" t="s">
        <v>339</v>
      </c>
      <c r="F113" t="s">
        <v>339</v>
      </c>
      <c r="G113" t="s">
        <v>339</v>
      </c>
      <c r="H113" t="s">
        <v>64</v>
      </c>
      <c r="I113">
        <v>15</v>
      </c>
      <c r="J113" t="s">
        <v>375</v>
      </c>
      <c r="K113" t="s">
        <v>516</v>
      </c>
      <c r="L113" t="s">
        <v>516</v>
      </c>
      <c r="M113" s="46">
        <v>44727.673432523145</v>
      </c>
      <c r="N113" t="s">
        <v>371</v>
      </c>
      <c r="O113" t="b">
        <f t="shared" si="0"/>
        <v>0</v>
      </c>
      <c r="P113" t="b">
        <f t="shared" si="1"/>
        <v>0</v>
      </c>
    </row>
    <row r="114" spans="4:16" x14ac:dyDescent="0.2">
      <c r="D114">
        <v>2024</v>
      </c>
      <c r="E114" t="s">
        <v>339</v>
      </c>
      <c r="F114" t="s">
        <v>339</v>
      </c>
      <c r="G114" t="s">
        <v>339</v>
      </c>
      <c r="H114" t="s">
        <v>64</v>
      </c>
      <c r="I114">
        <v>15</v>
      </c>
      <c r="J114" t="s">
        <v>375</v>
      </c>
      <c r="K114" t="s">
        <v>517</v>
      </c>
      <c r="L114" t="s">
        <v>517</v>
      </c>
      <c r="M114" s="46">
        <v>44727.673432523145</v>
      </c>
      <c r="N114" t="s">
        <v>372</v>
      </c>
      <c r="O114" t="b">
        <f t="shared" si="0"/>
        <v>0</v>
      </c>
      <c r="P114" t="b">
        <f t="shared" si="1"/>
        <v>0</v>
      </c>
    </row>
    <row r="115" spans="4:16" x14ac:dyDescent="0.2">
      <c r="D115">
        <v>2024</v>
      </c>
      <c r="E115" t="s">
        <v>339</v>
      </c>
      <c r="F115" t="s">
        <v>339</v>
      </c>
      <c r="G115" t="s">
        <v>339</v>
      </c>
      <c r="H115" t="s">
        <v>64</v>
      </c>
      <c r="I115">
        <v>15</v>
      </c>
      <c r="J115" t="s">
        <v>375</v>
      </c>
      <c r="K115" t="s">
        <v>518</v>
      </c>
      <c r="L115" t="s">
        <v>518</v>
      </c>
      <c r="M115" s="46">
        <v>44727.673432523145</v>
      </c>
      <c r="N115" t="s">
        <v>373</v>
      </c>
      <c r="O115" t="b">
        <f t="shared" si="0"/>
        <v>0</v>
      </c>
      <c r="P115" t="b">
        <f t="shared" si="1"/>
        <v>0</v>
      </c>
    </row>
    <row r="116" spans="4:16" x14ac:dyDescent="0.2">
      <c r="D116">
        <v>2024</v>
      </c>
      <c r="E116" t="s">
        <v>339</v>
      </c>
      <c r="F116" t="s">
        <v>339</v>
      </c>
      <c r="G116" t="s">
        <v>339</v>
      </c>
      <c r="H116" t="s">
        <v>376</v>
      </c>
      <c r="I116">
        <v>15</v>
      </c>
      <c r="J116" t="s">
        <v>375</v>
      </c>
      <c r="K116" t="s">
        <v>374</v>
      </c>
      <c r="L116" t="s">
        <v>374</v>
      </c>
      <c r="M116" s="46">
        <v>44727.673432523145</v>
      </c>
      <c r="N116" t="s">
        <v>374</v>
      </c>
      <c r="O116" t="b">
        <f t="shared" si="0"/>
        <v>1</v>
      </c>
      <c r="P116" t="b">
        <f t="shared" si="1"/>
        <v>1</v>
      </c>
    </row>
    <row r="117" spans="4:16" x14ac:dyDescent="0.2">
      <c r="N117" t="s">
        <v>520</v>
      </c>
      <c r="O117" t="b">
        <f t="shared" si="0"/>
        <v>0</v>
      </c>
      <c r="P117" t="b">
        <f t="shared" si="1"/>
        <v>0</v>
      </c>
    </row>
    <row r="118" spans="4:16" x14ac:dyDescent="0.2">
      <c r="N118" s="24" t="s">
        <v>368</v>
      </c>
      <c r="O118" t="e">
        <f>K118=#REF!</f>
        <v>#REF!</v>
      </c>
      <c r="P118" t="e">
        <f>L118=#REF!</f>
        <v>#REF!</v>
      </c>
    </row>
  </sheetData>
  <autoFilter ref="A1:AC37" xr:uid="{ADCFABDA-4059-4BAA-A843-3DAD9BE436F1}">
    <filterColumn colId="2">
      <filters>
        <filter val="MS_FORM_IT_0283"/>
      </filters>
    </filterColumn>
  </autoFilter>
  <sortState xmlns:xlrd2="http://schemas.microsoft.com/office/spreadsheetml/2017/richdata2" ref="D100:M116">
    <sortCondition ref="K100:K1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55DC-3B41-46A6-B1C3-8C3BA94472FF}">
  <dimension ref="A1:Z50"/>
  <sheetViews>
    <sheetView zoomScale="40" zoomScaleNormal="40" workbookViewId="0">
      <selection activeCell="A40" sqref="A40:Z50"/>
    </sheetView>
  </sheetViews>
  <sheetFormatPr defaultRowHeight="15" x14ac:dyDescent="0.2"/>
  <cols>
    <col min="1" max="1" width="16.94921875" bestFit="1" customWidth="1"/>
    <col min="2" max="2" width="16.27734375" bestFit="1" customWidth="1"/>
    <col min="3" max="3" width="16.94921875" bestFit="1" customWidth="1"/>
    <col min="4" max="4" width="13.44921875" bestFit="1" customWidth="1"/>
    <col min="5" max="5" width="9.01171875" customWidth="1"/>
    <col min="6" max="6" width="13.44921875" bestFit="1" customWidth="1"/>
    <col min="7" max="7" width="13.85546875" bestFit="1" customWidth="1"/>
    <col min="8" max="8" width="4.5703125" bestFit="1" customWidth="1"/>
    <col min="9" max="9" width="14.2578125" bestFit="1" customWidth="1"/>
    <col min="10" max="10" width="21.5234375" bestFit="1" customWidth="1"/>
    <col min="11" max="11" width="6.05078125" bestFit="1" customWidth="1"/>
    <col min="12" max="12" width="7.53125" bestFit="1" customWidth="1"/>
    <col min="13" max="13" width="5.109375" bestFit="1" customWidth="1"/>
    <col min="14" max="14" width="7.3984375" bestFit="1" customWidth="1"/>
    <col min="15" max="15" width="37.26171875" bestFit="1" customWidth="1"/>
    <col min="16" max="19" width="9.81640625" bestFit="1" customWidth="1"/>
    <col min="20" max="20" width="9.55078125" bestFit="1" customWidth="1"/>
    <col min="21" max="21" width="13.98828125" bestFit="1" customWidth="1"/>
    <col min="22" max="22" width="9.28125" bestFit="1" customWidth="1"/>
    <col min="23" max="23" width="8.609375" bestFit="1" customWidth="1"/>
    <col min="24" max="24" width="106.2734375" bestFit="1" customWidth="1"/>
    <col min="26" max="26" width="14.125" bestFit="1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26</v>
      </c>
      <c r="C2" t="s">
        <v>27</v>
      </c>
      <c r="D2">
        <v>2021</v>
      </c>
      <c r="E2">
        <v>1</v>
      </c>
      <c r="F2" t="s">
        <v>28</v>
      </c>
      <c r="G2" s="1">
        <v>123</v>
      </c>
      <c r="H2">
        <v>123</v>
      </c>
      <c r="I2" s="1">
        <v>44414.390844907408</v>
      </c>
      <c r="J2" t="s">
        <v>29</v>
      </c>
      <c r="K2" t="s">
        <v>26</v>
      </c>
      <c r="L2" t="s">
        <v>30</v>
      </c>
      <c r="M2" t="s">
        <v>31</v>
      </c>
      <c r="N2" t="s">
        <v>31</v>
      </c>
      <c r="O2" t="s">
        <v>31</v>
      </c>
      <c r="P2" t="s">
        <v>31</v>
      </c>
      <c r="Q2" t="s">
        <v>32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>
        <v>25</v>
      </c>
      <c r="X2" t="s">
        <v>36</v>
      </c>
      <c r="Y2">
        <v>4</v>
      </c>
      <c r="Z2">
        <v>4</v>
      </c>
    </row>
    <row r="3" spans="1:26" x14ac:dyDescent="0.2">
      <c r="A3" t="s">
        <v>26</v>
      </c>
      <c r="C3" t="s">
        <v>27</v>
      </c>
      <c r="D3">
        <v>2021</v>
      </c>
      <c r="E3">
        <v>1</v>
      </c>
      <c r="F3" t="s">
        <v>28</v>
      </c>
      <c r="G3" s="1">
        <v>123</v>
      </c>
      <c r="H3">
        <v>123</v>
      </c>
      <c r="I3" s="1">
        <v>44414.390844907408</v>
      </c>
      <c r="J3" t="s">
        <v>29</v>
      </c>
      <c r="K3" t="s">
        <v>26</v>
      </c>
      <c r="L3" t="s">
        <v>30</v>
      </c>
      <c r="M3" t="s">
        <v>31</v>
      </c>
      <c r="N3" t="s">
        <v>31</v>
      </c>
      <c r="O3" t="s">
        <v>31</v>
      </c>
      <c r="P3" t="s">
        <v>31</v>
      </c>
      <c r="Q3" t="s">
        <v>32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>
        <v>22</v>
      </c>
      <c r="X3" t="s">
        <v>33</v>
      </c>
      <c r="Y3">
        <v>4</v>
      </c>
      <c r="Z3">
        <v>4</v>
      </c>
    </row>
    <row r="4" spans="1:26" x14ac:dyDescent="0.2">
      <c r="A4" t="s">
        <v>26</v>
      </c>
      <c r="C4" t="s">
        <v>27</v>
      </c>
      <c r="D4">
        <v>2021</v>
      </c>
      <c r="E4">
        <v>1</v>
      </c>
      <c r="F4" t="s">
        <v>28</v>
      </c>
      <c r="G4" s="1">
        <v>123</v>
      </c>
      <c r="H4">
        <v>123</v>
      </c>
      <c r="I4" s="1">
        <v>44414.390844907408</v>
      </c>
      <c r="J4" t="s">
        <v>29</v>
      </c>
      <c r="K4" t="s">
        <v>26</v>
      </c>
      <c r="L4" t="s">
        <v>30</v>
      </c>
      <c r="M4" t="s">
        <v>31</v>
      </c>
      <c r="N4" t="s">
        <v>31</v>
      </c>
      <c r="O4" t="s">
        <v>31</v>
      </c>
      <c r="P4" t="s">
        <v>31</v>
      </c>
      <c r="Q4" t="s">
        <v>32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>
        <v>24</v>
      </c>
      <c r="X4" t="s">
        <v>35</v>
      </c>
      <c r="Y4">
        <v>3</v>
      </c>
      <c r="Z4">
        <v>3</v>
      </c>
    </row>
    <row r="5" spans="1:26" x14ac:dyDescent="0.2">
      <c r="A5" t="s">
        <v>26</v>
      </c>
      <c r="C5" t="s">
        <v>27</v>
      </c>
      <c r="D5">
        <v>2021</v>
      </c>
      <c r="E5">
        <v>1</v>
      </c>
      <c r="F5" t="s">
        <v>28</v>
      </c>
      <c r="G5" s="1">
        <v>123</v>
      </c>
      <c r="H5">
        <v>123</v>
      </c>
      <c r="I5" s="1">
        <v>44414.390844907408</v>
      </c>
      <c r="J5" t="s">
        <v>29</v>
      </c>
      <c r="K5" t="s">
        <v>26</v>
      </c>
      <c r="L5" t="s">
        <v>30</v>
      </c>
      <c r="M5" t="s">
        <v>31</v>
      </c>
      <c r="N5" t="s">
        <v>31</v>
      </c>
      <c r="O5" t="s">
        <v>31</v>
      </c>
      <c r="P5" t="s">
        <v>31</v>
      </c>
      <c r="Q5" t="s">
        <v>32</v>
      </c>
      <c r="R5" t="s">
        <v>31</v>
      </c>
      <c r="S5" t="s">
        <v>31</v>
      </c>
      <c r="T5" t="s">
        <v>31</v>
      </c>
      <c r="U5" t="s">
        <v>31</v>
      </c>
      <c r="V5" t="s">
        <v>31</v>
      </c>
      <c r="W5">
        <v>26</v>
      </c>
      <c r="X5" t="s">
        <v>37</v>
      </c>
      <c r="Y5">
        <v>3</v>
      </c>
      <c r="Z5">
        <v>3</v>
      </c>
    </row>
    <row r="6" spans="1:26" x14ac:dyDescent="0.2">
      <c r="A6" t="s">
        <v>26</v>
      </c>
      <c r="C6" t="s">
        <v>27</v>
      </c>
      <c r="D6">
        <v>2021</v>
      </c>
      <c r="E6">
        <v>1</v>
      </c>
      <c r="F6" t="s">
        <v>28</v>
      </c>
      <c r="G6" s="1">
        <v>123</v>
      </c>
      <c r="H6">
        <v>123</v>
      </c>
      <c r="I6" s="1">
        <v>44414.390844907408</v>
      </c>
      <c r="J6" t="s">
        <v>29</v>
      </c>
      <c r="K6" t="s">
        <v>26</v>
      </c>
      <c r="L6" t="s">
        <v>30</v>
      </c>
      <c r="M6" t="s">
        <v>31</v>
      </c>
      <c r="N6" t="s">
        <v>31</v>
      </c>
      <c r="O6" t="s">
        <v>31</v>
      </c>
      <c r="P6" t="s">
        <v>31</v>
      </c>
      <c r="Q6" t="s">
        <v>32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>
        <v>23</v>
      </c>
      <c r="X6" t="s">
        <v>34</v>
      </c>
      <c r="Y6">
        <v>3</v>
      </c>
      <c r="Z6">
        <v>3</v>
      </c>
    </row>
    <row r="7" spans="1:26" x14ac:dyDescent="0.2">
      <c r="A7" t="s">
        <v>26</v>
      </c>
      <c r="C7" t="s">
        <v>27</v>
      </c>
      <c r="D7">
        <v>2021</v>
      </c>
      <c r="E7">
        <v>1</v>
      </c>
      <c r="F7" t="s">
        <v>28</v>
      </c>
      <c r="G7" s="1">
        <v>123</v>
      </c>
      <c r="H7">
        <v>123</v>
      </c>
      <c r="I7" s="1">
        <v>44414.390844907408</v>
      </c>
      <c r="J7" t="s">
        <v>29</v>
      </c>
      <c r="K7" t="s">
        <v>26</v>
      </c>
      <c r="L7" t="s">
        <v>30</v>
      </c>
      <c r="M7" t="s">
        <v>31</v>
      </c>
      <c r="N7" t="s">
        <v>31</v>
      </c>
      <c r="O7" t="s">
        <v>31</v>
      </c>
      <c r="P7" t="s">
        <v>31</v>
      </c>
      <c r="Q7" t="s">
        <v>32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>
        <v>30</v>
      </c>
      <c r="X7" t="s">
        <v>38</v>
      </c>
      <c r="Y7">
        <v>4</v>
      </c>
      <c r="Z7">
        <v>4</v>
      </c>
    </row>
    <row r="8" spans="1:26" x14ac:dyDescent="0.2">
      <c r="A8" t="s">
        <v>26</v>
      </c>
      <c r="C8" t="s">
        <v>27</v>
      </c>
      <c r="D8">
        <v>2021</v>
      </c>
      <c r="E8">
        <v>1</v>
      </c>
      <c r="F8" t="s">
        <v>28</v>
      </c>
      <c r="G8" s="1">
        <v>123</v>
      </c>
      <c r="H8">
        <v>123</v>
      </c>
      <c r="I8" s="1">
        <v>44414.390844907408</v>
      </c>
      <c r="J8" t="s">
        <v>29</v>
      </c>
      <c r="K8" t="s">
        <v>26</v>
      </c>
      <c r="L8" t="s">
        <v>30</v>
      </c>
      <c r="M8" t="s">
        <v>31</v>
      </c>
      <c r="N8" t="s">
        <v>31</v>
      </c>
      <c r="O8" t="s">
        <v>31</v>
      </c>
      <c r="P8" t="s">
        <v>31</v>
      </c>
      <c r="Q8" t="s">
        <v>32</v>
      </c>
      <c r="R8" t="s">
        <v>31</v>
      </c>
      <c r="S8" t="s">
        <v>31</v>
      </c>
      <c r="T8" t="s">
        <v>31</v>
      </c>
      <c r="U8" t="s">
        <v>31</v>
      </c>
      <c r="V8" t="s">
        <v>31</v>
      </c>
      <c r="W8">
        <v>31</v>
      </c>
      <c r="X8" t="s">
        <v>39</v>
      </c>
      <c r="Y8">
        <v>4</v>
      </c>
      <c r="Z8">
        <v>4</v>
      </c>
    </row>
    <row r="9" spans="1:26" x14ac:dyDescent="0.2">
      <c r="G9" s="1"/>
    </row>
    <row r="12" spans="1:26" x14ac:dyDescent="0.2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12</v>
      </c>
      <c r="N12" t="s">
        <v>13</v>
      </c>
      <c r="O12" t="s">
        <v>14</v>
      </c>
      <c r="P12" t="s">
        <v>15</v>
      </c>
      <c r="Q12" t="s">
        <v>16</v>
      </c>
      <c r="R12" t="s">
        <v>17</v>
      </c>
      <c r="S12" t="s">
        <v>18</v>
      </c>
      <c r="T12" t="s">
        <v>19</v>
      </c>
      <c r="U12" t="s">
        <v>20</v>
      </c>
      <c r="V12" t="s">
        <v>21</v>
      </c>
      <c r="W12" t="s">
        <v>22</v>
      </c>
      <c r="X12" t="s">
        <v>23</v>
      </c>
      <c r="Y12" t="s">
        <v>24</v>
      </c>
      <c r="Z12" t="s">
        <v>25</v>
      </c>
    </row>
    <row r="13" spans="1:26" x14ac:dyDescent="0.2">
      <c r="A13" t="s">
        <v>339</v>
      </c>
      <c r="C13" t="s">
        <v>443</v>
      </c>
      <c r="D13">
        <v>2024</v>
      </c>
      <c r="E13">
        <v>1</v>
      </c>
      <c r="F13" t="s">
        <v>340</v>
      </c>
      <c r="G13">
        <v>4897</v>
      </c>
      <c r="H13">
        <v>4875</v>
      </c>
      <c r="I13" s="1">
        <v>45474.501493055555</v>
      </c>
      <c r="J13" t="s">
        <v>444</v>
      </c>
      <c r="K13" t="s">
        <v>445</v>
      </c>
      <c r="M13" t="s">
        <v>31</v>
      </c>
      <c r="N13" t="s">
        <v>341</v>
      </c>
      <c r="O13" t="s">
        <v>446</v>
      </c>
      <c r="P13" t="s">
        <v>445</v>
      </c>
      <c r="Q13" t="s">
        <v>447</v>
      </c>
      <c r="R13" t="s">
        <v>31</v>
      </c>
      <c r="S13" t="s">
        <v>31</v>
      </c>
      <c r="T13" t="s">
        <v>31</v>
      </c>
      <c r="U13" t="s">
        <v>31</v>
      </c>
      <c r="V13" t="s">
        <v>31</v>
      </c>
      <c r="W13">
        <v>26</v>
      </c>
      <c r="X13" t="s">
        <v>31</v>
      </c>
      <c r="Y13" t="s">
        <v>448</v>
      </c>
      <c r="Z13" t="s">
        <v>31</v>
      </c>
    </row>
    <row r="14" spans="1:26" x14ac:dyDescent="0.2">
      <c r="A14" t="s">
        <v>339</v>
      </c>
      <c r="C14" t="s">
        <v>443</v>
      </c>
      <c r="D14">
        <v>2024</v>
      </c>
      <c r="E14">
        <v>1</v>
      </c>
      <c r="F14" t="s">
        <v>340</v>
      </c>
      <c r="G14">
        <v>4897</v>
      </c>
      <c r="H14">
        <v>4875</v>
      </c>
      <c r="I14" s="1">
        <v>45474.501493055555</v>
      </c>
      <c r="J14" t="s">
        <v>444</v>
      </c>
      <c r="K14" t="s">
        <v>445</v>
      </c>
      <c r="M14" t="s">
        <v>31</v>
      </c>
      <c r="N14" t="s">
        <v>341</v>
      </c>
      <c r="O14" t="s">
        <v>446</v>
      </c>
      <c r="P14" t="s">
        <v>445</v>
      </c>
      <c r="Q14" t="s">
        <v>447</v>
      </c>
      <c r="R14" t="s">
        <v>31</v>
      </c>
      <c r="S14" t="s">
        <v>31</v>
      </c>
      <c r="T14" t="s">
        <v>31</v>
      </c>
      <c r="U14" t="s">
        <v>31</v>
      </c>
      <c r="V14" t="s">
        <v>31</v>
      </c>
      <c r="W14">
        <v>23</v>
      </c>
      <c r="X14" t="s">
        <v>346</v>
      </c>
      <c r="Y14">
        <v>3</v>
      </c>
      <c r="Z14">
        <v>3</v>
      </c>
    </row>
    <row r="15" spans="1:26" x14ac:dyDescent="0.2">
      <c r="A15" t="s">
        <v>339</v>
      </c>
      <c r="C15" t="s">
        <v>443</v>
      </c>
      <c r="D15">
        <v>2024</v>
      </c>
      <c r="E15">
        <v>1</v>
      </c>
      <c r="F15" t="s">
        <v>340</v>
      </c>
      <c r="G15">
        <v>4897</v>
      </c>
      <c r="H15">
        <v>4875</v>
      </c>
      <c r="I15" s="1">
        <v>45474.501493055555</v>
      </c>
      <c r="J15" t="s">
        <v>444</v>
      </c>
      <c r="K15" t="s">
        <v>445</v>
      </c>
      <c r="M15" t="s">
        <v>31</v>
      </c>
      <c r="N15" t="s">
        <v>341</v>
      </c>
      <c r="O15" t="s">
        <v>446</v>
      </c>
      <c r="P15" t="s">
        <v>445</v>
      </c>
      <c r="Q15" t="s">
        <v>447</v>
      </c>
      <c r="R15" t="s">
        <v>31</v>
      </c>
      <c r="S15" t="s">
        <v>31</v>
      </c>
      <c r="T15" t="s">
        <v>31</v>
      </c>
      <c r="U15" t="s">
        <v>31</v>
      </c>
      <c r="V15" t="s">
        <v>31</v>
      </c>
      <c r="W15">
        <v>24</v>
      </c>
      <c r="X15" t="s">
        <v>362</v>
      </c>
      <c r="Y15">
        <v>3</v>
      </c>
      <c r="Z15">
        <v>3</v>
      </c>
    </row>
    <row r="16" spans="1:26" x14ac:dyDescent="0.2">
      <c r="A16" t="s">
        <v>339</v>
      </c>
      <c r="C16" t="s">
        <v>443</v>
      </c>
      <c r="D16">
        <v>2024</v>
      </c>
      <c r="E16">
        <v>1</v>
      </c>
      <c r="F16" t="s">
        <v>340</v>
      </c>
      <c r="G16">
        <v>4897</v>
      </c>
      <c r="H16">
        <v>4875</v>
      </c>
      <c r="I16" s="1">
        <v>45474.501493055555</v>
      </c>
      <c r="J16" t="s">
        <v>444</v>
      </c>
      <c r="K16" t="s">
        <v>445</v>
      </c>
      <c r="M16" t="s">
        <v>31</v>
      </c>
      <c r="N16" t="s">
        <v>341</v>
      </c>
      <c r="O16" t="s">
        <v>446</v>
      </c>
      <c r="P16" t="s">
        <v>445</v>
      </c>
      <c r="Q16" t="s">
        <v>447</v>
      </c>
      <c r="R16" t="s">
        <v>31</v>
      </c>
      <c r="S16" t="s">
        <v>31</v>
      </c>
      <c r="T16" t="s">
        <v>31</v>
      </c>
      <c r="U16" t="s">
        <v>31</v>
      </c>
      <c r="V16" t="s">
        <v>31</v>
      </c>
      <c r="W16">
        <v>25</v>
      </c>
      <c r="X16" t="s">
        <v>363</v>
      </c>
      <c r="Y16">
        <v>4</v>
      </c>
      <c r="Z16">
        <v>4</v>
      </c>
    </row>
    <row r="17" spans="1:26" x14ac:dyDescent="0.2">
      <c r="A17" t="s">
        <v>339</v>
      </c>
      <c r="C17" t="s">
        <v>443</v>
      </c>
      <c r="D17">
        <v>2024</v>
      </c>
      <c r="E17">
        <v>1</v>
      </c>
      <c r="F17" t="s">
        <v>340</v>
      </c>
      <c r="G17">
        <v>4897</v>
      </c>
      <c r="H17">
        <v>4875</v>
      </c>
      <c r="I17" s="1">
        <v>45474.501493055555</v>
      </c>
      <c r="J17" t="s">
        <v>444</v>
      </c>
      <c r="K17" t="s">
        <v>445</v>
      </c>
      <c r="M17" t="s">
        <v>31</v>
      </c>
      <c r="N17" t="s">
        <v>341</v>
      </c>
      <c r="O17" t="s">
        <v>446</v>
      </c>
      <c r="P17" t="s">
        <v>445</v>
      </c>
      <c r="Q17" t="s">
        <v>447</v>
      </c>
      <c r="R17" t="s">
        <v>31</v>
      </c>
      <c r="S17" t="s">
        <v>31</v>
      </c>
      <c r="T17" t="s">
        <v>31</v>
      </c>
      <c r="U17" t="s">
        <v>31</v>
      </c>
      <c r="V17" t="s">
        <v>31</v>
      </c>
      <c r="W17">
        <v>47</v>
      </c>
      <c r="X17" t="s">
        <v>342</v>
      </c>
      <c r="Y17" t="s">
        <v>31</v>
      </c>
      <c r="Z17" t="s">
        <v>31</v>
      </c>
    </row>
    <row r="18" spans="1:26" x14ac:dyDescent="0.2">
      <c r="A18" t="s">
        <v>339</v>
      </c>
      <c r="C18" t="s">
        <v>443</v>
      </c>
      <c r="D18">
        <v>2024</v>
      </c>
      <c r="E18">
        <v>1</v>
      </c>
      <c r="F18" t="s">
        <v>340</v>
      </c>
      <c r="G18">
        <v>4897</v>
      </c>
      <c r="H18">
        <v>4875</v>
      </c>
      <c r="I18" s="1">
        <v>45474.501493055555</v>
      </c>
      <c r="J18" t="s">
        <v>444</v>
      </c>
      <c r="K18" t="s">
        <v>445</v>
      </c>
      <c r="M18" t="s">
        <v>31</v>
      </c>
      <c r="N18" t="s">
        <v>341</v>
      </c>
      <c r="O18" t="s">
        <v>446</v>
      </c>
      <c r="P18" t="s">
        <v>445</v>
      </c>
      <c r="Q18" t="s">
        <v>447</v>
      </c>
      <c r="R18" t="s">
        <v>31</v>
      </c>
      <c r="S18" t="s">
        <v>31</v>
      </c>
      <c r="T18" t="s">
        <v>31</v>
      </c>
      <c r="U18" t="s">
        <v>31</v>
      </c>
      <c r="V18" t="s">
        <v>31</v>
      </c>
      <c r="W18">
        <v>27</v>
      </c>
      <c r="X18" t="s">
        <v>364</v>
      </c>
      <c r="Y18" t="s">
        <v>31</v>
      </c>
      <c r="Z18" t="s">
        <v>31</v>
      </c>
    </row>
    <row r="19" spans="1:26" x14ac:dyDescent="0.2">
      <c r="A19" t="s">
        <v>339</v>
      </c>
      <c r="C19" t="s">
        <v>443</v>
      </c>
      <c r="D19">
        <v>2024</v>
      </c>
      <c r="E19">
        <v>1</v>
      </c>
      <c r="F19" t="s">
        <v>340</v>
      </c>
      <c r="G19">
        <v>4897</v>
      </c>
      <c r="H19">
        <v>4875</v>
      </c>
      <c r="I19" s="1">
        <v>45474.501493055555</v>
      </c>
      <c r="J19" t="s">
        <v>444</v>
      </c>
      <c r="K19" t="s">
        <v>445</v>
      </c>
      <c r="M19" t="s">
        <v>31</v>
      </c>
      <c r="N19" t="s">
        <v>341</v>
      </c>
      <c r="O19" t="s">
        <v>446</v>
      </c>
      <c r="P19" t="s">
        <v>445</v>
      </c>
      <c r="Q19" t="s">
        <v>447</v>
      </c>
      <c r="R19" t="s">
        <v>31</v>
      </c>
      <c r="S19" t="s">
        <v>31</v>
      </c>
      <c r="T19" t="s">
        <v>31</v>
      </c>
      <c r="U19" t="s">
        <v>31</v>
      </c>
      <c r="V19" t="s">
        <v>31</v>
      </c>
      <c r="W19">
        <v>28</v>
      </c>
      <c r="X19" t="s">
        <v>365</v>
      </c>
      <c r="Y19" t="s">
        <v>31</v>
      </c>
      <c r="Z19" t="s">
        <v>31</v>
      </c>
    </row>
    <row r="20" spans="1:26" x14ac:dyDescent="0.2">
      <c r="A20" t="s">
        <v>339</v>
      </c>
      <c r="C20" t="s">
        <v>443</v>
      </c>
      <c r="D20">
        <v>2024</v>
      </c>
      <c r="E20">
        <v>1</v>
      </c>
      <c r="F20" t="s">
        <v>340</v>
      </c>
      <c r="G20">
        <v>4897</v>
      </c>
      <c r="H20">
        <v>4875</v>
      </c>
      <c r="I20" s="1">
        <v>45474.501493055555</v>
      </c>
      <c r="J20" t="s">
        <v>444</v>
      </c>
      <c r="K20" t="s">
        <v>445</v>
      </c>
      <c r="M20" t="s">
        <v>31</v>
      </c>
      <c r="N20" t="s">
        <v>341</v>
      </c>
      <c r="O20" t="s">
        <v>446</v>
      </c>
      <c r="P20" t="s">
        <v>445</v>
      </c>
      <c r="Q20" t="s">
        <v>447</v>
      </c>
      <c r="R20" t="s">
        <v>31</v>
      </c>
      <c r="S20" t="s">
        <v>31</v>
      </c>
      <c r="T20" t="s">
        <v>31</v>
      </c>
      <c r="U20" t="s">
        <v>31</v>
      </c>
      <c r="V20" t="s">
        <v>31</v>
      </c>
      <c r="W20">
        <v>29</v>
      </c>
      <c r="X20" t="s">
        <v>366</v>
      </c>
      <c r="Y20" t="s">
        <v>31</v>
      </c>
      <c r="Z20" t="s">
        <v>31</v>
      </c>
    </row>
    <row r="21" spans="1:26" x14ac:dyDescent="0.2">
      <c r="A21" t="s">
        <v>339</v>
      </c>
      <c r="C21" t="s">
        <v>443</v>
      </c>
      <c r="D21">
        <v>2024</v>
      </c>
      <c r="E21">
        <v>1</v>
      </c>
      <c r="F21" t="s">
        <v>340</v>
      </c>
      <c r="G21">
        <v>4897</v>
      </c>
      <c r="H21">
        <v>4875</v>
      </c>
      <c r="I21" s="1">
        <v>45474.501493055555</v>
      </c>
      <c r="J21" t="s">
        <v>444</v>
      </c>
      <c r="K21" t="s">
        <v>445</v>
      </c>
      <c r="M21" t="s">
        <v>31</v>
      </c>
      <c r="N21" t="s">
        <v>341</v>
      </c>
      <c r="O21" t="s">
        <v>446</v>
      </c>
      <c r="P21" t="s">
        <v>445</v>
      </c>
      <c r="Q21" t="s">
        <v>447</v>
      </c>
      <c r="R21" t="s">
        <v>31</v>
      </c>
      <c r="S21" t="s">
        <v>31</v>
      </c>
      <c r="T21" t="s">
        <v>31</v>
      </c>
      <c r="U21" t="s">
        <v>31</v>
      </c>
      <c r="V21" t="s">
        <v>31</v>
      </c>
      <c r="W21">
        <v>30</v>
      </c>
      <c r="X21" t="s">
        <v>367</v>
      </c>
      <c r="Y21" t="s">
        <v>31</v>
      </c>
      <c r="Z21" t="s">
        <v>31</v>
      </c>
    </row>
    <row r="22" spans="1:26" x14ac:dyDescent="0.2">
      <c r="A22" t="s">
        <v>339</v>
      </c>
      <c r="C22" t="s">
        <v>443</v>
      </c>
      <c r="D22">
        <v>2024</v>
      </c>
      <c r="E22">
        <v>1</v>
      </c>
      <c r="F22" t="s">
        <v>340</v>
      </c>
      <c r="G22">
        <v>4897</v>
      </c>
      <c r="H22">
        <v>4875</v>
      </c>
      <c r="I22" s="1">
        <v>45474.501493055555</v>
      </c>
      <c r="J22" t="s">
        <v>444</v>
      </c>
      <c r="K22" t="s">
        <v>445</v>
      </c>
      <c r="M22" t="s">
        <v>31</v>
      </c>
      <c r="N22" t="s">
        <v>341</v>
      </c>
      <c r="O22" t="s">
        <v>446</v>
      </c>
      <c r="P22" t="s">
        <v>445</v>
      </c>
      <c r="Q22" t="s">
        <v>447</v>
      </c>
      <c r="R22" t="s">
        <v>31</v>
      </c>
      <c r="S22" t="s">
        <v>31</v>
      </c>
      <c r="T22" t="s">
        <v>31</v>
      </c>
      <c r="U22" t="s">
        <v>31</v>
      </c>
      <c r="V22" t="s">
        <v>31</v>
      </c>
      <c r="W22">
        <v>31</v>
      </c>
      <c r="X22" t="s">
        <v>368</v>
      </c>
      <c r="Y22" t="s">
        <v>31</v>
      </c>
      <c r="Z22" t="s">
        <v>31</v>
      </c>
    </row>
    <row r="23" spans="1:26" x14ac:dyDescent="0.2">
      <c r="A23" t="s">
        <v>339</v>
      </c>
      <c r="C23" t="s">
        <v>443</v>
      </c>
      <c r="D23">
        <v>2024</v>
      </c>
      <c r="E23">
        <v>1</v>
      </c>
      <c r="F23" t="s">
        <v>340</v>
      </c>
      <c r="G23">
        <v>4897</v>
      </c>
      <c r="H23">
        <v>4875</v>
      </c>
      <c r="I23" s="1">
        <v>45474.501493055555</v>
      </c>
      <c r="J23" t="s">
        <v>444</v>
      </c>
      <c r="K23" t="s">
        <v>445</v>
      </c>
      <c r="M23" t="s">
        <v>31</v>
      </c>
      <c r="N23" t="s">
        <v>341</v>
      </c>
      <c r="O23" t="s">
        <v>446</v>
      </c>
      <c r="P23" t="s">
        <v>445</v>
      </c>
      <c r="Q23" t="s">
        <v>447</v>
      </c>
      <c r="R23" t="s">
        <v>31</v>
      </c>
      <c r="S23" t="s">
        <v>31</v>
      </c>
      <c r="T23" t="s">
        <v>31</v>
      </c>
      <c r="U23" t="s">
        <v>31</v>
      </c>
      <c r="V23" t="s">
        <v>31</v>
      </c>
      <c r="W23">
        <v>32</v>
      </c>
      <c r="X23" t="s">
        <v>369</v>
      </c>
      <c r="Y23" t="s">
        <v>31</v>
      </c>
      <c r="Z23" t="s">
        <v>31</v>
      </c>
    </row>
    <row r="24" spans="1:26" x14ac:dyDescent="0.2">
      <c r="A24" t="s">
        <v>339</v>
      </c>
      <c r="C24" t="s">
        <v>443</v>
      </c>
      <c r="D24">
        <v>2024</v>
      </c>
      <c r="E24">
        <v>1</v>
      </c>
      <c r="F24" t="s">
        <v>340</v>
      </c>
      <c r="G24">
        <v>4897</v>
      </c>
      <c r="H24">
        <v>4875</v>
      </c>
      <c r="I24" s="1">
        <v>45474.501493055555</v>
      </c>
      <c r="J24" t="s">
        <v>444</v>
      </c>
      <c r="K24" t="s">
        <v>445</v>
      </c>
      <c r="M24" t="s">
        <v>31</v>
      </c>
      <c r="N24" t="s">
        <v>341</v>
      </c>
      <c r="O24" t="s">
        <v>446</v>
      </c>
      <c r="P24" t="s">
        <v>445</v>
      </c>
      <c r="Q24" t="s">
        <v>447</v>
      </c>
      <c r="R24" t="s">
        <v>31</v>
      </c>
      <c r="S24" t="s">
        <v>31</v>
      </c>
      <c r="T24" t="s">
        <v>31</v>
      </c>
      <c r="U24" t="s">
        <v>31</v>
      </c>
      <c r="V24" t="s">
        <v>31</v>
      </c>
      <c r="W24">
        <v>33</v>
      </c>
      <c r="X24" t="s">
        <v>344</v>
      </c>
      <c r="Y24" t="s">
        <v>31</v>
      </c>
      <c r="Z24" t="s">
        <v>31</v>
      </c>
    </row>
    <row r="25" spans="1:26" x14ac:dyDescent="0.2">
      <c r="A25" t="s">
        <v>339</v>
      </c>
      <c r="C25" t="s">
        <v>443</v>
      </c>
      <c r="D25">
        <v>2024</v>
      </c>
      <c r="E25">
        <v>1</v>
      </c>
      <c r="F25" t="s">
        <v>340</v>
      </c>
      <c r="G25">
        <v>4897</v>
      </c>
      <c r="H25">
        <v>4875</v>
      </c>
      <c r="I25" s="1">
        <v>45474.501493055555</v>
      </c>
      <c r="J25" t="s">
        <v>444</v>
      </c>
      <c r="K25" t="s">
        <v>445</v>
      </c>
      <c r="M25" t="s">
        <v>31</v>
      </c>
      <c r="N25" t="s">
        <v>341</v>
      </c>
      <c r="O25" t="s">
        <v>446</v>
      </c>
      <c r="P25" t="s">
        <v>445</v>
      </c>
      <c r="Q25" t="s">
        <v>447</v>
      </c>
      <c r="R25" t="s">
        <v>31</v>
      </c>
      <c r="S25" t="s">
        <v>31</v>
      </c>
      <c r="T25" t="s">
        <v>31</v>
      </c>
      <c r="U25" t="s">
        <v>31</v>
      </c>
      <c r="V25" t="s">
        <v>31</v>
      </c>
      <c r="W25">
        <v>34</v>
      </c>
      <c r="X25" t="s">
        <v>345</v>
      </c>
      <c r="Y25">
        <v>3</v>
      </c>
      <c r="Z25">
        <v>3</v>
      </c>
    </row>
    <row r="26" spans="1:26" x14ac:dyDescent="0.2">
      <c r="A26" t="s">
        <v>339</v>
      </c>
      <c r="C26" t="s">
        <v>443</v>
      </c>
      <c r="D26">
        <v>2024</v>
      </c>
      <c r="E26">
        <v>1</v>
      </c>
      <c r="F26" t="s">
        <v>340</v>
      </c>
      <c r="G26">
        <v>4897</v>
      </c>
      <c r="H26">
        <v>4875</v>
      </c>
      <c r="I26" s="1">
        <v>45474.501493055555</v>
      </c>
      <c r="J26" t="s">
        <v>444</v>
      </c>
      <c r="K26" t="s">
        <v>445</v>
      </c>
      <c r="M26" t="s">
        <v>31</v>
      </c>
      <c r="N26" t="s">
        <v>341</v>
      </c>
      <c r="O26" t="s">
        <v>446</v>
      </c>
      <c r="P26" t="s">
        <v>445</v>
      </c>
      <c r="Q26" t="s">
        <v>447</v>
      </c>
      <c r="R26" t="s">
        <v>31</v>
      </c>
      <c r="S26" t="s">
        <v>31</v>
      </c>
      <c r="T26" t="s">
        <v>31</v>
      </c>
      <c r="U26" t="s">
        <v>31</v>
      </c>
      <c r="V26" t="s">
        <v>31</v>
      </c>
      <c r="W26">
        <v>35</v>
      </c>
      <c r="X26" t="s">
        <v>343</v>
      </c>
      <c r="Y26">
        <v>4</v>
      </c>
      <c r="Z26">
        <v>4</v>
      </c>
    </row>
    <row r="27" spans="1:26" x14ac:dyDescent="0.2">
      <c r="A27" t="s">
        <v>339</v>
      </c>
      <c r="C27" t="s">
        <v>443</v>
      </c>
      <c r="D27">
        <v>2024</v>
      </c>
      <c r="E27">
        <v>1</v>
      </c>
      <c r="F27" t="s">
        <v>340</v>
      </c>
      <c r="G27">
        <v>4897</v>
      </c>
      <c r="H27">
        <v>4875</v>
      </c>
      <c r="I27" s="1">
        <v>45474.501493055555</v>
      </c>
      <c r="J27" t="s">
        <v>444</v>
      </c>
      <c r="K27" t="s">
        <v>445</v>
      </c>
      <c r="M27" t="s">
        <v>31</v>
      </c>
      <c r="N27" t="s">
        <v>341</v>
      </c>
      <c r="O27" t="s">
        <v>446</v>
      </c>
      <c r="P27" t="s">
        <v>445</v>
      </c>
      <c r="Q27" t="s">
        <v>447</v>
      </c>
      <c r="R27" t="s">
        <v>31</v>
      </c>
      <c r="S27" t="s">
        <v>31</v>
      </c>
      <c r="T27" t="s">
        <v>31</v>
      </c>
      <c r="U27" t="s">
        <v>31</v>
      </c>
      <c r="V27" t="s">
        <v>31</v>
      </c>
      <c r="W27">
        <v>36</v>
      </c>
      <c r="X27" t="s">
        <v>370</v>
      </c>
      <c r="Y27" t="s">
        <v>31</v>
      </c>
      <c r="Z27" t="s">
        <v>31</v>
      </c>
    </row>
    <row r="28" spans="1:26" x14ac:dyDescent="0.2">
      <c r="A28" t="s">
        <v>339</v>
      </c>
      <c r="C28" t="s">
        <v>443</v>
      </c>
      <c r="D28">
        <v>2024</v>
      </c>
      <c r="E28">
        <v>1</v>
      </c>
      <c r="F28" t="s">
        <v>340</v>
      </c>
      <c r="G28">
        <v>4897</v>
      </c>
      <c r="H28">
        <v>4875</v>
      </c>
      <c r="I28" s="1">
        <v>45474.501493055555</v>
      </c>
      <c r="J28" t="s">
        <v>444</v>
      </c>
      <c r="K28" t="s">
        <v>445</v>
      </c>
      <c r="M28" t="s">
        <v>31</v>
      </c>
      <c r="N28" t="s">
        <v>341</v>
      </c>
      <c r="O28" t="s">
        <v>446</v>
      </c>
      <c r="P28" t="s">
        <v>445</v>
      </c>
      <c r="Q28" t="s">
        <v>447</v>
      </c>
      <c r="R28" t="s">
        <v>31</v>
      </c>
      <c r="S28" t="s">
        <v>31</v>
      </c>
      <c r="T28" t="s">
        <v>31</v>
      </c>
      <c r="U28" t="s">
        <v>31</v>
      </c>
      <c r="V28" t="s">
        <v>31</v>
      </c>
      <c r="W28">
        <v>37</v>
      </c>
      <c r="X28" t="s">
        <v>371</v>
      </c>
      <c r="Y28" t="s">
        <v>31</v>
      </c>
      <c r="Z28" t="s">
        <v>31</v>
      </c>
    </row>
    <row r="29" spans="1:26" x14ac:dyDescent="0.2">
      <c r="A29" t="s">
        <v>339</v>
      </c>
      <c r="C29" t="s">
        <v>443</v>
      </c>
      <c r="D29">
        <v>2024</v>
      </c>
      <c r="E29">
        <v>1</v>
      </c>
      <c r="F29" t="s">
        <v>340</v>
      </c>
      <c r="G29">
        <v>4897</v>
      </c>
      <c r="H29">
        <v>4875</v>
      </c>
      <c r="I29" s="1">
        <v>45474.501493055555</v>
      </c>
      <c r="J29" t="s">
        <v>444</v>
      </c>
      <c r="K29" t="s">
        <v>445</v>
      </c>
      <c r="M29" t="s">
        <v>31</v>
      </c>
      <c r="N29" t="s">
        <v>341</v>
      </c>
      <c r="O29" t="s">
        <v>446</v>
      </c>
      <c r="P29" t="s">
        <v>445</v>
      </c>
      <c r="Q29" t="s">
        <v>447</v>
      </c>
      <c r="R29" t="s">
        <v>31</v>
      </c>
      <c r="S29" t="s">
        <v>31</v>
      </c>
      <c r="T29" t="s">
        <v>31</v>
      </c>
      <c r="U29" t="s">
        <v>31</v>
      </c>
      <c r="V29" t="s">
        <v>31</v>
      </c>
      <c r="W29">
        <v>38</v>
      </c>
      <c r="X29" t="s">
        <v>372</v>
      </c>
      <c r="Y29" t="s">
        <v>31</v>
      </c>
      <c r="Z29" t="s">
        <v>31</v>
      </c>
    </row>
    <row r="30" spans="1:26" x14ac:dyDescent="0.2">
      <c r="A30" t="s">
        <v>339</v>
      </c>
      <c r="C30" t="s">
        <v>443</v>
      </c>
      <c r="D30">
        <v>2024</v>
      </c>
      <c r="E30">
        <v>1</v>
      </c>
      <c r="F30" t="s">
        <v>340</v>
      </c>
      <c r="G30">
        <v>4897</v>
      </c>
      <c r="H30">
        <v>4875</v>
      </c>
      <c r="I30" s="1">
        <v>45474.501493055555</v>
      </c>
      <c r="J30" t="s">
        <v>444</v>
      </c>
      <c r="K30" t="s">
        <v>445</v>
      </c>
      <c r="M30" t="s">
        <v>31</v>
      </c>
      <c r="N30" t="s">
        <v>341</v>
      </c>
      <c r="O30" t="s">
        <v>446</v>
      </c>
      <c r="P30" t="s">
        <v>445</v>
      </c>
      <c r="Q30" t="s">
        <v>447</v>
      </c>
      <c r="R30" t="s">
        <v>31</v>
      </c>
      <c r="S30" t="s">
        <v>31</v>
      </c>
      <c r="T30" t="s">
        <v>31</v>
      </c>
      <c r="U30" t="s">
        <v>31</v>
      </c>
      <c r="V30" t="s">
        <v>31</v>
      </c>
      <c r="W30">
        <v>39</v>
      </c>
      <c r="X30" t="s">
        <v>373</v>
      </c>
      <c r="Y30" t="s">
        <v>31</v>
      </c>
      <c r="Z30" t="s">
        <v>31</v>
      </c>
    </row>
    <row r="31" spans="1:26" x14ac:dyDescent="0.2">
      <c r="A31" t="s">
        <v>339</v>
      </c>
      <c r="C31" t="s">
        <v>443</v>
      </c>
      <c r="D31">
        <v>2024</v>
      </c>
      <c r="E31">
        <v>1</v>
      </c>
      <c r="F31" t="s">
        <v>340</v>
      </c>
      <c r="G31">
        <v>4897</v>
      </c>
      <c r="H31">
        <v>4875</v>
      </c>
      <c r="I31" s="1">
        <v>45474.501493055555</v>
      </c>
      <c r="J31" t="s">
        <v>444</v>
      </c>
      <c r="K31" t="s">
        <v>445</v>
      </c>
      <c r="M31" t="s">
        <v>31</v>
      </c>
      <c r="N31" t="s">
        <v>341</v>
      </c>
      <c r="O31" t="s">
        <v>446</v>
      </c>
      <c r="P31" t="s">
        <v>445</v>
      </c>
      <c r="Q31" t="s">
        <v>447</v>
      </c>
      <c r="R31" t="s">
        <v>31</v>
      </c>
      <c r="S31" t="s">
        <v>31</v>
      </c>
      <c r="T31" t="s">
        <v>31</v>
      </c>
      <c r="U31" t="s">
        <v>31</v>
      </c>
      <c r="V31" t="s">
        <v>31</v>
      </c>
      <c r="W31">
        <v>40</v>
      </c>
      <c r="X31" t="s">
        <v>374</v>
      </c>
      <c r="Y31">
        <v>4</v>
      </c>
      <c r="Z31">
        <v>4</v>
      </c>
    </row>
    <row r="40" spans="1:26" x14ac:dyDescent="0.2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7</v>
      </c>
      <c r="I40" t="s">
        <v>8</v>
      </c>
      <c r="J40" t="s">
        <v>9</v>
      </c>
      <c r="K40" t="s">
        <v>10</v>
      </c>
      <c r="L40" t="s">
        <v>11</v>
      </c>
      <c r="M40" t="s">
        <v>12</v>
      </c>
      <c r="N40" t="s">
        <v>13</v>
      </c>
      <c r="O40" t="s">
        <v>14</v>
      </c>
      <c r="P40" t="s">
        <v>15</v>
      </c>
      <c r="Q40" t="s">
        <v>16</v>
      </c>
      <c r="R40" t="s">
        <v>17</v>
      </c>
      <c r="S40" t="s">
        <v>18</v>
      </c>
      <c r="T40" t="s">
        <v>19</v>
      </c>
      <c r="U40" t="s">
        <v>20</v>
      </c>
      <c r="V40" t="s">
        <v>21</v>
      </c>
      <c r="W40" t="s">
        <v>22</v>
      </c>
      <c r="X40" t="s">
        <v>23</v>
      </c>
      <c r="Y40" t="s">
        <v>24</v>
      </c>
      <c r="Z40" t="s">
        <v>25</v>
      </c>
    </row>
    <row r="41" spans="1:26" x14ac:dyDescent="0.2">
      <c r="A41" t="s">
        <v>379</v>
      </c>
      <c r="C41" t="s">
        <v>378</v>
      </c>
      <c r="D41">
        <v>1999</v>
      </c>
      <c r="E41">
        <v>1</v>
      </c>
      <c r="F41" t="s">
        <v>380</v>
      </c>
      <c r="G41">
        <v>6</v>
      </c>
      <c r="H41">
        <v>156</v>
      </c>
      <c r="I41" s="1">
        <v>45646.45208333333</v>
      </c>
      <c r="J41" t="s">
        <v>381</v>
      </c>
      <c r="K41" t="s">
        <v>382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383</v>
      </c>
      <c r="R41" t="s">
        <v>384</v>
      </c>
      <c r="S41" t="s">
        <v>31</v>
      </c>
      <c r="T41" t="s">
        <v>31</v>
      </c>
      <c r="U41" t="s">
        <v>31</v>
      </c>
      <c r="V41" t="s">
        <v>31</v>
      </c>
      <c r="W41">
        <v>17</v>
      </c>
      <c r="X41" t="s">
        <v>385</v>
      </c>
      <c r="Y41">
        <v>4</v>
      </c>
      <c r="Z41">
        <v>4</v>
      </c>
    </row>
    <row r="42" spans="1:26" x14ac:dyDescent="0.2">
      <c r="A42" t="s">
        <v>379</v>
      </c>
      <c r="C42" t="s">
        <v>378</v>
      </c>
      <c r="D42">
        <v>1999</v>
      </c>
      <c r="E42">
        <v>1</v>
      </c>
      <c r="F42" t="s">
        <v>380</v>
      </c>
      <c r="G42">
        <v>6</v>
      </c>
      <c r="H42">
        <v>156</v>
      </c>
      <c r="I42" s="1">
        <v>45646.45208333333</v>
      </c>
      <c r="J42" t="s">
        <v>381</v>
      </c>
      <c r="K42" t="s">
        <v>382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383</v>
      </c>
      <c r="R42" t="s">
        <v>384</v>
      </c>
      <c r="S42" t="s">
        <v>31</v>
      </c>
      <c r="T42" t="s">
        <v>31</v>
      </c>
      <c r="U42" t="s">
        <v>31</v>
      </c>
      <c r="V42" t="s">
        <v>31</v>
      </c>
      <c r="W42">
        <v>18</v>
      </c>
      <c r="X42" t="s">
        <v>390</v>
      </c>
      <c r="Y42">
        <v>4</v>
      </c>
      <c r="Z42">
        <v>4</v>
      </c>
    </row>
    <row r="43" spans="1:26" x14ac:dyDescent="0.2">
      <c r="A43" t="s">
        <v>379</v>
      </c>
      <c r="C43" t="s">
        <v>378</v>
      </c>
      <c r="D43">
        <v>1999</v>
      </c>
      <c r="E43">
        <v>1</v>
      </c>
      <c r="F43" t="s">
        <v>380</v>
      </c>
      <c r="G43">
        <v>6</v>
      </c>
      <c r="H43">
        <v>156</v>
      </c>
      <c r="I43" s="1">
        <v>45646.45208333333</v>
      </c>
      <c r="J43" t="s">
        <v>381</v>
      </c>
      <c r="K43" t="s">
        <v>382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383</v>
      </c>
      <c r="R43" t="s">
        <v>384</v>
      </c>
      <c r="S43" t="s">
        <v>31</v>
      </c>
      <c r="T43" t="s">
        <v>31</v>
      </c>
      <c r="U43" t="s">
        <v>31</v>
      </c>
      <c r="V43" t="s">
        <v>31</v>
      </c>
      <c r="W43">
        <v>19</v>
      </c>
      <c r="X43" t="s">
        <v>388</v>
      </c>
      <c r="Y43">
        <v>4</v>
      </c>
      <c r="Z43">
        <v>4</v>
      </c>
    </row>
    <row r="44" spans="1:26" x14ac:dyDescent="0.2">
      <c r="A44" t="s">
        <v>379</v>
      </c>
      <c r="C44" t="s">
        <v>378</v>
      </c>
      <c r="D44">
        <v>1999</v>
      </c>
      <c r="E44">
        <v>1</v>
      </c>
      <c r="F44" t="s">
        <v>380</v>
      </c>
      <c r="G44">
        <v>6</v>
      </c>
      <c r="H44">
        <v>156</v>
      </c>
      <c r="I44" s="1">
        <v>45646.45208333333</v>
      </c>
      <c r="J44" t="s">
        <v>381</v>
      </c>
      <c r="K44" t="s">
        <v>382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383</v>
      </c>
      <c r="R44" t="s">
        <v>384</v>
      </c>
      <c r="S44" t="s">
        <v>31</v>
      </c>
      <c r="T44" t="s">
        <v>31</v>
      </c>
      <c r="U44" t="s">
        <v>31</v>
      </c>
      <c r="V44" t="s">
        <v>31</v>
      </c>
      <c r="W44">
        <v>20</v>
      </c>
      <c r="X44" t="s">
        <v>387</v>
      </c>
      <c r="Y44">
        <v>4</v>
      </c>
      <c r="Z44">
        <v>4</v>
      </c>
    </row>
    <row r="45" spans="1:26" x14ac:dyDescent="0.2">
      <c r="A45" t="s">
        <v>379</v>
      </c>
      <c r="C45" t="s">
        <v>378</v>
      </c>
      <c r="D45">
        <v>1999</v>
      </c>
      <c r="E45">
        <v>1</v>
      </c>
      <c r="F45" t="s">
        <v>380</v>
      </c>
      <c r="G45">
        <v>6</v>
      </c>
      <c r="H45">
        <v>156</v>
      </c>
      <c r="I45" s="1">
        <v>45646.45208333333</v>
      </c>
      <c r="J45" t="s">
        <v>381</v>
      </c>
      <c r="K45" t="s">
        <v>382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383</v>
      </c>
      <c r="R45" t="s">
        <v>384</v>
      </c>
      <c r="S45" t="s">
        <v>31</v>
      </c>
      <c r="T45" t="s">
        <v>31</v>
      </c>
      <c r="U45" t="s">
        <v>31</v>
      </c>
      <c r="V45" t="s">
        <v>31</v>
      </c>
      <c r="W45">
        <v>21</v>
      </c>
      <c r="X45" t="s">
        <v>392</v>
      </c>
      <c r="Y45">
        <v>4</v>
      </c>
      <c r="Z45">
        <v>4</v>
      </c>
    </row>
    <row r="46" spans="1:26" x14ac:dyDescent="0.2">
      <c r="A46" t="s">
        <v>379</v>
      </c>
      <c r="C46" t="s">
        <v>378</v>
      </c>
      <c r="D46">
        <v>1999</v>
      </c>
      <c r="E46">
        <v>1</v>
      </c>
      <c r="F46" t="s">
        <v>380</v>
      </c>
      <c r="G46">
        <v>6</v>
      </c>
      <c r="H46">
        <v>156</v>
      </c>
      <c r="I46" s="1">
        <v>45646.45208333333</v>
      </c>
      <c r="J46" t="s">
        <v>381</v>
      </c>
      <c r="K46" t="s">
        <v>382</v>
      </c>
      <c r="L46" t="s">
        <v>31</v>
      </c>
      <c r="M46" t="s">
        <v>31</v>
      </c>
      <c r="N46" t="s">
        <v>31</v>
      </c>
      <c r="O46" t="s">
        <v>31</v>
      </c>
      <c r="P46" t="s">
        <v>31</v>
      </c>
      <c r="Q46" t="s">
        <v>383</v>
      </c>
      <c r="R46" t="s">
        <v>384</v>
      </c>
      <c r="S46" t="s">
        <v>31</v>
      </c>
      <c r="T46" t="s">
        <v>31</v>
      </c>
      <c r="U46" t="s">
        <v>31</v>
      </c>
      <c r="V46" t="s">
        <v>31</v>
      </c>
      <c r="W46">
        <v>22</v>
      </c>
      <c r="X46" t="s">
        <v>393</v>
      </c>
      <c r="Y46" t="s">
        <v>31</v>
      </c>
      <c r="Z46" t="s">
        <v>31</v>
      </c>
    </row>
    <row r="47" spans="1:26" x14ac:dyDescent="0.2">
      <c r="A47" t="s">
        <v>379</v>
      </c>
      <c r="C47" t="s">
        <v>378</v>
      </c>
      <c r="D47">
        <v>1999</v>
      </c>
      <c r="E47">
        <v>1</v>
      </c>
      <c r="F47" t="s">
        <v>380</v>
      </c>
      <c r="G47">
        <v>6</v>
      </c>
      <c r="H47">
        <v>156</v>
      </c>
      <c r="I47" s="1">
        <v>45646.45208333333</v>
      </c>
      <c r="J47" t="s">
        <v>381</v>
      </c>
      <c r="K47" t="s">
        <v>382</v>
      </c>
      <c r="L47" t="s">
        <v>31</v>
      </c>
      <c r="M47" t="s">
        <v>31</v>
      </c>
      <c r="N47" t="s">
        <v>31</v>
      </c>
      <c r="O47" t="s">
        <v>31</v>
      </c>
      <c r="P47" t="s">
        <v>31</v>
      </c>
      <c r="Q47" t="s">
        <v>383</v>
      </c>
      <c r="R47" t="s">
        <v>384</v>
      </c>
      <c r="S47" t="s">
        <v>31</v>
      </c>
      <c r="T47" t="s">
        <v>31</v>
      </c>
      <c r="U47" t="s">
        <v>31</v>
      </c>
      <c r="V47" t="s">
        <v>31</v>
      </c>
      <c r="W47">
        <v>23</v>
      </c>
      <c r="X47" t="s">
        <v>394</v>
      </c>
      <c r="Y47">
        <v>4</v>
      </c>
      <c r="Z47">
        <v>4</v>
      </c>
    </row>
    <row r="48" spans="1:26" x14ac:dyDescent="0.2">
      <c r="A48" t="s">
        <v>379</v>
      </c>
      <c r="C48" t="s">
        <v>378</v>
      </c>
      <c r="D48">
        <v>1999</v>
      </c>
      <c r="E48">
        <v>1</v>
      </c>
      <c r="F48" t="s">
        <v>380</v>
      </c>
      <c r="G48">
        <v>6</v>
      </c>
      <c r="H48">
        <v>156</v>
      </c>
      <c r="I48" s="1">
        <v>45646.45208333333</v>
      </c>
      <c r="J48" t="s">
        <v>381</v>
      </c>
      <c r="K48" t="s">
        <v>382</v>
      </c>
      <c r="L48" t="s">
        <v>31</v>
      </c>
      <c r="M48" t="s">
        <v>31</v>
      </c>
      <c r="N48" t="s">
        <v>31</v>
      </c>
      <c r="O48" t="s">
        <v>31</v>
      </c>
      <c r="P48" t="s">
        <v>31</v>
      </c>
      <c r="Q48" t="s">
        <v>383</v>
      </c>
      <c r="R48" t="s">
        <v>384</v>
      </c>
      <c r="S48" t="s">
        <v>31</v>
      </c>
      <c r="T48" t="s">
        <v>31</v>
      </c>
      <c r="U48" t="s">
        <v>31</v>
      </c>
      <c r="V48" t="s">
        <v>31</v>
      </c>
      <c r="W48">
        <v>24</v>
      </c>
      <c r="X48" t="s">
        <v>391</v>
      </c>
      <c r="Y48" t="s">
        <v>31</v>
      </c>
      <c r="Z48" t="s">
        <v>31</v>
      </c>
    </row>
    <row r="49" spans="1:26" x14ac:dyDescent="0.2">
      <c r="A49" t="s">
        <v>379</v>
      </c>
      <c r="C49" t="s">
        <v>378</v>
      </c>
      <c r="D49">
        <v>1999</v>
      </c>
      <c r="E49">
        <v>1</v>
      </c>
      <c r="F49" t="s">
        <v>380</v>
      </c>
      <c r="G49">
        <v>6</v>
      </c>
      <c r="H49">
        <v>156</v>
      </c>
      <c r="I49" s="1">
        <v>45646.45208333333</v>
      </c>
      <c r="J49" t="s">
        <v>381</v>
      </c>
      <c r="K49" t="s">
        <v>382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383</v>
      </c>
      <c r="R49" t="s">
        <v>384</v>
      </c>
      <c r="S49" t="s">
        <v>31</v>
      </c>
      <c r="T49" t="s">
        <v>31</v>
      </c>
      <c r="U49" t="s">
        <v>31</v>
      </c>
      <c r="V49" t="s">
        <v>31</v>
      </c>
      <c r="W49">
        <v>25</v>
      </c>
      <c r="X49" t="s">
        <v>386</v>
      </c>
      <c r="Y49">
        <v>4</v>
      </c>
      <c r="Z49">
        <v>4</v>
      </c>
    </row>
    <row r="50" spans="1:26" x14ac:dyDescent="0.2">
      <c r="A50" t="s">
        <v>379</v>
      </c>
      <c r="C50" t="s">
        <v>378</v>
      </c>
      <c r="D50">
        <v>1999</v>
      </c>
      <c r="E50">
        <v>1</v>
      </c>
      <c r="F50" t="s">
        <v>380</v>
      </c>
      <c r="G50">
        <v>6</v>
      </c>
      <c r="H50">
        <v>156</v>
      </c>
      <c r="I50" s="1">
        <v>45646.45208333333</v>
      </c>
      <c r="J50" t="s">
        <v>381</v>
      </c>
      <c r="K50" t="s">
        <v>382</v>
      </c>
      <c r="L50" t="s">
        <v>31</v>
      </c>
      <c r="M50" t="s">
        <v>31</v>
      </c>
      <c r="N50" t="s">
        <v>31</v>
      </c>
      <c r="O50" t="s">
        <v>31</v>
      </c>
      <c r="P50" t="s">
        <v>31</v>
      </c>
      <c r="Q50" t="s">
        <v>383</v>
      </c>
      <c r="R50" t="s">
        <v>384</v>
      </c>
      <c r="S50" t="s">
        <v>31</v>
      </c>
      <c r="T50" t="s">
        <v>31</v>
      </c>
      <c r="U50" t="s">
        <v>31</v>
      </c>
      <c r="V50" t="s">
        <v>31</v>
      </c>
      <c r="W50">
        <v>26</v>
      </c>
      <c r="X50" t="s">
        <v>389</v>
      </c>
      <c r="Y50" t="s">
        <v>31</v>
      </c>
      <c r="Z50" t="s">
        <v>31</v>
      </c>
    </row>
  </sheetData>
  <pageMargins left="0.7" right="0.7" top="0.75" bottom="0.75" header="0.3" footer="0.3"/>
  <headerFooter>
    <oddFooter>&amp;C_x000D_&amp;1#&amp;"Calibri"&amp;9&amp;K000000 Classified - Internal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D2A1-0F54-498A-8639-1789F6C3859A}">
  <dimension ref="A1:Z50"/>
  <sheetViews>
    <sheetView zoomScale="55" zoomScaleNormal="55" workbookViewId="0">
      <selection activeCell="A40" sqref="A40:Z50"/>
    </sheetView>
  </sheetViews>
  <sheetFormatPr defaultRowHeight="15" x14ac:dyDescent="0.2"/>
  <cols>
    <col min="1" max="1" width="13.85546875" bestFit="1" customWidth="1"/>
    <col min="2" max="2" width="16.8125" bestFit="1" customWidth="1"/>
    <col min="3" max="3" width="17.08203125" bestFit="1" customWidth="1"/>
    <col min="4" max="4" width="9.01171875" bestFit="1" customWidth="1"/>
    <col min="5" max="5" width="10.0859375" bestFit="1" customWidth="1"/>
    <col min="6" max="6" width="13.44921875" bestFit="1" customWidth="1"/>
    <col min="7" max="7" width="7.6640625" bestFit="1" customWidth="1"/>
    <col min="8" max="8" width="4.3046875" bestFit="1" customWidth="1"/>
    <col min="9" max="9" width="13.98828125" bestFit="1" customWidth="1"/>
    <col min="10" max="10" width="21.7890625" bestFit="1" customWidth="1"/>
    <col min="11" max="11" width="6.1875" bestFit="1" customWidth="1"/>
    <col min="12" max="12" width="17.08203125" bestFit="1" customWidth="1"/>
    <col min="13" max="13" width="6.1875" bestFit="1" customWidth="1"/>
    <col min="14" max="14" width="7.93359375" bestFit="1" customWidth="1"/>
    <col min="15" max="15" width="5.51171875" bestFit="1" customWidth="1"/>
    <col min="16" max="16" width="7.6640625" bestFit="1" customWidth="1"/>
    <col min="17" max="17" width="37.26171875" bestFit="1" customWidth="1"/>
    <col min="18" max="21" width="9.68359375" bestFit="1" customWidth="1"/>
    <col min="22" max="22" width="9.953125" bestFit="1" customWidth="1"/>
    <col min="23" max="23" width="14.2578125" bestFit="1" customWidth="1"/>
    <col min="24" max="24" width="106.2734375" bestFit="1" customWidth="1"/>
    <col min="25" max="25" width="8.7421875" bestFit="1" customWidth="1"/>
    <col min="26" max="26" width="14.125" bestFit="1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26</v>
      </c>
      <c r="C2" t="s">
        <v>27</v>
      </c>
      <c r="D2">
        <v>2021</v>
      </c>
      <c r="E2">
        <v>1</v>
      </c>
      <c r="F2" t="s">
        <v>28</v>
      </c>
      <c r="G2">
        <v>123</v>
      </c>
      <c r="H2">
        <v>123</v>
      </c>
      <c r="I2" s="1">
        <v>44414.390844907408</v>
      </c>
      <c r="J2" t="s">
        <v>29</v>
      </c>
      <c r="K2" t="s">
        <v>26</v>
      </c>
      <c r="L2" t="s">
        <v>30</v>
      </c>
      <c r="M2" t="s">
        <v>31</v>
      </c>
      <c r="N2" t="s">
        <v>31</v>
      </c>
      <c r="O2" t="s">
        <v>31</v>
      </c>
      <c r="P2" t="s">
        <v>31</v>
      </c>
      <c r="Q2" t="s">
        <v>32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>
        <v>25</v>
      </c>
      <c r="X2" t="s">
        <v>36</v>
      </c>
      <c r="Y2">
        <v>4</v>
      </c>
      <c r="Z2">
        <v>4</v>
      </c>
    </row>
    <row r="3" spans="1:26" x14ac:dyDescent="0.2">
      <c r="A3" t="s">
        <v>26</v>
      </c>
      <c r="C3" t="s">
        <v>27</v>
      </c>
      <c r="D3">
        <v>2021</v>
      </c>
      <c r="E3">
        <v>1</v>
      </c>
      <c r="F3" t="s">
        <v>28</v>
      </c>
      <c r="G3">
        <v>123</v>
      </c>
      <c r="H3">
        <v>123</v>
      </c>
      <c r="I3" s="1">
        <v>44414.390844907408</v>
      </c>
      <c r="J3" t="s">
        <v>29</v>
      </c>
      <c r="K3" t="s">
        <v>26</v>
      </c>
      <c r="L3" t="s">
        <v>30</v>
      </c>
      <c r="M3" t="s">
        <v>31</v>
      </c>
      <c r="N3" t="s">
        <v>31</v>
      </c>
      <c r="O3" t="s">
        <v>31</v>
      </c>
      <c r="P3" t="s">
        <v>31</v>
      </c>
      <c r="Q3" t="s">
        <v>32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>
        <v>22</v>
      </c>
      <c r="X3" t="s">
        <v>33</v>
      </c>
      <c r="Y3">
        <v>4</v>
      </c>
      <c r="Z3">
        <v>4</v>
      </c>
    </row>
    <row r="4" spans="1:26" x14ac:dyDescent="0.2">
      <c r="A4" t="s">
        <v>26</v>
      </c>
      <c r="C4" t="s">
        <v>27</v>
      </c>
      <c r="D4">
        <v>2021</v>
      </c>
      <c r="E4">
        <v>1</v>
      </c>
      <c r="F4" t="s">
        <v>28</v>
      </c>
      <c r="G4">
        <v>123</v>
      </c>
      <c r="H4">
        <v>123</v>
      </c>
      <c r="I4" s="1">
        <v>44414.390844907408</v>
      </c>
      <c r="J4" t="s">
        <v>29</v>
      </c>
      <c r="K4" t="s">
        <v>26</v>
      </c>
      <c r="L4" t="s">
        <v>30</v>
      </c>
      <c r="M4" t="s">
        <v>31</v>
      </c>
      <c r="N4" t="s">
        <v>31</v>
      </c>
      <c r="O4" t="s">
        <v>31</v>
      </c>
      <c r="P4" t="s">
        <v>31</v>
      </c>
      <c r="Q4" t="s">
        <v>32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>
        <v>24</v>
      </c>
      <c r="X4" t="s">
        <v>35</v>
      </c>
      <c r="Y4">
        <v>3</v>
      </c>
      <c r="Z4">
        <v>3</v>
      </c>
    </row>
    <row r="5" spans="1:26" x14ac:dyDescent="0.2">
      <c r="A5" t="s">
        <v>26</v>
      </c>
      <c r="C5" t="s">
        <v>27</v>
      </c>
      <c r="D5">
        <v>2021</v>
      </c>
      <c r="E5">
        <v>1</v>
      </c>
      <c r="F5" t="s">
        <v>28</v>
      </c>
      <c r="G5">
        <v>123</v>
      </c>
      <c r="H5">
        <v>123</v>
      </c>
      <c r="I5" s="1">
        <v>44414.390844907408</v>
      </c>
      <c r="J5" t="s">
        <v>29</v>
      </c>
      <c r="K5" t="s">
        <v>26</v>
      </c>
      <c r="L5" t="s">
        <v>30</v>
      </c>
      <c r="M5" t="s">
        <v>31</v>
      </c>
      <c r="N5" t="s">
        <v>31</v>
      </c>
      <c r="O5" t="s">
        <v>31</v>
      </c>
      <c r="P5" t="s">
        <v>31</v>
      </c>
      <c r="Q5" t="s">
        <v>32</v>
      </c>
      <c r="R5" t="s">
        <v>31</v>
      </c>
      <c r="S5" t="s">
        <v>31</v>
      </c>
      <c r="T5" t="s">
        <v>31</v>
      </c>
      <c r="U5" t="s">
        <v>31</v>
      </c>
      <c r="V5" t="s">
        <v>31</v>
      </c>
      <c r="W5">
        <v>26</v>
      </c>
      <c r="X5" t="s">
        <v>37</v>
      </c>
      <c r="Y5">
        <v>3</v>
      </c>
      <c r="Z5">
        <v>3</v>
      </c>
    </row>
    <row r="6" spans="1:26" x14ac:dyDescent="0.2">
      <c r="A6" t="s">
        <v>26</v>
      </c>
      <c r="C6" t="s">
        <v>27</v>
      </c>
      <c r="D6">
        <v>2021</v>
      </c>
      <c r="E6">
        <v>1</v>
      </c>
      <c r="F6" t="s">
        <v>28</v>
      </c>
      <c r="G6">
        <v>123</v>
      </c>
      <c r="H6">
        <v>123</v>
      </c>
      <c r="I6" s="1">
        <v>44414.390844907408</v>
      </c>
      <c r="J6" t="s">
        <v>29</v>
      </c>
      <c r="K6" t="s">
        <v>26</v>
      </c>
      <c r="L6" t="s">
        <v>30</v>
      </c>
      <c r="M6" t="s">
        <v>31</v>
      </c>
      <c r="N6" t="s">
        <v>31</v>
      </c>
      <c r="O6" t="s">
        <v>31</v>
      </c>
      <c r="P6" t="s">
        <v>31</v>
      </c>
      <c r="Q6" t="s">
        <v>32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>
        <v>23</v>
      </c>
      <c r="X6" t="s">
        <v>34</v>
      </c>
      <c r="Y6">
        <v>3</v>
      </c>
      <c r="Z6">
        <v>3</v>
      </c>
    </row>
    <row r="7" spans="1:26" x14ac:dyDescent="0.2">
      <c r="A7" t="s">
        <v>26</v>
      </c>
      <c r="C7" t="s">
        <v>27</v>
      </c>
      <c r="D7">
        <v>2021</v>
      </c>
      <c r="E7">
        <v>1</v>
      </c>
      <c r="F7" t="s">
        <v>28</v>
      </c>
      <c r="G7">
        <v>123</v>
      </c>
      <c r="H7">
        <v>123</v>
      </c>
      <c r="I7" s="1">
        <v>44414.390844907408</v>
      </c>
      <c r="J7" t="s">
        <v>29</v>
      </c>
      <c r="K7" t="s">
        <v>26</v>
      </c>
      <c r="L7" t="s">
        <v>30</v>
      </c>
      <c r="M7" t="s">
        <v>31</v>
      </c>
      <c r="N7" t="s">
        <v>31</v>
      </c>
      <c r="O7" t="s">
        <v>31</v>
      </c>
      <c r="P7" t="s">
        <v>31</v>
      </c>
      <c r="Q7" t="s">
        <v>32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>
        <v>30</v>
      </c>
      <c r="X7" t="s">
        <v>38</v>
      </c>
      <c r="Y7">
        <v>4</v>
      </c>
      <c r="Z7">
        <v>4</v>
      </c>
    </row>
    <row r="8" spans="1:26" x14ac:dyDescent="0.2">
      <c r="A8" t="s">
        <v>26</v>
      </c>
      <c r="C8" t="s">
        <v>27</v>
      </c>
      <c r="D8">
        <v>2021</v>
      </c>
      <c r="E8">
        <v>1</v>
      </c>
      <c r="F8" t="s">
        <v>28</v>
      </c>
      <c r="G8">
        <v>123</v>
      </c>
      <c r="H8">
        <v>123</v>
      </c>
      <c r="I8" s="1">
        <v>44414.390844907408</v>
      </c>
      <c r="J8" t="s">
        <v>29</v>
      </c>
      <c r="K8" t="s">
        <v>26</v>
      </c>
      <c r="L8" t="s">
        <v>30</v>
      </c>
      <c r="M8" t="s">
        <v>31</v>
      </c>
      <c r="N8" t="s">
        <v>31</v>
      </c>
      <c r="O8" t="s">
        <v>31</v>
      </c>
      <c r="P8" t="s">
        <v>31</v>
      </c>
      <c r="Q8" t="s">
        <v>32</v>
      </c>
      <c r="R8" t="s">
        <v>31</v>
      </c>
      <c r="S8" t="s">
        <v>31</v>
      </c>
      <c r="T8" t="s">
        <v>31</v>
      </c>
      <c r="U8" t="s">
        <v>31</v>
      </c>
      <c r="V8" t="s">
        <v>31</v>
      </c>
      <c r="W8">
        <v>31</v>
      </c>
      <c r="X8" t="s">
        <v>39</v>
      </c>
      <c r="Y8">
        <v>4</v>
      </c>
      <c r="Z8">
        <v>4</v>
      </c>
    </row>
    <row r="12" spans="1:26" x14ac:dyDescent="0.2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12</v>
      </c>
      <c r="N12" t="s">
        <v>13</v>
      </c>
      <c r="O12" t="s">
        <v>14</v>
      </c>
      <c r="P12" t="s">
        <v>15</v>
      </c>
      <c r="Q12" t="s">
        <v>16</v>
      </c>
      <c r="R12" t="s">
        <v>17</v>
      </c>
      <c r="S12" t="s">
        <v>18</v>
      </c>
      <c r="T12" t="s">
        <v>19</v>
      </c>
      <c r="U12" t="s">
        <v>20</v>
      </c>
      <c r="V12" t="s">
        <v>21</v>
      </c>
      <c r="W12" t="s">
        <v>22</v>
      </c>
      <c r="X12" t="s">
        <v>23</v>
      </c>
      <c r="Y12" t="s">
        <v>24</v>
      </c>
      <c r="Z12" t="s">
        <v>25</v>
      </c>
    </row>
    <row r="13" spans="1:26" x14ac:dyDescent="0.2">
      <c r="A13" t="s">
        <v>339</v>
      </c>
      <c r="C13" t="s">
        <v>443</v>
      </c>
      <c r="D13">
        <v>2024</v>
      </c>
      <c r="E13">
        <v>1</v>
      </c>
      <c r="F13" t="s">
        <v>340</v>
      </c>
      <c r="G13">
        <v>4897</v>
      </c>
      <c r="H13">
        <v>4875</v>
      </c>
      <c r="I13" s="1">
        <v>45474.501493055555</v>
      </c>
      <c r="J13" t="s">
        <v>444</v>
      </c>
      <c r="K13" t="s">
        <v>445</v>
      </c>
      <c r="M13" t="s">
        <v>31</v>
      </c>
      <c r="N13" t="s">
        <v>341</v>
      </c>
      <c r="O13" t="s">
        <v>446</v>
      </c>
      <c r="P13" t="s">
        <v>445</v>
      </c>
      <c r="Q13" t="s">
        <v>447</v>
      </c>
      <c r="R13" t="s">
        <v>31</v>
      </c>
      <c r="S13" t="s">
        <v>31</v>
      </c>
      <c r="T13" t="s">
        <v>31</v>
      </c>
      <c r="U13" t="s">
        <v>31</v>
      </c>
      <c r="V13" t="s">
        <v>31</v>
      </c>
      <c r="W13">
        <v>26</v>
      </c>
      <c r="X13" t="s">
        <v>31</v>
      </c>
      <c r="Y13" t="s">
        <v>448</v>
      </c>
      <c r="Z13" t="s">
        <v>31</v>
      </c>
    </row>
    <row r="14" spans="1:26" x14ac:dyDescent="0.2">
      <c r="A14" t="s">
        <v>339</v>
      </c>
      <c r="C14" t="s">
        <v>443</v>
      </c>
      <c r="D14">
        <v>2024</v>
      </c>
      <c r="E14">
        <v>1</v>
      </c>
      <c r="F14" t="s">
        <v>340</v>
      </c>
      <c r="G14">
        <v>4897</v>
      </c>
      <c r="H14">
        <v>4875</v>
      </c>
      <c r="I14" s="1">
        <v>45474.501493055555</v>
      </c>
      <c r="J14" t="s">
        <v>444</v>
      </c>
      <c r="K14" t="s">
        <v>445</v>
      </c>
      <c r="M14" t="s">
        <v>31</v>
      </c>
      <c r="N14" t="s">
        <v>341</v>
      </c>
      <c r="O14" t="s">
        <v>446</v>
      </c>
      <c r="P14" t="s">
        <v>445</v>
      </c>
      <c r="Q14" t="s">
        <v>447</v>
      </c>
      <c r="R14" t="s">
        <v>31</v>
      </c>
      <c r="S14" t="s">
        <v>31</v>
      </c>
      <c r="T14" t="s">
        <v>31</v>
      </c>
      <c r="U14" t="s">
        <v>31</v>
      </c>
      <c r="V14" t="s">
        <v>31</v>
      </c>
      <c r="W14">
        <v>23</v>
      </c>
      <c r="X14" t="s">
        <v>346</v>
      </c>
      <c r="Y14">
        <v>3</v>
      </c>
      <c r="Z14">
        <v>3</v>
      </c>
    </row>
    <row r="15" spans="1:26" x14ac:dyDescent="0.2">
      <c r="A15" t="s">
        <v>339</v>
      </c>
      <c r="C15" t="s">
        <v>443</v>
      </c>
      <c r="D15">
        <v>2024</v>
      </c>
      <c r="E15">
        <v>1</v>
      </c>
      <c r="F15" t="s">
        <v>340</v>
      </c>
      <c r="G15">
        <v>4897</v>
      </c>
      <c r="H15">
        <v>4875</v>
      </c>
      <c r="I15" s="1">
        <v>45474.501493055555</v>
      </c>
      <c r="J15" t="s">
        <v>444</v>
      </c>
      <c r="K15" t="s">
        <v>445</v>
      </c>
      <c r="M15" t="s">
        <v>31</v>
      </c>
      <c r="N15" t="s">
        <v>341</v>
      </c>
      <c r="O15" t="s">
        <v>446</v>
      </c>
      <c r="P15" t="s">
        <v>445</v>
      </c>
      <c r="Q15" t="s">
        <v>447</v>
      </c>
      <c r="R15" t="s">
        <v>31</v>
      </c>
      <c r="S15" t="s">
        <v>31</v>
      </c>
      <c r="T15" t="s">
        <v>31</v>
      </c>
      <c r="U15" t="s">
        <v>31</v>
      </c>
      <c r="V15" t="s">
        <v>31</v>
      </c>
      <c r="W15">
        <v>24</v>
      </c>
      <c r="X15" t="s">
        <v>362</v>
      </c>
      <c r="Y15">
        <v>3</v>
      </c>
      <c r="Z15">
        <v>3</v>
      </c>
    </row>
    <row r="16" spans="1:26" x14ac:dyDescent="0.2">
      <c r="A16" t="s">
        <v>339</v>
      </c>
      <c r="C16" t="s">
        <v>443</v>
      </c>
      <c r="D16">
        <v>2024</v>
      </c>
      <c r="E16">
        <v>1</v>
      </c>
      <c r="F16" t="s">
        <v>340</v>
      </c>
      <c r="G16">
        <v>4897</v>
      </c>
      <c r="H16">
        <v>4875</v>
      </c>
      <c r="I16" s="1">
        <v>45474.501493055555</v>
      </c>
      <c r="J16" t="s">
        <v>444</v>
      </c>
      <c r="K16" t="s">
        <v>445</v>
      </c>
      <c r="M16" t="s">
        <v>31</v>
      </c>
      <c r="N16" t="s">
        <v>341</v>
      </c>
      <c r="O16" t="s">
        <v>446</v>
      </c>
      <c r="P16" t="s">
        <v>445</v>
      </c>
      <c r="Q16" t="s">
        <v>447</v>
      </c>
      <c r="R16" t="s">
        <v>31</v>
      </c>
      <c r="S16" t="s">
        <v>31</v>
      </c>
      <c r="T16" t="s">
        <v>31</v>
      </c>
      <c r="U16" t="s">
        <v>31</v>
      </c>
      <c r="V16" t="s">
        <v>31</v>
      </c>
      <c r="W16">
        <v>25</v>
      </c>
      <c r="X16" t="s">
        <v>363</v>
      </c>
      <c r="Y16">
        <v>4</v>
      </c>
      <c r="Z16">
        <v>4</v>
      </c>
    </row>
    <row r="17" spans="1:26" x14ac:dyDescent="0.2">
      <c r="A17" t="s">
        <v>339</v>
      </c>
      <c r="C17" t="s">
        <v>443</v>
      </c>
      <c r="D17">
        <v>2024</v>
      </c>
      <c r="E17">
        <v>1</v>
      </c>
      <c r="F17" t="s">
        <v>340</v>
      </c>
      <c r="G17">
        <v>4897</v>
      </c>
      <c r="H17">
        <v>4875</v>
      </c>
      <c r="I17" s="1">
        <v>45474.501493055555</v>
      </c>
      <c r="J17" t="s">
        <v>444</v>
      </c>
      <c r="K17" t="s">
        <v>445</v>
      </c>
      <c r="M17" t="s">
        <v>31</v>
      </c>
      <c r="N17" t="s">
        <v>341</v>
      </c>
      <c r="O17" t="s">
        <v>446</v>
      </c>
      <c r="P17" t="s">
        <v>445</v>
      </c>
      <c r="Q17" t="s">
        <v>447</v>
      </c>
      <c r="R17" t="s">
        <v>31</v>
      </c>
      <c r="S17" t="s">
        <v>31</v>
      </c>
      <c r="T17" t="s">
        <v>31</v>
      </c>
      <c r="U17" t="s">
        <v>31</v>
      </c>
      <c r="V17" t="s">
        <v>31</v>
      </c>
      <c r="W17">
        <v>47</v>
      </c>
      <c r="X17" t="s">
        <v>342</v>
      </c>
      <c r="Y17" t="s">
        <v>31</v>
      </c>
      <c r="Z17" t="s">
        <v>31</v>
      </c>
    </row>
    <row r="18" spans="1:26" x14ac:dyDescent="0.2">
      <c r="A18" t="s">
        <v>339</v>
      </c>
      <c r="C18" t="s">
        <v>443</v>
      </c>
      <c r="D18">
        <v>2024</v>
      </c>
      <c r="E18">
        <v>1</v>
      </c>
      <c r="F18" t="s">
        <v>340</v>
      </c>
      <c r="G18">
        <v>4897</v>
      </c>
      <c r="H18">
        <v>4875</v>
      </c>
      <c r="I18" s="1">
        <v>45474.501493055555</v>
      </c>
      <c r="J18" t="s">
        <v>444</v>
      </c>
      <c r="K18" t="s">
        <v>445</v>
      </c>
      <c r="M18" t="s">
        <v>31</v>
      </c>
      <c r="N18" t="s">
        <v>341</v>
      </c>
      <c r="O18" t="s">
        <v>446</v>
      </c>
      <c r="P18" t="s">
        <v>445</v>
      </c>
      <c r="Q18" t="s">
        <v>447</v>
      </c>
      <c r="R18" t="s">
        <v>31</v>
      </c>
      <c r="S18" t="s">
        <v>31</v>
      </c>
      <c r="T18" t="s">
        <v>31</v>
      </c>
      <c r="U18" t="s">
        <v>31</v>
      </c>
      <c r="V18" t="s">
        <v>31</v>
      </c>
      <c r="W18">
        <v>27</v>
      </c>
      <c r="X18" t="s">
        <v>364</v>
      </c>
      <c r="Y18" t="s">
        <v>31</v>
      </c>
      <c r="Z18" t="s">
        <v>31</v>
      </c>
    </row>
    <row r="19" spans="1:26" x14ac:dyDescent="0.2">
      <c r="A19" t="s">
        <v>339</v>
      </c>
      <c r="C19" t="s">
        <v>443</v>
      </c>
      <c r="D19">
        <v>2024</v>
      </c>
      <c r="E19">
        <v>1</v>
      </c>
      <c r="F19" t="s">
        <v>340</v>
      </c>
      <c r="G19">
        <v>4897</v>
      </c>
      <c r="H19">
        <v>4875</v>
      </c>
      <c r="I19" s="1">
        <v>45474.501493055555</v>
      </c>
      <c r="J19" t="s">
        <v>444</v>
      </c>
      <c r="K19" t="s">
        <v>445</v>
      </c>
      <c r="M19" t="s">
        <v>31</v>
      </c>
      <c r="N19" t="s">
        <v>341</v>
      </c>
      <c r="O19" t="s">
        <v>446</v>
      </c>
      <c r="P19" t="s">
        <v>445</v>
      </c>
      <c r="Q19" t="s">
        <v>447</v>
      </c>
      <c r="R19" t="s">
        <v>31</v>
      </c>
      <c r="S19" t="s">
        <v>31</v>
      </c>
      <c r="T19" t="s">
        <v>31</v>
      </c>
      <c r="U19" t="s">
        <v>31</v>
      </c>
      <c r="V19" t="s">
        <v>31</v>
      </c>
      <c r="W19">
        <v>28</v>
      </c>
      <c r="X19" t="s">
        <v>365</v>
      </c>
      <c r="Y19" t="s">
        <v>31</v>
      </c>
      <c r="Z19" t="s">
        <v>31</v>
      </c>
    </row>
    <row r="20" spans="1:26" x14ac:dyDescent="0.2">
      <c r="A20" t="s">
        <v>339</v>
      </c>
      <c r="C20" t="s">
        <v>443</v>
      </c>
      <c r="D20">
        <v>2024</v>
      </c>
      <c r="E20">
        <v>1</v>
      </c>
      <c r="F20" t="s">
        <v>340</v>
      </c>
      <c r="G20">
        <v>4897</v>
      </c>
      <c r="H20">
        <v>4875</v>
      </c>
      <c r="I20" s="1">
        <v>45474.501493055555</v>
      </c>
      <c r="J20" t="s">
        <v>444</v>
      </c>
      <c r="K20" t="s">
        <v>445</v>
      </c>
      <c r="M20" t="s">
        <v>31</v>
      </c>
      <c r="N20" t="s">
        <v>341</v>
      </c>
      <c r="O20" t="s">
        <v>446</v>
      </c>
      <c r="P20" t="s">
        <v>445</v>
      </c>
      <c r="Q20" t="s">
        <v>447</v>
      </c>
      <c r="R20" t="s">
        <v>31</v>
      </c>
      <c r="S20" t="s">
        <v>31</v>
      </c>
      <c r="T20" t="s">
        <v>31</v>
      </c>
      <c r="U20" t="s">
        <v>31</v>
      </c>
      <c r="V20" t="s">
        <v>31</v>
      </c>
      <c r="W20">
        <v>29</v>
      </c>
      <c r="X20" t="s">
        <v>366</v>
      </c>
      <c r="Y20" t="s">
        <v>31</v>
      </c>
      <c r="Z20" t="s">
        <v>31</v>
      </c>
    </row>
    <row r="21" spans="1:26" x14ac:dyDescent="0.2">
      <c r="A21" t="s">
        <v>339</v>
      </c>
      <c r="C21" t="s">
        <v>443</v>
      </c>
      <c r="D21">
        <v>2024</v>
      </c>
      <c r="E21">
        <v>1</v>
      </c>
      <c r="F21" t="s">
        <v>340</v>
      </c>
      <c r="G21">
        <v>4897</v>
      </c>
      <c r="H21">
        <v>4875</v>
      </c>
      <c r="I21" s="1">
        <v>45474.501493055555</v>
      </c>
      <c r="J21" t="s">
        <v>444</v>
      </c>
      <c r="K21" t="s">
        <v>445</v>
      </c>
      <c r="M21" t="s">
        <v>31</v>
      </c>
      <c r="N21" t="s">
        <v>341</v>
      </c>
      <c r="O21" t="s">
        <v>446</v>
      </c>
      <c r="P21" t="s">
        <v>445</v>
      </c>
      <c r="Q21" t="s">
        <v>447</v>
      </c>
      <c r="R21" t="s">
        <v>31</v>
      </c>
      <c r="S21" t="s">
        <v>31</v>
      </c>
      <c r="T21" t="s">
        <v>31</v>
      </c>
      <c r="U21" t="s">
        <v>31</v>
      </c>
      <c r="V21" t="s">
        <v>31</v>
      </c>
      <c r="W21">
        <v>30</v>
      </c>
      <c r="X21" t="s">
        <v>367</v>
      </c>
      <c r="Y21" t="s">
        <v>31</v>
      </c>
      <c r="Z21" t="s">
        <v>31</v>
      </c>
    </row>
    <row r="22" spans="1:26" x14ac:dyDescent="0.2">
      <c r="A22" t="s">
        <v>339</v>
      </c>
      <c r="C22" t="s">
        <v>443</v>
      </c>
      <c r="D22">
        <v>2024</v>
      </c>
      <c r="E22">
        <v>1</v>
      </c>
      <c r="F22" t="s">
        <v>340</v>
      </c>
      <c r="G22">
        <v>4897</v>
      </c>
      <c r="H22">
        <v>4875</v>
      </c>
      <c r="I22" s="1">
        <v>45474.501493055555</v>
      </c>
      <c r="J22" t="s">
        <v>444</v>
      </c>
      <c r="K22" t="s">
        <v>445</v>
      </c>
      <c r="M22" t="s">
        <v>31</v>
      </c>
      <c r="N22" t="s">
        <v>341</v>
      </c>
      <c r="O22" t="s">
        <v>446</v>
      </c>
      <c r="P22" t="s">
        <v>445</v>
      </c>
      <c r="Q22" t="s">
        <v>447</v>
      </c>
      <c r="R22" t="s">
        <v>31</v>
      </c>
      <c r="S22" t="s">
        <v>31</v>
      </c>
      <c r="T22" t="s">
        <v>31</v>
      </c>
      <c r="U22" t="s">
        <v>31</v>
      </c>
      <c r="V22" t="s">
        <v>31</v>
      </c>
      <c r="W22">
        <v>31</v>
      </c>
      <c r="X22" t="s">
        <v>368</v>
      </c>
      <c r="Y22" t="s">
        <v>31</v>
      </c>
      <c r="Z22" t="s">
        <v>31</v>
      </c>
    </row>
    <row r="23" spans="1:26" x14ac:dyDescent="0.2">
      <c r="A23" t="s">
        <v>339</v>
      </c>
      <c r="C23" t="s">
        <v>443</v>
      </c>
      <c r="D23">
        <v>2024</v>
      </c>
      <c r="E23">
        <v>1</v>
      </c>
      <c r="F23" t="s">
        <v>340</v>
      </c>
      <c r="G23">
        <v>4897</v>
      </c>
      <c r="H23">
        <v>4875</v>
      </c>
      <c r="I23" s="1">
        <v>45474.501493055555</v>
      </c>
      <c r="J23" t="s">
        <v>444</v>
      </c>
      <c r="K23" t="s">
        <v>445</v>
      </c>
      <c r="M23" t="s">
        <v>31</v>
      </c>
      <c r="N23" t="s">
        <v>341</v>
      </c>
      <c r="O23" t="s">
        <v>446</v>
      </c>
      <c r="P23" t="s">
        <v>445</v>
      </c>
      <c r="Q23" t="s">
        <v>447</v>
      </c>
      <c r="R23" t="s">
        <v>31</v>
      </c>
      <c r="S23" t="s">
        <v>31</v>
      </c>
      <c r="T23" t="s">
        <v>31</v>
      </c>
      <c r="U23" t="s">
        <v>31</v>
      </c>
      <c r="V23" t="s">
        <v>31</v>
      </c>
      <c r="W23">
        <v>32</v>
      </c>
      <c r="X23" t="s">
        <v>369</v>
      </c>
      <c r="Y23" t="s">
        <v>31</v>
      </c>
      <c r="Z23" t="s">
        <v>31</v>
      </c>
    </row>
    <row r="24" spans="1:26" x14ac:dyDescent="0.2">
      <c r="A24" t="s">
        <v>339</v>
      </c>
      <c r="C24" t="s">
        <v>443</v>
      </c>
      <c r="D24">
        <v>2024</v>
      </c>
      <c r="E24">
        <v>1</v>
      </c>
      <c r="F24" t="s">
        <v>340</v>
      </c>
      <c r="G24">
        <v>4897</v>
      </c>
      <c r="H24">
        <v>4875</v>
      </c>
      <c r="I24" s="1">
        <v>45474.501493055555</v>
      </c>
      <c r="J24" t="s">
        <v>444</v>
      </c>
      <c r="K24" t="s">
        <v>445</v>
      </c>
      <c r="M24" t="s">
        <v>31</v>
      </c>
      <c r="N24" t="s">
        <v>341</v>
      </c>
      <c r="O24" t="s">
        <v>446</v>
      </c>
      <c r="P24" t="s">
        <v>445</v>
      </c>
      <c r="Q24" t="s">
        <v>447</v>
      </c>
      <c r="R24" t="s">
        <v>31</v>
      </c>
      <c r="S24" t="s">
        <v>31</v>
      </c>
      <c r="T24" t="s">
        <v>31</v>
      </c>
      <c r="U24" t="s">
        <v>31</v>
      </c>
      <c r="V24" t="s">
        <v>31</v>
      </c>
      <c r="W24">
        <v>33</v>
      </c>
      <c r="X24" t="s">
        <v>344</v>
      </c>
      <c r="Y24" t="s">
        <v>31</v>
      </c>
      <c r="Z24" t="s">
        <v>31</v>
      </c>
    </row>
    <row r="25" spans="1:26" x14ac:dyDescent="0.2">
      <c r="A25" t="s">
        <v>339</v>
      </c>
      <c r="C25" t="s">
        <v>443</v>
      </c>
      <c r="D25">
        <v>2024</v>
      </c>
      <c r="E25">
        <v>1</v>
      </c>
      <c r="F25" t="s">
        <v>340</v>
      </c>
      <c r="G25">
        <v>4897</v>
      </c>
      <c r="H25">
        <v>4875</v>
      </c>
      <c r="I25" s="1">
        <v>45474.501493055555</v>
      </c>
      <c r="J25" t="s">
        <v>444</v>
      </c>
      <c r="K25" t="s">
        <v>445</v>
      </c>
      <c r="M25" t="s">
        <v>31</v>
      </c>
      <c r="N25" t="s">
        <v>341</v>
      </c>
      <c r="O25" t="s">
        <v>446</v>
      </c>
      <c r="P25" t="s">
        <v>445</v>
      </c>
      <c r="Q25" t="s">
        <v>447</v>
      </c>
      <c r="R25" t="s">
        <v>31</v>
      </c>
      <c r="S25" t="s">
        <v>31</v>
      </c>
      <c r="T25" t="s">
        <v>31</v>
      </c>
      <c r="U25" t="s">
        <v>31</v>
      </c>
      <c r="V25" t="s">
        <v>31</v>
      </c>
      <c r="W25">
        <v>34</v>
      </c>
      <c r="X25" t="s">
        <v>345</v>
      </c>
      <c r="Y25">
        <v>3</v>
      </c>
      <c r="Z25">
        <v>3</v>
      </c>
    </row>
    <row r="26" spans="1:26" x14ac:dyDescent="0.2">
      <c r="A26" t="s">
        <v>339</v>
      </c>
      <c r="C26" t="s">
        <v>443</v>
      </c>
      <c r="D26">
        <v>2024</v>
      </c>
      <c r="E26">
        <v>1</v>
      </c>
      <c r="F26" t="s">
        <v>340</v>
      </c>
      <c r="G26">
        <v>4897</v>
      </c>
      <c r="H26">
        <v>4875</v>
      </c>
      <c r="I26" s="1">
        <v>45474.501493055555</v>
      </c>
      <c r="J26" t="s">
        <v>444</v>
      </c>
      <c r="K26" t="s">
        <v>445</v>
      </c>
      <c r="M26" t="s">
        <v>31</v>
      </c>
      <c r="N26" t="s">
        <v>341</v>
      </c>
      <c r="O26" t="s">
        <v>446</v>
      </c>
      <c r="P26" t="s">
        <v>445</v>
      </c>
      <c r="Q26" t="s">
        <v>447</v>
      </c>
      <c r="R26" t="s">
        <v>31</v>
      </c>
      <c r="S26" t="s">
        <v>31</v>
      </c>
      <c r="T26" t="s">
        <v>31</v>
      </c>
      <c r="U26" t="s">
        <v>31</v>
      </c>
      <c r="V26" t="s">
        <v>31</v>
      </c>
      <c r="W26">
        <v>35</v>
      </c>
      <c r="X26" t="s">
        <v>343</v>
      </c>
      <c r="Y26">
        <v>4</v>
      </c>
      <c r="Z26">
        <v>4</v>
      </c>
    </row>
    <row r="27" spans="1:26" x14ac:dyDescent="0.2">
      <c r="A27" t="s">
        <v>339</v>
      </c>
      <c r="C27" t="s">
        <v>443</v>
      </c>
      <c r="D27">
        <v>2024</v>
      </c>
      <c r="E27">
        <v>1</v>
      </c>
      <c r="F27" t="s">
        <v>340</v>
      </c>
      <c r="G27">
        <v>4897</v>
      </c>
      <c r="H27">
        <v>4875</v>
      </c>
      <c r="I27" s="1">
        <v>45474.501493055555</v>
      </c>
      <c r="J27" t="s">
        <v>444</v>
      </c>
      <c r="K27" t="s">
        <v>445</v>
      </c>
      <c r="M27" t="s">
        <v>31</v>
      </c>
      <c r="N27" t="s">
        <v>341</v>
      </c>
      <c r="O27" t="s">
        <v>446</v>
      </c>
      <c r="P27" t="s">
        <v>445</v>
      </c>
      <c r="Q27" t="s">
        <v>447</v>
      </c>
      <c r="R27" t="s">
        <v>31</v>
      </c>
      <c r="S27" t="s">
        <v>31</v>
      </c>
      <c r="T27" t="s">
        <v>31</v>
      </c>
      <c r="U27" t="s">
        <v>31</v>
      </c>
      <c r="V27" t="s">
        <v>31</v>
      </c>
      <c r="W27">
        <v>36</v>
      </c>
      <c r="X27" t="s">
        <v>370</v>
      </c>
      <c r="Y27" t="s">
        <v>31</v>
      </c>
      <c r="Z27" t="s">
        <v>31</v>
      </c>
    </row>
    <row r="28" spans="1:26" x14ac:dyDescent="0.2">
      <c r="A28" t="s">
        <v>339</v>
      </c>
      <c r="C28" t="s">
        <v>443</v>
      </c>
      <c r="D28">
        <v>2024</v>
      </c>
      <c r="E28">
        <v>1</v>
      </c>
      <c r="F28" t="s">
        <v>340</v>
      </c>
      <c r="G28">
        <v>4897</v>
      </c>
      <c r="H28">
        <v>4875</v>
      </c>
      <c r="I28" s="1">
        <v>45474.501493055555</v>
      </c>
      <c r="J28" t="s">
        <v>444</v>
      </c>
      <c r="K28" t="s">
        <v>445</v>
      </c>
      <c r="M28" t="s">
        <v>31</v>
      </c>
      <c r="N28" t="s">
        <v>341</v>
      </c>
      <c r="O28" t="s">
        <v>446</v>
      </c>
      <c r="P28" t="s">
        <v>445</v>
      </c>
      <c r="Q28" t="s">
        <v>447</v>
      </c>
      <c r="R28" t="s">
        <v>31</v>
      </c>
      <c r="S28" t="s">
        <v>31</v>
      </c>
      <c r="T28" t="s">
        <v>31</v>
      </c>
      <c r="U28" t="s">
        <v>31</v>
      </c>
      <c r="V28" t="s">
        <v>31</v>
      </c>
      <c r="W28">
        <v>37</v>
      </c>
      <c r="X28" t="s">
        <v>371</v>
      </c>
      <c r="Y28" t="s">
        <v>31</v>
      </c>
      <c r="Z28" t="s">
        <v>31</v>
      </c>
    </row>
    <row r="29" spans="1:26" x14ac:dyDescent="0.2">
      <c r="A29" t="s">
        <v>339</v>
      </c>
      <c r="C29" t="s">
        <v>443</v>
      </c>
      <c r="D29">
        <v>2024</v>
      </c>
      <c r="E29">
        <v>1</v>
      </c>
      <c r="F29" t="s">
        <v>340</v>
      </c>
      <c r="G29">
        <v>4897</v>
      </c>
      <c r="H29">
        <v>4875</v>
      </c>
      <c r="I29" s="1">
        <v>45474.501493055555</v>
      </c>
      <c r="J29" t="s">
        <v>444</v>
      </c>
      <c r="K29" t="s">
        <v>445</v>
      </c>
      <c r="M29" t="s">
        <v>31</v>
      </c>
      <c r="N29" t="s">
        <v>341</v>
      </c>
      <c r="O29" t="s">
        <v>446</v>
      </c>
      <c r="P29" t="s">
        <v>445</v>
      </c>
      <c r="Q29" t="s">
        <v>447</v>
      </c>
      <c r="R29" t="s">
        <v>31</v>
      </c>
      <c r="S29" t="s">
        <v>31</v>
      </c>
      <c r="T29" t="s">
        <v>31</v>
      </c>
      <c r="U29" t="s">
        <v>31</v>
      </c>
      <c r="V29" t="s">
        <v>31</v>
      </c>
      <c r="W29">
        <v>38</v>
      </c>
      <c r="X29" t="s">
        <v>372</v>
      </c>
      <c r="Y29" t="s">
        <v>31</v>
      </c>
      <c r="Z29" t="s">
        <v>31</v>
      </c>
    </row>
    <row r="30" spans="1:26" x14ac:dyDescent="0.2">
      <c r="A30" t="s">
        <v>339</v>
      </c>
      <c r="C30" t="s">
        <v>443</v>
      </c>
      <c r="D30">
        <v>2024</v>
      </c>
      <c r="E30">
        <v>1</v>
      </c>
      <c r="F30" t="s">
        <v>340</v>
      </c>
      <c r="G30">
        <v>4897</v>
      </c>
      <c r="H30">
        <v>4875</v>
      </c>
      <c r="I30" s="1">
        <v>45474.501493055555</v>
      </c>
      <c r="J30" t="s">
        <v>444</v>
      </c>
      <c r="K30" t="s">
        <v>445</v>
      </c>
      <c r="M30" t="s">
        <v>31</v>
      </c>
      <c r="N30" t="s">
        <v>341</v>
      </c>
      <c r="O30" t="s">
        <v>446</v>
      </c>
      <c r="P30" t="s">
        <v>445</v>
      </c>
      <c r="Q30" t="s">
        <v>447</v>
      </c>
      <c r="R30" t="s">
        <v>31</v>
      </c>
      <c r="S30" t="s">
        <v>31</v>
      </c>
      <c r="T30" t="s">
        <v>31</v>
      </c>
      <c r="U30" t="s">
        <v>31</v>
      </c>
      <c r="V30" t="s">
        <v>31</v>
      </c>
      <c r="W30">
        <v>39</v>
      </c>
      <c r="X30" t="s">
        <v>373</v>
      </c>
      <c r="Y30" t="s">
        <v>31</v>
      </c>
      <c r="Z30" t="s">
        <v>31</v>
      </c>
    </row>
    <row r="31" spans="1:26" x14ac:dyDescent="0.2">
      <c r="A31" t="s">
        <v>339</v>
      </c>
      <c r="C31" t="s">
        <v>443</v>
      </c>
      <c r="D31">
        <v>2024</v>
      </c>
      <c r="E31">
        <v>1</v>
      </c>
      <c r="F31" t="s">
        <v>340</v>
      </c>
      <c r="G31">
        <v>4897</v>
      </c>
      <c r="H31">
        <v>4875</v>
      </c>
      <c r="I31" s="1">
        <v>45474.501493055555</v>
      </c>
      <c r="J31" t="s">
        <v>444</v>
      </c>
      <c r="K31" t="s">
        <v>445</v>
      </c>
      <c r="M31" t="s">
        <v>31</v>
      </c>
      <c r="N31" t="s">
        <v>341</v>
      </c>
      <c r="O31" t="s">
        <v>446</v>
      </c>
      <c r="P31" t="s">
        <v>445</v>
      </c>
      <c r="Q31" t="s">
        <v>447</v>
      </c>
      <c r="R31" t="s">
        <v>31</v>
      </c>
      <c r="S31" t="s">
        <v>31</v>
      </c>
      <c r="T31" t="s">
        <v>31</v>
      </c>
      <c r="U31" t="s">
        <v>31</v>
      </c>
      <c r="V31" t="s">
        <v>31</v>
      </c>
      <c r="W31">
        <v>40</v>
      </c>
      <c r="X31" t="s">
        <v>374</v>
      </c>
      <c r="Y31">
        <v>4</v>
      </c>
      <c r="Z31">
        <v>4</v>
      </c>
    </row>
    <row r="40" spans="1:26" x14ac:dyDescent="0.2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7</v>
      </c>
      <c r="I40" t="s">
        <v>8</v>
      </c>
      <c r="J40" t="s">
        <v>9</v>
      </c>
      <c r="K40" t="s">
        <v>10</v>
      </c>
      <c r="L40" t="s">
        <v>11</v>
      </c>
      <c r="M40" t="s">
        <v>12</v>
      </c>
      <c r="N40" t="s">
        <v>13</v>
      </c>
      <c r="O40" t="s">
        <v>14</v>
      </c>
      <c r="P40" t="s">
        <v>15</v>
      </c>
      <c r="Q40" t="s">
        <v>16</v>
      </c>
      <c r="R40" t="s">
        <v>17</v>
      </c>
      <c r="S40" t="s">
        <v>18</v>
      </c>
      <c r="T40" t="s">
        <v>19</v>
      </c>
      <c r="U40" t="s">
        <v>20</v>
      </c>
      <c r="V40" t="s">
        <v>21</v>
      </c>
      <c r="W40" t="s">
        <v>22</v>
      </c>
      <c r="X40" t="s">
        <v>23</v>
      </c>
      <c r="Y40" t="s">
        <v>24</v>
      </c>
      <c r="Z40" t="s">
        <v>25</v>
      </c>
    </row>
    <row r="41" spans="1:26" x14ac:dyDescent="0.2">
      <c r="A41" t="s">
        <v>379</v>
      </c>
      <c r="C41" t="s">
        <v>378</v>
      </c>
      <c r="D41">
        <v>1999</v>
      </c>
      <c r="E41">
        <v>1</v>
      </c>
      <c r="F41" t="s">
        <v>380</v>
      </c>
      <c r="G41">
        <v>6</v>
      </c>
      <c r="H41">
        <v>156</v>
      </c>
      <c r="I41" s="1">
        <v>45646.45208333333</v>
      </c>
      <c r="J41" t="s">
        <v>381</v>
      </c>
      <c r="K41" t="s">
        <v>382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383</v>
      </c>
      <c r="R41" t="s">
        <v>384</v>
      </c>
      <c r="S41" t="s">
        <v>31</v>
      </c>
      <c r="T41" t="s">
        <v>31</v>
      </c>
      <c r="U41" t="s">
        <v>31</v>
      </c>
      <c r="V41" t="s">
        <v>31</v>
      </c>
      <c r="W41">
        <v>17</v>
      </c>
      <c r="X41" t="s">
        <v>385</v>
      </c>
      <c r="Y41">
        <v>4</v>
      </c>
      <c r="Z41">
        <v>4</v>
      </c>
    </row>
    <row r="42" spans="1:26" x14ac:dyDescent="0.2">
      <c r="A42" t="s">
        <v>379</v>
      </c>
      <c r="C42" t="s">
        <v>378</v>
      </c>
      <c r="D42">
        <v>1999</v>
      </c>
      <c r="E42">
        <v>1</v>
      </c>
      <c r="F42" t="s">
        <v>380</v>
      </c>
      <c r="G42">
        <v>6</v>
      </c>
      <c r="H42">
        <v>156</v>
      </c>
      <c r="I42" s="1">
        <v>45646.45208333333</v>
      </c>
      <c r="J42" t="s">
        <v>381</v>
      </c>
      <c r="K42" t="s">
        <v>382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383</v>
      </c>
      <c r="R42" t="s">
        <v>384</v>
      </c>
      <c r="S42" t="s">
        <v>31</v>
      </c>
      <c r="T42" t="s">
        <v>31</v>
      </c>
      <c r="U42" t="s">
        <v>31</v>
      </c>
      <c r="V42" t="s">
        <v>31</v>
      </c>
      <c r="W42">
        <v>18</v>
      </c>
      <c r="X42" t="s">
        <v>390</v>
      </c>
      <c r="Y42">
        <v>4</v>
      </c>
      <c r="Z42">
        <v>4</v>
      </c>
    </row>
    <row r="43" spans="1:26" x14ac:dyDescent="0.2">
      <c r="A43" t="s">
        <v>379</v>
      </c>
      <c r="C43" t="s">
        <v>378</v>
      </c>
      <c r="D43">
        <v>1999</v>
      </c>
      <c r="E43">
        <v>1</v>
      </c>
      <c r="F43" t="s">
        <v>380</v>
      </c>
      <c r="G43">
        <v>6</v>
      </c>
      <c r="H43">
        <v>156</v>
      </c>
      <c r="I43" s="1">
        <v>45646.45208333333</v>
      </c>
      <c r="J43" t="s">
        <v>381</v>
      </c>
      <c r="K43" t="s">
        <v>382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383</v>
      </c>
      <c r="R43" t="s">
        <v>384</v>
      </c>
      <c r="S43" t="s">
        <v>31</v>
      </c>
      <c r="T43" t="s">
        <v>31</v>
      </c>
      <c r="U43" t="s">
        <v>31</v>
      </c>
      <c r="V43" t="s">
        <v>31</v>
      </c>
      <c r="W43">
        <v>19</v>
      </c>
      <c r="X43" t="s">
        <v>388</v>
      </c>
      <c r="Y43">
        <v>4</v>
      </c>
      <c r="Z43">
        <v>4</v>
      </c>
    </row>
    <row r="44" spans="1:26" x14ac:dyDescent="0.2">
      <c r="A44" t="s">
        <v>379</v>
      </c>
      <c r="C44" t="s">
        <v>378</v>
      </c>
      <c r="D44">
        <v>1999</v>
      </c>
      <c r="E44">
        <v>1</v>
      </c>
      <c r="F44" t="s">
        <v>380</v>
      </c>
      <c r="G44">
        <v>6</v>
      </c>
      <c r="H44">
        <v>156</v>
      </c>
      <c r="I44" s="1">
        <v>45646.45208333333</v>
      </c>
      <c r="J44" t="s">
        <v>381</v>
      </c>
      <c r="K44" t="s">
        <v>382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383</v>
      </c>
      <c r="R44" t="s">
        <v>384</v>
      </c>
      <c r="S44" t="s">
        <v>31</v>
      </c>
      <c r="T44" t="s">
        <v>31</v>
      </c>
      <c r="U44" t="s">
        <v>31</v>
      </c>
      <c r="V44" t="s">
        <v>31</v>
      </c>
      <c r="W44">
        <v>20</v>
      </c>
      <c r="X44" t="s">
        <v>387</v>
      </c>
      <c r="Y44">
        <v>4</v>
      </c>
      <c r="Z44">
        <v>4</v>
      </c>
    </row>
    <row r="45" spans="1:26" x14ac:dyDescent="0.2">
      <c r="A45" t="s">
        <v>379</v>
      </c>
      <c r="C45" t="s">
        <v>378</v>
      </c>
      <c r="D45">
        <v>1999</v>
      </c>
      <c r="E45">
        <v>1</v>
      </c>
      <c r="F45" t="s">
        <v>380</v>
      </c>
      <c r="G45">
        <v>6</v>
      </c>
      <c r="H45">
        <v>156</v>
      </c>
      <c r="I45" s="1">
        <v>45646.45208333333</v>
      </c>
      <c r="J45" t="s">
        <v>381</v>
      </c>
      <c r="K45" t="s">
        <v>382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383</v>
      </c>
      <c r="R45" t="s">
        <v>384</v>
      </c>
      <c r="S45" t="s">
        <v>31</v>
      </c>
      <c r="T45" t="s">
        <v>31</v>
      </c>
      <c r="U45" t="s">
        <v>31</v>
      </c>
      <c r="V45" t="s">
        <v>31</v>
      </c>
      <c r="W45">
        <v>21</v>
      </c>
      <c r="X45" t="s">
        <v>392</v>
      </c>
      <c r="Y45">
        <v>4</v>
      </c>
      <c r="Z45">
        <v>4</v>
      </c>
    </row>
    <row r="46" spans="1:26" x14ac:dyDescent="0.2">
      <c r="A46" t="s">
        <v>379</v>
      </c>
      <c r="C46" t="s">
        <v>378</v>
      </c>
      <c r="D46">
        <v>1999</v>
      </c>
      <c r="E46">
        <v>1</v>
      </c>
      <c r="F46" t="s">
        <v>380</v>
      </c>
      <c r="G46">
        <v>6</v>
      </c>
      <c r="H46">
        <v>156</v>
      </c>
      <c r="I46" s="1">
        <v>45646.45208333333</v>
      </c>
      <c r="J46" t="s">
        <v>381</v>
      </c>
      <c r="K46" t="s">
        <v>382</v>
      </c>
      <c r="L46" t="s">
        <v>31</v>
      </c>
      <c r="M46" t="s">
        <v>31</v>
      </c>
      <c r="N46" t="s">
        <v>31</v>
      </c>
      <c r="O46" t="s">
        <v>31</v>
      </c>
      <c r="P46" t="s">
        <v>31</v>
      </c>
      <c r="Q46" t="s">
        <v>383</v>
      </c>
      <c r="R46" t="s">
        <v>384</v>
      </c>
      <c r="S46" t="s">
        <v>31</v>
      </c>
      <c r="T46" t="s">
        <v>31</v>
      </c>
      <c r="U46" t="s">
        <v>31</v>
      </c>
      <c r="V46" t="s">
        <v>31</v>
      </c>
      <c r="W46">
        <v>22</v>
      </c>
      <c r="X46" t="s">
        <v>393</v>
      </c>
      <c r="Y46" t="s">
        <v>31</v>
      </c>
      <c r="Z46" t="s">
        <v>31</v>
      </c>
    </row>
    <row r="47" spans="1:26" x14ac:dyDescent="0.2">
      <c r="A47" t="s">
        <v>379</v>
      </c>
      <c r="C47" t="s">
        <v>378</v>
      </c>
      <c r="D47">
        <v>1999</v>
      </c>
      <c r="E47">
        <v>1</v>
      </c>
      <c r="F47" t="s">
        <v>380</v>
      </c>
      <c r="G47">
        <v>6</v>
      </c>
      <c r="H47">
        <v>156</v>
      </c>
      <c r="I47" s="1">
        <v>45646.45208333333</v>
      </c>
      <c r="J47" t="s">
        <v>381</v>
      </c>
      <c r="K47" t="s">
        <v>382</v>
      </c>
      <c r="L47" t="s">
        <v>31</v>
      </c>
      <c r="M47" t="s">
        <v>31</v>
      </c>
      <c r="N47" t="s">
        <v>31</v>
      </c>
      <c r="O47" t="s">
        <v>31</v>
      </c>
      <c r="P47" t="s">
        <v>31</v>
      </c>
      <c r="Q47" t="s">
        <v>383</v>
      </c>
      <c r="R47" t="s">
        <v>384</v>
      </c>
      <c r="S47" t="s">
        <v>31</v>
      </c>
      <c r="T47" t="s">
        <v>31</v>
      </c>
      <c r="U47" t="s">
        <v>31</v>
      </c>
      <c r="V47" t="s">
        <v>31</v>
      </c>
      <c r="W47">
        <v>23</v>
      </c>
      <c r="X47" t="s">
        <v>394</v>
      </c>
      <c r="Y47">
        <v>4</v>
      </c>
      <c r="Z47">
        <v>4</v>
      </c>
    </row>
    <row r="48" spans="1:26" x14ac:dyDescent="0.2">
      <c r="A48" t="s">
        <v>379</v>
      </c>
      <c r="C48" t="s">
        <v>378</v>
      </c>
      <c r="D48">
        <v>1999</v>
      </c>
      <c r="E48">
        <v>1</v>
      </c>
      <c r="F48" t="s">
        <v>380</v>
      </c>
      <c r="G48">
        <v>6</v>
      </c>
      <c r="H48">
        <v>156</v>
      </c>
      <c r="I48" s="1">
        <v>45646.45208333333</v>
      </c>
      <c r="J48" t="s">
        <v>381</v>
      </c>
      <c r="K48" t="s">
        <v>382</v>
      </c>
      <c r="L48" t="s">
        <v>31</v>
      </c>
      <c r="M48" t="s">
        <v>31</v>
      </c>
      <c r="N48" t="s">
        <v>31</v>
      </c>
      <c r="O48" t="s">
        <v>31</v>
      </c>
      <c r="P48" t="s">
        <v>31</v>
      </c>
      <c r="Q48" t="s">
        <v>383</v>
      </c>
      <c r="R48" t="s">
        <v>384</v>
      </c>
      <c r="S48" t="s">
        <v>31</v>
      </c>
      <c r="T48" t="s">
        <v>31</v>
      </c>
      <c r="U48" t="s">
        <v>31</v>
      </c>
      <c r="V48" t="s">
        <v>31</v>
      </c>
      <c r="W48">
        <v>24</v>
      </c>
      <c r="X48" t="s">
        <v>391</v>
      </c>
      <c r="Y48" t="s">
        <v>31</v>
      </c>
      <c r="Z48" t="s">
        <v>31</v>
      </c>
    </row>
    <row r="49" spans="1:26" x14ac:dyDescent="0.2">
      <c r="A49" t="s">
        <v>379</v>
      </c>
      <c r="C49" t="s">
        <v>378</v>
      </c>
      <c r="D49">
        <v>1999</v>
      </c>
      <c r="E49">
        <v>1</v>
      </c>
      <c r="F49" t="s">
        <v>380</v>
      </c>
      <c r="G49">
        <v>6</v>
      </c>
      <c r="H49">
        <v>156</v>
      </c>
      <c r="I49" s="1">
        <v>45646.45208333333</v>
      </c>
      <c r="J49" t="s">
        <v>381</v>
      </c>
      <c r="K49" t="s">
        <v>382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383</v>
      </c>
      <c r="R49" t="s">
        <v>384</v>
      </c>
      <c r="S49" t="s">
        <v>31</v>
      </c>
      <c r="T49" t="s">
        <v>31</v>
      </c>
      <c r="U49" t="s">
        <v>31</v>
      </c>
      <c r="V49" t="s">
        <v>31</v>
      </c>
      <c r="W49">
        <v>25</v>
      </c>
      <c r="X49" t="s">
        <v>386</v>
      </c>
      <c r="Y49">
        <v>4</v>
      </c>
      <c r="Z49">
        <v>4</v>
      </c>
    </row>
    <row r="50" spans="1:26" x14ac:dyDescent="0.2">
      <c r="A50" t="s">
        <v>379</v>
      </c>
      <c r="C50" t="s">
        <v>378</v>
      </c>
      <c r="D50">
        <v>1999</v>
      </c>
      <c r="E50">
        <v>1</v>
      </c>
      <c r="F50" t="s">
        <v>380</v>
      </c>
      <c r="G50">
        <v>6</v>
      </c>
      <c r="H50">
        <v>156</v>
      </c>
      <c r="I50" s="1">
        <v>45646.45208333333</v>
      </c>
      <c r="J50" t="s">
        <v>381</v>
      </c>
      <c r="K50" t="s">
        <v>382</v>
      </c>
      <c r="L50" t="s">
        <v>31</v>
      </c>
      <c r="M50" t="s">
        <v>31</v>
      </c>
      <c r="N50" t="s">
        <v>31</v>
      </c>
      <c r="O50" t="s">
        <v>31</v>
      </c>
      <c r="P50" t="s">
        <v>31</v>
      </c>
      <c r="Q50" t="s">
        <v>383</v>
      </c>
      <c r="R50" t="s">
        <v>384</v>
      </c>
      <c r="S50" t="s">
        <v>31</v>
      </c>
      <c r="T50" t="s">
        <v>31</v>
      </c>
      <c r="U50" t="s">
        <v>31</v>
      </c>
      <c r="V50" t="s">
        <v>31</v>
      </c>
      <c r="W50">
        <v>26</v>
      </c>
      <c r="X50" t="s">
        <v>389</v>
      </c>
      <c r="Y50" t="s">
        <v>31</v>
      </c>
      <c r="Z50" t="s">
        <v>31</v>
      </c>
    </row>
  </sheetData>
  <pageMargins left="0.7" right="0.7" top="0.75" bottom="0.75" header="0.3" footer="0.3"/>
  <headerFooter>
    <oddFooter>&amp;C_x000D_&amp;1#&amp;"Calibri"&amp;9&amp;K000000 Classified - Internal 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11E8B-21E6-4EAA-A4F4-65CD4FF867F4}">
  <dimension ref="A1:AL58"/>
  <sheetViews>
    <sheetView zoomScale="40" zoomScaleNormal="40" workbookViewId="0">
      <selection activeCell="A40" sqref="A40:AC50"/>
    </sheetView>
  </sheetViews>
  <sheetFormatPr defaultRowHeight="15" x14ac:dyDescent="0.2"/>
  <cols>
    <col min="1" max="1" width="17.62109375" bestFit="1" customWidth="1"/>
    <col min="2" max="2" width="13.5859375" bestFit="1" customWidth="1"/>
    <col min="3" max="3" width="16.0078125" bestFit="1" customWidth="1"/>
    <col min="4" max="4" width="12.64453125" bestFit="1" customWidth="1"/>
    <col min="5" max="5" width="9.01171875" bestFit="1" customWidth="1"/>
    <col min="6" max="6" width="9.81640625" bestFit="1" customWidth="1"/>
    <col min="7" max="7" width="13.1796875" bestFit="1" customWidth="1"/>
    <col min="8" max="8" width="7.80078125" bestFit="1" customWidth="1"/>
    <col min="9" max="9" width="4.3046875" bestFit="1" customWidth="1"/>
    <col min="10" max="10" width="13.98828125" bestFit="1" customWidth="1"/>
    <col min="11" max="11" width="21.38671875" bestFit="1" customWidth="1"/>
    <col min="12" max="12" width="6.05078125" bestFit="1" customWidth="1"/>
    <col min="13" max="13" width="16.54296875" bestFit="1" customWidth="1"/>
    <col min="14" max="14" width="6.05078125" bestFit="1" customWidth="1"/>
    <col min="15" max="15" width="7.3984375" bestFit="1" customWidth="1"/>
    <col min="16" max="16" width="5.109375" bestFit="1" customWidth="1"/>
    <col min="17" max="17" width="6.9921875" bestFit="1" customWidth="1"/>
    <col min="18" max="18" width="37.6640625" bestFit="1" customWidth="1"/>
    <col min="19" max="22" width="9.81640625" bestFit="1" customWidth="1"/>
    <col min="23" max="23" width="9.55078125" bestFit="1" customWidth="1"/>
    <col min="24" max="24" width="13.71875" bestFit="1" customWidth="1"/>
    <col min="25" max="25" width="107.484375" bestFit="1" customWidth="1"/>
    <col min="26" max="26" width="8.7421875" bestFit="1" customWidth="1"/>
    <col min="27" max="27" width="14.2578125" bestFit="1" customWidth="1"/>
    <col min="28" max="28" width="15.33203125" bestFit="1" customWidth="1"/>
    <col min="29" max="29" width="20.84765625" bestFit="1" customWidth="1"/>
    <col min="31" max="31" width="15.33203125" bestFit="1" customWidth="1"/>
    <col min="33" max="33" width="20.984375" bestFit="1" customWidth="1"/>
  </cols>
  <sheetData>
    <row r="1" spans="1:38" x14ac:dyDescent="0.2">
      <c r="A1" t="s">
        <v>2</v>
      </c>
      <c r="B1" t="s">
        <v>0</v>
      </c>
      <c r="C1" t="s">
        <v>1</v>
      </c>
      <c r="D1" t="s">
        <v>41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s="4" t="s">
        <v>42</v>
      </c>
      <c r="AC1" s="5" t="s">
        <v>43</v>
      </c>
      <c r="AG1" s="4" t="s">
        <v>42</v>
      </c>
      <c r="AH1" t="s">
        <v>159</v>
      </c>
    </row>
    <row r="2" spans="1:38" x14ac:dyDescent="0.2">
      <c r="A2" t="s">
        <v>27</v>
      </c>
      <c r="B2" t="s">
        <v>26</v>
      </c>
      <c r="D2" t="s">
        <v>26</v>
      </c>
      <c r="E2">
        <v>2021</v>
      </c>
      <c r="F2">
        <v>1</v>
      </c>
      <c r="G2" t="s">
        <v>28</v>
      </c>
      <c r="H2">
        <v>123</v>
      </c>
      <c r="I2">
        <v>123</v>
      </c>
      <c r="J2" s="1">
        <v>44414.390844907408</v>
      </c>
      <c r="K2" t="s">
        <v>29</v>
      </c>
      <c r="L2" t="s">
        <v>26</v>
      </c>
      <c r="M2" t="s">
        <v>30</v>
      </c>
      <c r="P2" t="s">
        <v>31</v>
      </c>
      <c r="Q2" t="s">
        <v>31</v>
      </c>
      <c r="R2" t="s">
        <v>32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>
        <v>25</v>
      </c>
      <c r="Y2" t="s">
        <v>36</v>
      </c>
      <c r="Z2">
        <v>4</v>
      </c>
      <c r="AA2">
        <v>4</v>
      </c>
      <c r="AB2">
        <v>4</v>
      </c>
      <c r="AC2">
        <v>4</v>
      </c>
      <c r="AJ2" t="s">
        <v>160</v>
      </c>
    </row>
    <row r="3" spans="1:38" x14ac:dyDescent="0.2">
      <c r="A3" t="s">
        <v>27</v>
      </c>
      <c r="B3" t="s">
        <v>26</v>
      </c>
      <c r="D3" t="s">
        <v>26</v>
      </c>
      <c r="E3">
        <v>2021</v>
      </c>
      <c r="F3">
        <v>1</v>
      </c>
      <c r="G3" t="s">
        <v>28</v>
      </c>
      <c r="H3">
        <v>123</v>
      </c>
      <c r="I3">
        <v>123</v>
      </c>
      <c r="J3" s="1">
        <v>44414.390844907408</v>
      </c>
      <c r="K3" t="s">
        <v>29</v>
      </c>
      <c r="L3" t="s">
        <v>26</v>
      </c>
      <c r="M3" t="s">
        <v>30</v>
      </c>
      <c r="P3" t="s">
        <v>31</v>
      </c>
      <c r="Q3" t="s">
        <v>31</v>
      </c>
      <c r="R3" t="s">
        <v>32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>
        <v>22</v>
      </c>
      <c r="Y3" t="s">
        <v>33</v>
      </c>
      <c r="Z3">
        <v>4</v>
      </c>
      <c r="AA3">
        <v>4</v>
      </c>
      <c r="AB3">
        <v>4</v>
      </c>
      <c r="AC3">
        <v>4</v>
      </c>
      <c r="AJ3" t="s">
        <v>161</v>
      </c>
    </row>
    <row r="4" spans="1:38" x14ac:dyDescent="0.2">
      <c r="A4" t="s">
        <v>27</v>
      </c>
      <c r="B4" t="s">
        <v>26</v>
      </c>
      <c r="D4" t="s">
        <v>26</v>
      </c>
      <c r="E4">
        <v>2021</v>
      </c>
      <c r="F4">
        <v>1</v>
      </c>
      <c r="G4" t="s">
        <v>28</v>
      </c>
      <c r="H4">
        <v>123</v>
      </c>
      <c r="I4">
        <v>123</v>
      </c>
      <c r="J4" s="1">
        <v>44414.390844907408</v>
      </c>
      <c r="K4" t="s">
        <v>29</v>
      </c>
      <c r="L4" t="s">
        <v>26</v>
      </c>
      <c r="M4" t="s">
        <v>30</v>
      </c>
      <c r="P4" t="s">
        <v>31</v>
      </c>
      <c r="Q4" t="s">
        <v>31</v>
      </c>
      <c r="R4" t="s">
        <v>32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>
        <v>24</v>
      </c>
      <c r="Y4" t="s">
        <v>35</v>
      </c>
      <c r="Z4">
        <v>3</v>
      </c>
      <c r="AA4">
        <v>3</v>
      </c>
      <c r="AB4">
        <v>3</v>
      </c>
      <c r="AC4">
        <v>3</v>
      </c>
      <c r="AK4" t="s">
        <v>162</v>
      </c>
    </row>
    <row r="5" spans="1:38" x14ac:dyDescent="0.2">
      <c r="A5" t="s">
        <v>27</v>
      </c>
      <c r="B5" t="s">
        <v>26</v>
      </c>
      <c r="D5" t="s">
        <v>26</v>
      </c>
      <c r="E5">
        <v>2021</v>
      </c>
      <c r="F5">
        <v>1</v>
      </c>
      <c r="G5" t="s">
        <v>28</v>
      </c>
      <c r="H5">
        <v>123</v>
      </c>
      <c r="I5">
        <v>123</v>
      </c>
      <c r="J5" s="1">
        <v>44414.390844907408</v>
      </c>
      <c r="K5" t="s">
        <v>29</v>
      </c>
      <c r="L5" t="s">
        <v>26</v>
      </c>
      <c r="M5" t="s">
        <v>30</v>
      </c>
      <c r="P5" t="s">
        <v>31</v>
      </c>
      <c r="Q5" t="s">
        <v>31</v>
      </c>
      <c r="R5" t="s">
        <v>32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>
        <v>26</v>
      </c>
      <c r="Y5" t="s">
        <v>37</v>
      </c>
      <c r="Z5">
        <v>3</v>
      </c>
      <c r="AA5">
        <v>3</v>
      </c>
      <c r="AB5">
        <v>3</v>
      </c>
      <c r="AC5">
        <v>3</v>
      </c>
      <c r="AK5" t="s">
        <v>163</v>
      </c>
    </row>
    <row r="6" spans="1:38" x14ac:dyDescent="0.2">
      <c r="A6" t="s">
        <v>27</v>
      </c>
      <c r="B6" t="s">
        <v>26</v>
      </c>
      <c r="D6" t="s">
        <v>26</v>
      </c>
      <c r="E6">
        <v>2021</v>
      </c>
      <c r="F6">
        <v>1</v>
      </c>
      <c r="G6" t="s">
        <v>28</v>
      </c>
      <c r="H6">
        <v>123</v>
      </c>
      <c r="I6">
        <v>123</v>
      </c>
      <c r="J6" s="1">
        <v>44414.390844907408</v>
      </c>
      <c r="K6" t="s">
        <v>29</v>
      </c>
      <c r="L6" t="s">
        <v>26</v>
      </c>
      <c r="M6" t="s">
        <v>30</v>
      </c>
      <c r="P6" t="s">
        <v>31</v>
      </c>
      <c r="Q6" t="s">
        <v>31</v>
      </c>
      <c r="R6" t="s">
        <v>32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>
        <v>23</v>
      </c>
      <c r="Y6" t="s">
        <v>34</v>
      </c>
      <c r="Z6">
        <v>3</v>
      </c>
      <c r="AA6">
        <v>3</v>
      </c>
      <c r="AB6">
        <v>3</v>
      </c>
      <c r="AC6">
        <v>3</v>
      </c>
      <c r="AK6" t="s">
        <v>161</v>
      </c>
    </row>
    <row r="7" spans="1:38" x14ac:dyDescent="0.2">
      <c r="A7" t="s">
        <v>27</v>
      </c>
      <c r="B7" t="s">
        <v>26</v>
      </c>
      <c r="D7" t="s">
        <v>26</v>
      </c>
      <c r="E7">
        <v>2021</v>
      </c>
      <c r="F7">
        <v>1</v>
      </c>
      <c r="G7" t="s">
        <v>28</v>
      </c>
      <c r="H7">
        <v>123</v>
      </c>
      <c r="I7">
        <v>123</v>
      </c>
      <c r="J7" s="1">
        <v>44414.390844907408</v>
      </c>
      <c r="K7" t="s">
        <v>29</v>
      </c>
      <c r="L7" t="s">
        <v>26</v>
      </c>
      <c r="M7" t="s">
        <v>30</v>
      </c>
      <c r="P7" t="s">
        <v>31</v>
      </c>
      <c r="Q7" t="s">
        <v>31</v>
      </c>
      <c r="R7" t="s">
        <v>32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>
        <v>30</v>
      </c>
      <c r="Y7" t="s">
        <v>38</v>
      </c>
      <c r="Z7">
        <v>4</v>
      </c>
      <c r="AA7">
        <v>4</v>
      </c>
      <c r="AB7">
        <v>4</v>
      </c>
      <c r="AC7">
        <v>4</v>
      </c>
      <c r="AL7" t="s">
        <v>159</v>
      </c>
    </row>
    <row r="8" spans="1:38" x14ac:dyDescent="0.2">
      <c r="A8" t="s">
        <v>27</v>
      </c>
      <c r="B8" t="s">
        <v>26</v>
      </c>
      <c r="D8" t="s">
        <v>26</v>
      </c>
      <c r="E8">
        <v>2021</v>
      </c>
      <c r="F8">
        <v>1</v>
      </c>
      <c r="G8" t="s">
        <v>28</v>
      </c>
      <c r="H8">
        <v>123</v>
      </c>
      <c r="I8">
        <v>123</v>
      </c>
      <c r="J8" s="1">
        <v>44414.390844907408</v>
      </c>
      <c r="K8" t="s">
        <v>29</v>
      </c>
      <c r="L8" t="s">
        <v>26</v>
      </c>
      <c r="M8" t="s">
        <v>30</v>
      </c>
      <c r="P8" t="s">
        <v>31</v>
      </c>
      <c r="Q8" t="s">
        <v>31</v>
      </c>
      <c r="R8" t="s">
        <v>32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>
        <v>31</v>
      </c>
      <c r="Y8" t="s">
        <v>39</v>
      </c>
      <c r="Z8">
        <v>4</v>
      </c>
      <c r="AA8">
        <v>4</v>
      </c>
      <c r="AB8">
        <v>4</v>
      </c>
      <c r="AC8">
        <v>4</v>
      </c>
      <c r="AL8" t="s">
        <v>164</v>
      </c>
    </row>
    <row r="9" spans="1:38" x14ac:dyDescent="0.2">
      <c r="AL9" t="s">
        <v>165</v>
      </c>
    </row>
    <row r="10" spans="1:38" x14ac:dyDescent="0.2">
      <c r="AL10" t="s">
        <v>166</v>
      </c>
    </row>
    <row r="11" spans="1:38" x14ac:dyDescent="0.2">
      <c r="AL11" t="s">
        <v>167</v>
      </c>
    </row>
    <row r="12" spans="1:38" x14ac:dyDescent="0.2">
      <c r="A12" t="s">
        <v>2</v>
      </c>
      <c r="B12" t="s">
        <v>0</v>
      </c>
      <c r="C12" t="s">
        <v>1</v>
      </c>
      <c r="D12" t="s">
        <v>41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  <c r="L12" t="s">
        <v>10</v>
      </c>
      <c r="M12" t="s">
        <v>11</v>
      </c>
      <c r="N12" t="s">
        <v>12</v>
      </c>
      <c r="O12" t="s">
        <v>13</v>
      </c>
      <c r="P12" t="s">
        <v>14</v>
      </c>
      <c r="Q12" t="s">
        <v>15</v>
      </c>
      <c r="R12" t="s">
        <v>16</v>
      </c>
      <c r="S12" t="s">
        <v>17</v>
      </c>
      <c r="T12" t="s">
        <v>18</v>
      </c>
      <c r="U12" t="s">
        <v>19</v>
      </c>
      <c r="V12" t="s">
        <v>20</v>
      </c>
      <c r="W12" t="s">
        <v>21</v>
      </c>
      <c r="X12" t="s">
        <v>22</v>
      </c>
      <c r="Y12" t="s">
        <v>23</v>
      </c>
      <c r="Z12" t="s">
        <v>24</v>
      </c>
      <c r="AA12" t="s">
        <v>25</v>
      </c>
      <c r="AB12" s="4" t="s">
        <v>42</v>
      </c>
      <c r="AC12" s="5" t="s">
        <v>43</v>
      </c>
      <c r="AL12" t="s">
        <v>168</v>
      </c>
    </row>
    <row r="13" spans="1:38" x14ac:dyDescent="0.2">
      <c r="A13" t="s">
        <v>443</v>
      </c>
      <c r="B13" t="s">
        <v>339</v>
      </c>
      <c r="D13" t="s">
        <v>339</v>
      </c>
      <c r="E13">
        <v>2024</v>
      </c>
      <c r="F13">
        <v>1</v>
      </c>
      <c r="G13" t="s">
        <v>340</v>
      </c>
      <c r="H13">
        <v>4897</v>
      </c>
      <c r="I13">
        <v>4875</v>
      </c>
      <c r="J13" s="1">
        <v>45474.501493055555</v>
      </c>
      <c r="K13" t="s">
        <v>444</v>
      </c>
      <c r="L13" t="s">
        <v>445</v>
      </c>
      <c r="O13" t="s">
        <v>341</v>
      </c>
      <c r="P13" t="s">
        <v>446</v>
      </c>
      <c r="Q13" t="s">
        <v>445</v>
      </c>
      <c r="R13" t="s">
        <v>449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>
        <v>26</v>
      </c>
      <c r="Y13" t="s">
        <v>31</v>
      </c>
      <c r="Z13" t="s">
        <v>31</v>
      </c>
      <c r="AA13" t="s">
        <v>31</v>
      </c>
      <c r="AB13" t="s">
        <v>31</v>
      </c>
      <c r="AC13" t="s">
        <v>31</v>
      </c>
      <c r="AL13" t="s">
        <v>169</v>
      </c>
    </row>
    <row r="14" spans="1:38" x14ac:dyDescent="0.2">
      <c r="A14" t="s">
        <v>443</v>
      </c>
      <c r="B14" t="s">
        <v>339</v>
      </c>
      <c r="D14" t="s">
        <v>339</v>
      </c>
      <c r="E14">
        <v>2024</v>
      </c>
      <c r="F14">
        <v>1</v>
      </c>
      <c r="G14" t="s">
        <v>340</v>
      </c>
      <c r="H14">
        <v>4897</v>
      </c>
      <c r="I14">
        <v>4875</v>
      </c>
      <c r="J14" s="1">
        <v>45474.501493055555</v>
      </c>
      <c r="K14" t="s">
        <v>444</v>
      </c>
      <c r="L14" t="s">
        <v>445</v>
      </c>
      <c r="O14" t="s">
        <v>341</v>
      </c>
      <c r="P14" t="s">
        <v>446</v>
      </c>
      <c r="Q14" t="s">
        <v>445</v>
      </c>
      <c r="R14" t="s">
        <v>449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  <c r="X14">
        <v>23</v>
      </c>
      <c r="Y14" t="s">
        <v>346</v>
      </c>
      <c r="Z14">
        <v>3</v>
      </c>
      <c r="AA14">
        <v>3</v>
      </c>
      <c r="AB14">
        <v>3</v>
      </c>
      <c r="AC14">
        <v>3</v>
      </c>
      <c r="AK14" t="s">
        <v>170</v>
      </c>
    </row>
    <row r="15" spans="1:38" x14ac:dyDescent="0.2">
      <c r="A15" t="s">
        <v>443</v>
      </c>
      <c r="B15" t="s">
        <v>339</v>
      </c>
      <c r="D15" t="s">
        <v>339</v>
      </c>
      <c r="E15">
        <v>2024</v>
      </c>
      <c r="F15">
        <v>1</v>
      </c>
      <c r="G15" t="s">
        <v>340</v>
      </c>
      <c r="H15">
        <v>4897</v>
      </c>
      <c r="I15">
        <v>4875</v>
      </c>
      <c r="J15" s="1">
        <v>45474.501493055555</v>
      </c>
      <c r="K15" t="s">
        <v>444</v>
      </c>
      <c r="L15" t="s">
        <v>445</v>
      </c>
      <c r="O15" t="s">
        <v>341</v>
      </c>
      <c r="P15" t="s">
        <v>446</v>
      </c>
      <c r="Q15" t="s">
        <v>445</v>
      </c>
      <c r="R15" t="s">
        <v>449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>
        <v>24</v>
      </c>
      <c r="Y15" t="s">
        <v>362</v>
      </c>
      <c r="Z15">
        <v>3</v>
      </c>
      <c r="AA15">
        <v>3</v>
      </c>
      <c r="AB15">
        <v>3</v>
      </c>
      <c r="AC15">
        <v>3</v>
      </c>
      <c r="AL15" t="s">
        <v>159</v>
      </c>
    </row>
    <row r="16" spans="1:38" x14ac:dyDescent="0.2">
      <c r="A16" t="s">
        <v>443</v>
      </c>
      <c r="B16" t="s">
        <v>339</v>
      </c>
      <c r="D16" t="s">
        <v>339</v>
      </c>
      <c r="E16">
        <v>2024</v>
      </c>
      <c r="F16">
        <v>1</v>
      </c>
      <c r="G16" t="s">
        <v>340</v>
      </c>
      <c r="H16">
        <v>4897</v>
      </c>
      <c r="I16">
        <v>4875</v>
      </c>
      <c r="J16" s="1">
        <v>45474.501493055555</v>
      </c>
      <c r="K16" t="s">
        <v>444</v>
      </c>
      <c r="L16" t="s">
        <v>445</v>
      </c>
      <c r="O16" t="s">
        <v>341</v>
      </c>
      <c r="P16" t="s">
        <v>446</v>
      </c>
      <c r="Q16" t="s">
        <v>445</v>
      </c>
      <c r="R16" t="s">
        <v>449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>
        <v>25</v>
      </c>
      <c r="Y16" t="s">
        <v>363</v>
      </c>
      <c r="Z16">
        <v>4</v>
      </c>
      <c r="AA16">
        <v>4</v>
      </c>
      <c r="AB16">
        <v>4</v>
      </c>
      <c r="AC16">
        <v>4</v>
      </c>
      <c r="AL16" t="s">
        <v>164</v>
      </c>
    </row>
    <row r="17" spans="1:38" x14ac:dyDescent="0.2">
      <c r="A17" t="s">
        <v>443</v>
      </c>
      <c r="B17" t="s">
        <v>339</v>
      </c>
      <c r="D17" t="s">
        <v>339</v>
      </c>
      <c r="E17">
        <v>2024</v>
      </c>
      <c r="F17">
        <v>1</v>
      </c>
      <c r="G17" t="s">
        <v>340</v>
      </c>
      <c r="H17">
        <v>4897</v>
      </c>
      <c r="I17">
        <v>4875</v>
      </c>
      <c r="J17" s="1">
        <v>45474.501493055555</v>
      </c>
      <c r="K17" t="s">
        <v>444</v>
      </c>
      <c r="L17" t="s">
        <v>445</v>
      </c>
      <c r="O17" t="s">
        <v>341</v>
      </c>
      <c r="P17" t="s">
        <v>446</v>
      </c>
      <c r="Q17" t="s">
        <v>445</v>
      </c>
      <c r="R17" t="s">
        <v>449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>
        <v>47</v>
      </c>
      <c r="Y17" t="s">
        <v>342</v>
      </c>
      <c r="Z17" t="s">
        <v>31</v>
      </c>
      <c r="AA17" t="s">
        <v>31</v>
      </c>
      <c r="AB17" t="s">
        <v>31</v>
      </c>
      <c r="AC17" t="s">
        <v>31</v>
      </c>
      <c r="AL17" t="s">
        <v>171</v>
      </c>
    </row>
    <row r="18" spans="1:38" x14ac:dyDescent="0.2">
      <c r="A18" t="s">
        <v>443</v>
      </c>
      <c r="B18" t="s">
        <v>339</v>
      </c>
      <c r="D18" t="s">
        <v>339</v>
      </c>
      <c r="E18">
        <v>2024</v>
      </c>
      <c r="F18">
        <v>1</v>
      </c>
      <c r="G18" t="s">
        <v>340</v>
      </c>
      <c r="H18">
        <v>4897</v>
      </c>
      <c r="I18">
        <v>4875</v>
      </c>
      <c r="J18" s="1">
        <v>45474.501493055555</v>
      </c>
      <c r="K18" t="s">
        <v>444</v>
      </c>
      <c r="L18" t="s">
        <v>445</v>
      </c>
      <c r="O18" t="s">
        <v>341</v>
      </c>
      <c r="P18" t="s">
        <v>446</v>
      </c>
      <c r="Q18" t="s">
        <v>445</v>
      </c>
      <c r="R18" t="s">
        <v>449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>
        <v>27</v>
      </c>
      <c r="Y18" t="s">
        <v>364</v>
      </c>
      <c r="Z18" t="s">
        <v>31</v>
      </c>
      <c r="AA18" t="s">
        <v>31</v>
      </c>
      <c r="AB18" t="s">
        <v>31</v>
      </c>
      <c r="AC18" t="s">
        <v>31</v>
      </c>
      <c r="AL18" t="s">
        <v>172</v>
      </c>
    </row>
    <row r="19" spans="1:38" x14ac:dyDescent="0.2">
      <c r="A19" t="s">
        <v>443</v>
      </c>
      <c r="B19" t="s">
        <v>339</v>
      </c>
      <c r="D19" t="s">
        <v>339</v>
      </c>
      <c r="E19">
        <v>2024</v>
      </c>
      <c r="F19">
        <v>1</v>
      </c>
      <c r="G19" t="s">
        <v>340</v>
      </c>
      <c r="H19">
        <v>4897</v>
      </c>
      <c r="I19">
        <v>4875</v>
      </c>
      <c r="J19" s="1">
        <v>45474.501493055555</v>
      </c>
      <c r="K19" t="s">
        <v>444</v>
      </c>
      <c r="L19" t="s">
        <v>445</v>
      </c>
      <c r="O19" t="s">
        <v>341</v>
      </c>
      <c r="P19" t="s">
        <v>446</v>
      </c>
      <c r="Q19" t="s">
        <v>445</v>
      </c>
      <c r="R19" t="s">
        <v>449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>
        <v>28</v>
      </c>
      <c r="Y19" t="s">
        <v>365</v>
      </c>
      <c r="Z19" t="s">
        <v>31</v>
      </c>
      <c r="AA19" t="s">
        <v>31</v>
      </c>
      <c r="AB19" t="s">
        <v>31</v>
      </c>
      <c r="AC19" t="s">
        <v>31</v>
      </c>
      <c r="AL19" t="s">
        <v>173</v>
      </c>
    </row>
    <row r="20" spans="1:38" x14ac:dyDescent="0.2">
      <c r="A20" t="s">
        <v>443</v>
      </c>
      <c r="B20" t="s">
        <v>339</v>
      </c>
      <c r="D20" t="s">
        <v>339</v>
      </c>
      <c r="E20">
        <v>2024</v>
      </c>
      <c r="F20">
        <v>1</v>
      </c>
      <c r="G20" t="s">
        <v>340</v>
      </c>
      <c r="H20">
        <v>4897</v>
      </c>
      <c r="I20">
        <v>4875</v>
      </c>
      <c r="J20" s="1">
        <v>45474.501493055555</v>
      </c>
      <c r="K20" t="s">
        <v>444</v>
      </c>
      <c r="L20" t="s">
        <v>445</v>
      </c>
      <c r="O20" t="s">
        <v>341</v>
      </c>
      <c r="P20" t="s">
        <v>446</v>
      </c>
      <c r="Q20" t="s">
        <v>445</v>
      </c>
      <c r="R20" t="s">
        <v>449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  <c r="X20">
        <v>29</v>
      </c>
      <c r="Y20" t="s">
        <v>366</v>
      </c>
      <c r="Z20" t="s">
        <v>31</v>
      </c>
      <c r="AA20" t="s">
        <v>31</v>
      </c>
      <c r="AB20" t="s">
        <v>31</v>
      </c>
      <c r="AC20" t="s">
        <v>31</v>
      </c>
      <c r="AL20" t="s">
        <v>168</v>
      </c>
    </row>
    <row r="21" spans="1:38" x14ac:dyDescent="0.2">
      <c r="A21" t="s">
        <v>443</v>
      </c>
      <c r="B21" t="s">
        <v>339</v>
      </c>
      <c r="D21" t="s">
        <v>339</v>
      </c>
      <c r="E21">
        <v>2024</v>
      </c>
      <c r="F21">
        <v>1</v>
      </c>
      <c r="G21" t="s">
        <v>340</v>
      </c>
      <c r="H21">
        <v>4897</v>
      </c>
      <c r="I21">
        <v>4875</v>
      </c>
      <c r="J21" s="1">
        <v>45474.501493055555</v>
      </c>
      <c r="K21" t="s">
        <v>444</v>
      </c>
      <c r="L21" t="s">
        <v>445</v>
      </c>
      <c r="O21" t="s">
        <v>341</v>
      </c>
      <c r="P21" t="s">
        <v>446</v>
      </c>
      <c r="Q21" t="s">
        <v>445</v>
      </c>
      <c r="R21" t="s">
        <v>449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  <c r="X21">
        <v>30</v>
      </c>
      <c r="Y21" t="s">
        <v>377</v>
      </c>
      <c r="Z21" t="s">
        <v>31</v>
      </c>
      <c r="AA21" t="s">
        <v>31</v>
      </c>
      <c r="AB21" t="s">
        <v>31</v>
      </c>
      <c r="AC21" t="s">
        <v>31</v>
      </c>
      <c r="AL21" t="s">
        <v>169</v>
      </c>
    </row>
    <row r="22" spans="1:38" x14ac:dyDescent="0.2">
      <c r="A22" t="s">
        <v>443</v>
      </c>
      <c r="B22" t="s">
        <v>339</v>
      </c>
      <c r="D22" t="s">
        <v>339</v>
      </c>
      <c r="E22">
        <v>2024</v>
      </c>
      <c r="F22">
        <v>1</v>
      </c>
      <c r="G22" t="s">
        <v>340</v>
      </c>
      <c r="H22">
        <v>4897</v>
      </c>
      <c r="I22">
        <v>4875</v>
      </c>
      <c r="J22" s="1">
        <v>45474.501493055555</v>
      </c>
      <c r="K22" t="s">
        <v>444</v>
      </c>
      <c r="L22" t="s">
        <v>445</v>
      </c>
      <c r="O22" t="s">
        <v>341</v>
      </c>
      <c r="P22" t="s">
        <v>446</v>
      </c>
      <c r="Q22" t="s">
        <v>445</v>
      </c>
      <c r="R22" t="s">
        <v>449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>
        <v>31</v>
      </c>
      <c r="Y22" t="s">
        <v>368</v>
      </c>
      <c r="Z22" t="s">
        <v>31</v>
      </c>
      <c r="AA22" t="s">
        <v>31</v>
      </c>
      <c r="AB22" t="s">
        <v>31</v>
      </c>
      <c r="AC22" t="s">
        <v>31</v>
      </c>
      <c r="AK22" t="s">
        <v>174</v>
      </c>
    </row>
    <row r="23" spans="1:38" x14ac:dyDescent="0.2">
      <c r="A23" t="s">
        <v>443</v>
      </c>
      <c r="B23" t="s">
        <v>339</v>
      </c>
      <c r="D23" t="s">
        <v>339</v>
      </c>
      <c r="E23">
        <v>2024</v>
      </c>
      <c r="F23">
        <v>1</v>
      </c>
      <c r="G23" t="s">
        <v>340</v>
      </c>
      <c r="H23">
        <v>4897</v>
      </c>
      <c r="I23">
        <v>4875</v>
      </c>
      <c r="J23" s="1">
        <v>45474.501493055555</v>
      </c>
      <c r="K23" t="s">
        <v>444</v>
      </c>
      <c r="L23" t="s">
        <v>445</v>
      </c>
      <c r="O23" t="s">
        <v>341</v>
      </c>
      <c r="P23" t="s">
        <v>446</v>
      </c>
      <c r="Q23" t="s">
        <v>445</v>
      </c>
      <c r="R23" t="s">
        <v>449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  <c r="X23">
        <v>32</v>
      </c>
      <c r="Y23" t="s">
        <v>369</v>
      </c>
      <c r="Z23" t="s">
        <v>31</v>
      </c>
      <c r="AA23" t="s">
        <v>31</v>
      </c>
      <c r="AB23" t="s">
        <v>31</v>
      </c>
      <c r="AC23" t="s">
        <v>31</v>
      </c>
      <c r="AJ23" t="s">
        <v>168</v>
      </c>
    </row>
    <row r="24" spans="1:38" x14ac:dyDescent="0.2">
      <c r="A24" t="s">
        <v>443</v>
      </c>
      <c r="B24" t="s">
        <v>339</v>
      </c>
      <c r="D24" t="s">
        <v>339</v>
      </c>
      <c r="E24">
        <v>2024</v>
      </c>
      <c r="F24">
        <v>1</v>
      </c>
      <c r="G24" t="s">
        <v>340</v>
      </c>
      <c r="H24">
        <v>4897</v>
      </c>
      <c r="I24">
        <v>4875</v>
      </c>
      <c r="J24" s="1">
        <v>45474.501493055555</v>
      </c>
      <c r="K24" t="s">
        <v>444</v>
      </c>
      <c r="L24" t="s">
        <v>445</v>
      </c>
      <c r="O24" t="s">
        <v>341</v>
      </c>
      <c r="P24" t="s">
        <v>446</v>
      </c>
      <c r="Q24" t="s">
        <v>445</v>
      </c>
      <c r="R24" t="s">
        <v>449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>
        <v>33</v>
      </c>
      <c r="Y24" t="s">
        <v>344</v>
      </c>
      <c r="Z24" t="s">
        <v>31</v>
      </c>
      <c r="AA24" t="s">
        <v>31</v>
      </c>
      <c r="AB24" t="s">
        <v>31</v>
      </c>
      <c r="AC24" t="s">
        <v>31</v>
      </c>
      <c r="AJ24" t="s">
        <v>175</v>
      </c>
    </row>
    <row r="25" spans="1:38" x14ac:dyDescent="0.2">
      <c r="A25" t="s">
        <v>443</v>
      </c>
      <c r="B25" t="s">
        <v>339</v>
      </c>
      <c r="D25" t="s">
        <v>339</v>
      </c>
      <c r="E25">
        <v>2024</v>
      </c>
      <c r="F25">
        <v>1</v>
      </c>
      <c r="G25" t="s">
        <v>340</v>
      </c>
      <c r="H25">
        <v>4897</v>
      </c>
      <c r="I25">
        <v>4875</v>
      </c>
      <c r="J25" s="1">
        <v>45474.501493055555</v>
      </c>
      <c r="K25" t="s">
        <v>444</v>
      </c>
      <c r="L25" t="s">
        <v>445</v>
      </c>
      <c r="O25" t="s">
        <v>341</v>
      </c>
      <c r="P25" t="s">
        <v>446</v>
      </c>
      <c r="Q25" t="s">
        <v>445</v>
      </c>
      <c r="R25" t="s">
        <v>449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>
        <v>34</v>
      </c>
      <c r="Y25" t="s">
        <v>345</v>
      </c>
      <c r="Z25">
        <v>3</v>
      </c>
      <c r="AA25">
        <v>3</v>
      </c>
      <c r="AB25">
        <v>3</v>
      </c>
      <c r="AC25">
        <v>3</v>
      </c>
      <c r="AI25" t="s">
        <v>174</v>
      </c>
    </row>
    <row r="26" spans="1:38" x14ac:dyDescent="0.2">
      <c r="A26" t="s">
        <v>443</v>
      </c>
      <c r="B26" t="s">
        <v>339</v>
      </c>
      <c r="D26" t="s">
        <v>339</v>
      </c>
      <c r="E26">
        <v>2024</v>
      </c>
      <c r="F26">
        <v>1</v>
      </c>
      <c r="G26" t="s">
        <v>340</v>
      </c>
      <c r="H26">
        <v>4897</v>
      </c>
      <c r="I26">
        <v>4875</v>
      </c>
      <c r="J26" s="1">
        <v>45474.501493055555</v>
      </c>
      <c r="K26" t="s">
        <v>444</v>
      </c>
      <c r="L26" t="s">
        <v>445</v>
      </c>
      <c r="O26" t="s">
        <v>341</v>
      </c>
      <c r="P26" t="s">
        <v>446</v>
      </c>
      <c r="Q26" t="s">
        <v>445</v>
      </c>
      <c r="R26" t="s">
        <v>449</v>
      </c>
      <c r="S26" t="s">
        <v>31</v>
      </c>
      <c r="T26" t="s">
        <v>31</v>
      </c>
      <c r="U26" t="s">
        <v>31</v>
      </c>
      <c r="V26" t="s">
        <v>31</v>
      </c>
      <c r="W26" t="s">
        <v>31</v>
      </c>
      <c r="X26">
        <v>35</v>
      </c>
      <c r="Y26" t="s">
        <v>343</v>
      </c>
      <c r="Z26">
        <v>4</v>
      </c>
      <c r="AA26">
        <v>4</v>
      </c>
      <c r="AB26">
        <v>4</v>
      </c>
      <c r="AC26">
        <v>4</v>
      </c>
      <c r="AI26" t="s">
        <v>176</v>
      </c>
    </row>
    <row r="27" spans="1:38" x14ac:dyDescent="0.2">
      <c r="A27" t="s">
        <v>443</v>
      </c>
      <c r="B27" t="s">
        <v>339</v>
      </c>
      <c r="D27" t="s">
        <v>339</v>
      </c>
      <c r="E27">
        <v>2024</v>
      </c>
      <c r="F27">
        <v>1</v>
      </c>
      <c r="G27" t="s">
        <v>340</v>
      </c>
      <c r="H27">
        <v>4897</v>
      </c>
      <c r="I27">
        <v>4875</v>
      </c>
      <c r="J27" s="1">
        <v>45474.501493055555</v>
      </c>
      <c r="K27" t="s">
        <v>444</v>
      </c>
      <c r="L27" t="s">
        <v>445</v>
      </c>
      <c r="O27" t="s">
        <v>341</v>
      </c>
      <c r="P27" t="s">
        <v>446</v>
      </c>
      <c r="Q27" t="s">
        <v>445</v>
      </c>
      <c r="R27" t="s">
        <v>449</v>
      </c>
      <c r="S27" t="s">
        <v>31</v>
      </c>
      <c r="T27" t="s">
        <v>31</v>
      </c>
      <c r="U27" t="s">
        <v>31</v>
      </c>
      <c r="V27" t="s">
        <v>31</v>
      </c>
      <c r="W27" t="s">
        <v>31</v>
      </c>
      <c r="X27">
        <v>36</v>
      </c>
      <c r="Y27" t="s">
        <v>370</v>
      </c>
      <c r="Z27" t="s">
        <v>31</v>
      </c>
      <c r="AA27" t="s">
        <v>31</v>
      </c>
      <c r="AB27" t="s">
        <v>31</v>
      </c>
      <c r="AC27" t="s">
        <v>31</v>
      </c>
    </row>
    <row r="28" spans="1:38" x14ac:dyDescent="0.2">
      <c r="A28" t="s">
        <v>443</v>
      </c>
      <c r="B28" t="s">
        <v>339</v>
      </c>
      <c r="D28" t="s">
        <v>339</v>
      </c>
      <c r="E28">
        <v>2024</v>
      </c>
      <c r="F28">
        <v>1</v>
      </c>
      <c r="G28" t="s">
        <v>340</v>
      </c>
      <c r="H28">
        <v>4897</v>
      </c>
      <c r="I28">
        <v>4875</v>
      </c>
      <c r="J28" s="1">
        <v>45474.501493055555</v>
      </c>
      <c r="K28" t="s">
        <v>444</v>
      </c>
      <c r="L28" t="s">
        <v>445</v>
      </c>
      <c r="O28" t="s">
        <v>341</v>
      </c>
      <c r="P28" t="s">
        <v>446</v>
      </c>
      <c r="Q28" t="s">
        <v>445</v>
      </c>
      <c r="R28" t="s">
        <v>449</v>
      </c>
      <c r="S28" t="s">
        <v>31</v>
      </c>
      <c r="T28" t="s">
        <v>31</v>
      </c>
      <c r="U28" t="s">
        <v>31</v>
      </c>
      <c r="V28" t="s">
        <v>31</v>
      </c>
      <c r="W28" t="s">
        <v>31</v>
      </c>
      <c r="X28">
        <v>37</v>
      </c>
      <c r="Y28" t="s">
        <v>371</v>
      </c>
      <c r="Z28" t="s">
        <v>31</v>
      </c>
      <c r="AA28" t="s">
        <v>31</v>
      </c>
      <c r="AB28" t="s">
        <v>31</v>
      </c>
      <c r="AC28" t="s">
        <v>31</v>
      </c>
    </row>
    <row r="29" spans="1:38" x14ac:dyDescent="0.2">
      <c r="A29" t="s">
        <v>443</v>
      </c>
      <c r="B29" t="s">
        <v>339</v>
      </c>
      <c r="D29" t="s">
        <v>339</v>
      </c>
      <c r="E29">
        <v>2024</v>
      </c>
      <c r="F29">
        <v>1</v>
      </c>
      <c r="G29" t="s">
        <v>340</v>
      </c>
      <c r="H29">
        <v>4897</v>
      </c>
      <c r="I29">
        <v>4875</v>
      </c>
      <c r="J29" s="1">
        <v>45474.501493055555</v>
      </c>
      <c r="K29" t="s">
        <v>444</v>
      </c>
      <c r="L29" t="s">
        <v>445</v>
      </c>
      <c r="O29" t="s">
        <v>341</v>
      </c>
      <c r="P29" t="s">
        <v>446</v>
      </c>
      <c r="Q29" t="s">
        <v>445</v>
      </c>
      <c r="R29" t="s">
        <v>449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>
        <v>38</v>
      </c>
      <c r="Y29" t="s">
        <v>372</v>
      </c>
      <c r="Z29" t="s">
        <v>31</v>
      </c>
      <c r="AA29" t="s">
        <v>31</v>
      </c>
      <c r="AB29" t="s">
        <v>31</v>
      </c>
      <c r="AC29" t="s">
        <v>31</v>
      </c>
    </row>
    <row r="30" spans="1:38" x14ac:dyDescent="0.2">
      <c r="A30" t="s">
        <v>443</v>
      </c>
      <c r="B30" t="s">
        <v>339</v>
      </c>
      <c r="D30" t="s">
        <v>339</v>
      </c>
      <c r="E30">
        <v>2024</v>
      </c>
      <c r="F30">
        <v>1</v>
      </c>
      <c r="G30" t="s">
        <v>340</v>
      </c>
      <c r="H30">
        <v>4897</v>
      </c>
      <c r="I30">
        <v>4875</v>
      </c>
      <c r="J30" s="1">
        <v>45474.501493055555</v>
      </c>
      <c r="K30" t="s">
        <v>444</v>
      </c>
      <c r="L30" t="s">
        <v>445</v>
      </c>
      <c r="O30" t="s">
        <v>341</v>
      </c>
      <c r="P30" t="s">
        <v>446</v>
      </c>
      <c r="Q30" t="s">
        <v>445</v>
      </c>
      <c r="R30" t="s">
        <v>449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  <c r="X30">
        <v>39</v>
      </c>
      <c r="Y30" t="s">
        <v>373</v>
      </c>
      <c r="Z30" t="s">
        <v>31</v>
      </c>
      <c r="AA30" t="s">
        <v>31</v>
      </c>
      <c r="AB30" t="s">
        <v>31</v>
      </c>
      <c r="AC30" t="s">
        <v>31</v>
      </c>
    </row>
    <row r="31" spans="1:38" x14ac:dyDescent="0.2">
      <c r="A31" t="s">
        <v>443</v>
      </c>
      <c r="B31" t="s">
        <v>339</v>
      </c>
      <c r="D31" t="s">
        <v>339</v>
      </c>
      <c r="E31">
        <v>2024</v>
      </c>
      <c r="F31">
        <v>1</v>
      </c>
      <c r="G31" t="s">
        <v>340</v>
      </c>
      <c r="H31">
        <v>4897</v>
      </c>
      <c r="I31">
        <v>4875</v>
      </c>
      <c r="J31" s="1">
        <v>45474.501493055555</v>
      </c>
      <c r="K31" t="s">
        <v>444</v>
      </c>
      <c r="L31" t="s">
        <v>445</v>
      </c>
      <c r="O31" t="s">
        <v>341</v>
      </c>
      <c r="P31" t="s">
        <v>446</v>
      </c>
      <c r="Q31" t="s">
        <v>445</v>
      </c>
      <c r="R31" t="s">
        <v>449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>
        <v>40</v>
      </c>
      <c r="Y31" t="s">
        <v>374</v>
      </c>
      <c r="Z31">
        <v>4</v>
      </c>
      <c r="AA31">
        <v>4</v>
      </c>
      <c r="AB31">
        <v>4</v>
      </c>
      <c r="AC31">
        <v>4</v>
      </c>
      <c r="AG31" s="5" t="s">
        <v>43</v>
      </c>
      <c r="AH31" t="s">
        <v>177</v>
      </c>
    </row>
    <row r="32" spans="1:38" x14ac:dyDescent="0.2">
      <c r="AH32" t="s">
        <v>159</v>
      </c>
    </row>
    <row r="33" spans="1:37" x14ac:dyDescent="0.2">
      <c r="AI33" t="s">
        <v>160</v>
      </c>
    </row>
    <row r="34" spans="1:37" x14ac:dyDescent="0.2">
      <c r="AI34" t="s">
        <v>161</v>
      </c>
    </row>
    <row r="35" spans="1:37" x14ac:dyDescent="0.2">
      <c r="AJ35" t="s">
        <v>162</v>
      </c>
    </row>
    <row r="36" spans="1:37" x14ac:dyDescent="0.2">
      <c r="AJ36" t="s">
        <v>163</v>
      </c>
    </row>
    <row r="37" spans="1:37" x14ac:dyDescent="0.2">
      <c r="AJ37" t="s">
        <v>161</v>
      </c>
    </row>
    <row r="38" spans="1:37" x14ac:dyDescent="0.2">
      <c r="AK38" t="s">
        <v>159</v>
      </c>
    </row>
    <row r="39" spans="1:37" x14ac:dyDescent="0.2">
      <c r="AK39" t="s">
        <v>164</v>
      </c>
    </row>
    <row r="40" spans="1:37" x14ac:dyDescent="0.2">
      <c r="A40" t="s">
        <v>2</v>
      </c>
      <c r="B40" t="s">
        <v>0</v>
      </c>
      <c r="C40" t="s">
        <v>1</v>
      </c>
      <c r="D40" t="s">
        <v>41</v>
      </c>
      <c r="E40" t="s">
        <v>3</v>
      </c>
      <c r="F40" t="s">
        <v>4</v>
      </c>
      <c r="G40" t="s">
        <v>5</v>
      </c>
      <c r="H40" t="s">
        <v>6</v>
      </c>
      <c r="I40" t="s">
        <v>7</v>
      </c>
      <c r="J40" t="s">
        <v>8</v>
      </c>
      <c r="K40" t="s">
        <v>9</v>
      </c>
      <c r="L40" t="s">
        <v>10</v>
      </c>
      <c r="M40" t="s">
        <v>11</v>
      </c>
      <c r="N40" t="s">
        <v>12</v>
      </c>
      <c r="O40" t="s">
        <v>13</v>
      </c>
      <c r="P40" t="s">
        <v>14</v>
      </c>
      <c r="Q40" t="s">
        <v>15</v>
      </c>
      <c r="R40" t="s">
        <v>16</v>
      </c>
      <c r="S40" t="s">
        <v>17</v>
      </c>
      <c r="T40" t="s">
        <v>18</v>
      </c>
      <c r="U40" t="s">
        <v>19</v>
      </c>
      <c r="V40" t="s">
        <v>20</v>
      </c>
      <c r="W40" t="s">
        <v>21</v>
      </c>
      <c r="X40" t="s">
        <v>22</v>
      </c>
      <c r="Y40" t="s">
        <v>23</v>
      </c>
      <c r="Z40" t="s">
        <v>24</v>
      </c>
      <c r="AA40" t="s">
        <v>25</v>
      </c>
      <c r="AB40" t="s">
        <v>42</v>
      </c>
      <c r="AC40" t="s">
        <v>43</v>
      </c>
      <c r="AK40" t="s">
        <v>165</v>
      </c>
    </row>
    <row r="41" spans="1:37" x14ac:dyDescent="0.2">
      <c r="A41" t="s">
        <v>378</v>
      </c>
      <c r="B41" t="s">
        <v>379</v>
      </c>
      <c r="D41" t="s">
        <v>379</v>
      </c>
      <c r="E41">
        <v>1999</v>
      </c>
      <c r="F41">
        <v>1</v>
      </c>
      <c r="G41" t="s">
        <v>380</v>
      </c>
      <c r="H41">
        <v>6</v>
      </c>
      <c r="I41">
        <v>156</v>
      </c>
      <c r="J41" s="1">
        <v>45646.45208333333</v>
      </c>
      <c r="K41" t="s">
        <v>381</v>
      </c>
      <c r="L41" t="s">
        <v>382</v>
      </c>
      <c r="P41" t="s">
        <v>31</v>
      </c>
      <c r="Q41" t="s">
        <v>31</v>
      </c>
      <c r="R41" t="s">
        <v>383</v>
      </c>
      <c r="S41" t="s">
        <v>384</v>
      </c>
      <c r="T41" t="s">
        <v>31</v>
      </c>
      <c r="U41" t="s">
        <v>31</v>
      </c>
      <c r="V41" t="s">
        <v>31</v>
      </c>
      <c r="W41" t="s">
        <v>31</v>
      </c>
      <c r="X41">
        <v>17</v>
      </c>
      <c r="Y41" t="s">
        <v>385</v>
      </c>
      <c r="Z41">
        <v>4</v>
      </c>
      <c r="AA41">
        <v>4</v>
      </c>
      <c r="AB41">
        <v>4</v>
      </c>
      <c r="AC41">
        <v>4</v>
      </c>
      <c r="AK41" t="s">
        <v>166</v>
      </c>
    </row>
    <row r="42" spans="1:37" x14ac:dyDescent="0.2">
      <c r="A42" t="s">
        <v>378</v>
      </c>
      <c r="B42" t="s">
        <v>379</v>
      </c>
      <c r="D42" t="s">
        <v>379</v>
      </c>
      <c r="E42">
        <v>1999</v>
      </c>
      <c r="F42">
        <v>1</v>
      </c>
      <c r="G42" t="s">
        <v>380</v>
      </c>
      <c r="H42">
        <v>6</v>
      </c>
      <c r="I42">
        <v>156</v>
      </c>
      <c r="J42" s="1">
        <v>45646.45208333333</v>
      </c>
      <c r="K42" t="s">
        <v>381</v>
      </c>
      <c r="L42" t="s">
        <v>382</v>
      </c>
      <c r="P42" t="s">
        <v>31</v>
      </c>
      <c r="Q42" t="s">
        <v>31</v>
      </c>
      <c r="R42" t="s">
        <v>383</v>
      </c>
      <c r="S42" t="s">
        <v>384</v>
      </c>
      <c r="T42" t="s">
        <v>31</v>
      </c>
      <c r="U42" t="s">
        <v>31</v>
      </c>
      <c r="V42" t="s">
        <v>31</v>
      </c>
      <c r="W42" t="s">
        <v>31</v>
      </c>
      <c r="X42">
        <v>18</v>
      </c>
      <c r="Y42" t="s">
        <v>390</v>
      </c>
      <c r="Z42">
        <v>4</v>
      </c>
      <c r="AA42">
        <v>4</v>
      </c>
      <c r="AB42">
        <v>4</v>
      </c>
      <c r="AC42">
        <v>4</v>
      </c>
      <c r="AK42" t="s">
        <v>167</v>
      </c>
    </row>
    <row r="43" spans="1:37" x14ac:dyDescent="0.2">
      <c r="A43" t="s">
        <v>378</v>
      </c>
      <c r="B43" t="s">
        <v>379</v>
      </c>
      <c r="D43" t="s">
        <v>379</v>
      </c>
      <c r="E43">
        <v>1999</v>
      </c>
      <c r="F43">
        <v>1</v>
      </c>
      <c r="G43" t="s">
        <v>380</v>
      </c>
      <c r="H43">
        <v>6</v>
      </c>
      <c r="I43">
        <v>156</v>
      </c>
      <c r="J43" s="1">
        <v>45646.45208333333</v>
      </c>
      <c r="K43" t="s">
        <v>381</v>
      </c>
      <c r="L43" t="s">
        <v>382</v>
      </c>
      <c r="P43" t="s">
        <v>31</v>
      </c>
      <c r="Q43" t="s">
        <v>31</v>
      </c>
      <c r="R43" t="s">
        <v>383</v>
      </c>
      <c r="S43" t="s">
        <v>384</v>
      </c>
      <c r="T43" t="s">
        <v>31</v>
      </c>
      <c r="U43" t="s">
        <v>31</v>
      </c>
      <c r="V43" t="s">
        <v>31</v>
      </c>
      <c r="W43" t="s">
        <v>31</v>
      </c>
      <c r="X43">
        <v>19</v>
      </c>
      <c r="Y43" t="s">
        <v>388</v>
      </c>
      <c r="Z43">
        <v>4</v>
      </c>
      <c r="AA43">
        <v>4</v>
      </c>
      <c r="AB43">
        <v>4</v>
      </c>
      <c r="AC43">
        <v>4</v>
      </c>
      <c r="AK43" t="s">
        <v>168</v>
      </c>
    </row>
    <row r="44" spans="1:37" x14ac:dyDescent="0.2">
      <c r="A44" t="s">
        <v>378</v>
      </c>
      <c r="B44" t="s">
        <v>379</v>
      </c>
      <c r="D44" t="s">
        <v>379</v>
      </c>
      <c r="E44">
        <v>1999</v>
      </c>
      <c r="F44">
        <v>1</v>
      </c>
      <c r="G44" t="s">
        <v>380</v>
      </c>
      <c r="H44">
        <v>6</v>
      </c>
      <c r="I44">
        <v>156</v>
      </c>
      <c r="J44" s="1">
        <v>45646.45208333333</v>
      </c>
      <c r="K44" t="s">
        <v>381</v>
      </c>
      <c r="L44" t="s">
        <v>382</v>
      </c>
      <c r="P44" t="s">
        <v>31</v>
      </c>
      <c r="Q44" t="s">
        <v>31</v>
      </c>
      <c r="R44" t="s">
        <v>383</v>
      </c>
      <c r="S44" t="s">
        <v>384</v>
      </c>
      <c r="T44" t="s">
        <v>31</v>
      </c>
      <c r="U44" t="s">
        <v>31</v>
      </c>
      <c r="V44" t="s">
        <v>31</v>
      </c>
      <c r="W44" t="s">
        <v>31</v>
      </c>
      <c r="X44">
        <v>20</v>
      </c>
      <c r="Y44" t="s">
        <v>387</v>
      </c>
      <c r="Z44">
        <v>4</v>
      </c>
      <c r="AA44">
        <v>4</v>
      </c>
      <c r="AB44">
        <v>4</v>
      </c>
      <c r="AC44">
        <v>4</v>
      </c>
      <c r="AK44" t="s">
        <v>169</v>
      </c>
    </row>
    <row r="45" spans="1:37" x14ac:dyDescent="0.2">
      <c r="A45" t="s">
        <v>378</v>
      </c>
      <c r="B45" t="s">
        <v>379</v>
      </c>
      <c r="D45" t="s">
        <v>379</v>
      </c>
      <c r="E45">
        <v>1999</v>
      </c>
      <c r="F45">
        <v>1</v>
      </c>
      <c r="G45" t="s">
        <v>380</v>
      </c>
      <c r="H45">
        <v>6</v>
      </c>
      <c r="I45">
        <v>156</v>
      </c>
      <c r="J45" s="1">
        <v>45646.45208333333</v>
      </c>
      <c r="K45" t="s">
        <v>381</v>
      </c>
      <c r="L45" t="s">
        <v>382</v>
      </c>
      <c r="P45" t="s">
        <v>31</v>
      </c>
      <c r="Q45" t="s">
        <v>31</v>
      </c>
      <c r="R45" t="s">
        <v>383</v>
      </c>
      <c r="S45" t="s">
        <v>384</v>
      </c>
      <c r="T45" t="s">
        <v>31</v>
      </c>
      <c r="U45" t="s">
        <v>31</v>
      </c>
      <c r="V45" t="s">
        <v>31</v>
      </c>
      <c r="W45" t="s">
        <v>31</v>
      </c>
      <c r="X45">
        <v>21</v>
      </c>
      <c r="Y45" t="s">
        <v>392</v>
      </c>
      <c r="Z45">
        <v>4</v>
      </c>
      <c r="AA45">
        <v>4</v>
      </c>
      <c r="AB45">
        <v>4</v>
      </c>
      <c r="AC45">
        <v>4</v>
      </c>
      <c r="AJ45" t="s">
        <v>170</v>
      </c>
    </row>
    <row r="46" spans="1:37" x14ac:dyDescent="0.2">
      <c r="A46" t="s">
        <v>378</v>
      </c>
      <c r="B46" t="s">
        <v>379</v>
      </c>
      <c r="D46" t="s">
        <v>379</v>
      </c>
      <c r="E46">
        <v>1999</v>
      </c>
      <c r="F46">
        <v>1</v>
      </c>
      <c r="G46" t="s">
        <v>380</v>
      </c>
      <c r="H46">
        <v>6</v>
      </c>
      <c r="I46">
        <v>156</v>
      </c>
      <c r="J46" s="1">
        <v>45646.45208333333</v>
      </c>
      <c r="K46" t="s">
        <v>381</v>
      </c>
      <c r="L46" t="s">
        <v>382</v>
      </c>
      <c r="P46" t="s">
        <v>31</v>
      </c>
      <c r="Q46" t="s">
        <v>31</v>
      </c>
      <c r="R46" t="s">
        <v>383</v>
      </c>
      <c r="S46" t="s">
        <v>384</v>
      </c>
      <c r="T46" t="s">
        <v>31</v>
      </c>
      <c r="U46" t="s">
        <v>31</v>
      </c>
      <c r="V46" t="s">
        <v>31</v>
      </c>
      <c r="W46" t="s">
        <v>31</v>
      </c>
      <c r="X46">
        <v>22</v>
      </c>
      <c r="Y46" t="s">
        <v>393</v>
      </c>
      <c r="Z46" t="s">
        <v>31</v>
      </c>
      <c r="AA46" t="s">
        <v>31</v>
      </c>
      <c r="AB46" t="s">
        <v>31</v>
      </c>
      <c r="AC46" t="s">
        <v>31</v>
      </c>
      <c r="AK46" t="s">
        <v>159</v>
      </c>
    </row>
    <row r="47" spans="1:37" x14ac:dyDescent="0.2">
      <c r="A47" t="s">
        <v>378</v>
      </c>
      <c r="B47" t="s">
        <v>379</v>
      </c>
      <c r="D47" t="s">
        <v>379</v>
      </c>
      <c r="E47">
        <v>1999</v>
      </c>
      <c r="F47">
        <v>1</v>
      </c>
      <c r="G47" t="s">
        <v>380</v>
      </c>
      <c r="H47">
        <v>6</v>
      </c>
      <c r="I47">
        <v>156</v>
      </c>
      <c r="J47" s="1">
        <v>45646.45208333333</v>
      </c>
      <c r="K47" t="s">
        <v>381</v>
      </c>
      <c r="L47" t="s">
        <v>382</v>
      </c>
      <c r="P47" t="s">
        <v>31</v>
      </c>
      <c r="Q47" t="s">
        <v>31</v>
      </c>
      <c r="R47" t="s">
        <v>383</v>
      </c>
      <c r="S47" t="s">
        <v>384</v>
      </c>
      <c r="T47" t="s">
        <v>31</v>
      </c>
      <c r="U47" t="s">
        <v>31</v>
      </c>
      <c r="V47" t="s">
        <v>31</v>
      </c>
      <c r="W47" t="s">
        <v>31</v>
      </c>
      <c r="X47">
        <v>23</v>
      </c>
      <c r="Y47" t="s">
        <v>394</v>
      </c>
      <c r="Z47">
        <v>4</v>
      </c>
      <c r="AA47">
        <v>4</v>
      </c>
      <c r="AB47">
        <v>4</v>
      </c>
      <c r="AC47">
        <v>4</v>
      </c>
      <c r="AK47" t="s">
        <v>164</v>
      </c>
    </row>
    <row r="48" spans="1:37" x14ac:dyDescent="0.2">
      <c r="A48" t="s">
        <v>378</v>
      </c>
      <c r="B48" t="s">
        <v>379</v>
      </c>
      <c r="D48" t="s">
        <v>379</v>
      </c>
      <c r="E48">
        <v>1999</v>
      </c>
      <c r="F48">
        <v>1</v>
      </c>
      <c r="G48" t="s">
        <v>380</v>
      </c>
      <c r="H48">
        <v>6</v>
      </c>
      <c r="I48">
        <v>156</v>
      </c>
      <c r="J48" s="1">
        <v>45646.45208333333</v>
      </c>
      <c r="K48" t="s">
        <v>381</v>
      </c>
      <c r="L48" t="s">
        <v>382</v>
      </c>
      <c r="P48" t="s">
        <v>31</v>
      </c>
      <c r="Q48" t="s">
        <v>31</v>
      </c>
      <c r="R48" t="s">
        <v>383</v>
      </c>
      <c r="S48" t="s">
        <v>384</v>
      </c>
      <c r="T48" t="s">
        <v>31</v>
      </c>
      <c r="U48" t="s">
        <v>31</v>
      </c>
      <c r="V48" t="s">
        <v>31</v>
      </c>
      <c r="W48" t="s">
        <v>31</v>
      </c>
      <c r="X48">
        <v>24</v>
      </c>
      <c r="Y48" t="s">
        <v>391</v>
      </c>
      <c r="Z48" t="s">
        <v>31</v>
      </c>
      <c r="AA48" t="s">
        <v>31</v>
      </c>
      <c r="AB48" t="s">
        <v>31</v>
      </c>
      <c r="AC48" t="s">
        <v>31</v>
      </c>
      <c r="AK48" t="s">
        <v>171</v>
      </c>
    </row>
    <row r="49" spans="1:37" x14ac:dyDescent="0.2">
      <c r="A49" t="s">
        <v>378</v>
      </c>
      <c r="B49" t="s">
        <v>379</v>
      </c>
      <c r="D49" t="s">
        <v>379</v>
      </c>
      <c r="E49">
        <v>1999</v>
      </c>
      <c r="F49">
        <v>1</v>
      </c>
      <c r="G49" t="s">
        <v>380</v>
      </c>
      <c r="H49">
        <v>6</v>
      </c>
      <c r="I49">
        <v>156</v>
      </c>
      <c r="J49" s="1">
        <v>45646.45208333333</v>
      </c>
      <c r="K49" t="s">
        <v>381</v>
      </c>
      <c r="L49" t="s">
        <v>382</v>
      </c>
      <c r="P49" t="s">
        <v>31</v>
      </c>
      <c r="Q49" t="s">
        <v>31</v>
      </c>
      <c r="R49" t="s">
        <v>383</v>
      </c>
      <c r="S49" t="s">
        <v>384</v>
      </c>
      <c r="T49" t="s">
        <v>31</v>
      </c>
      <c r="U49" t="s">
        <v>31</v>
      </c>
      <c r="V49" t="s">
        <v>31</v>
      </c>
      <c r="W49" t="s">
        <v>31</v>
      </c>
      <c r="X49">
        <v>25</v>
      </c>
      <c r="Y49" t="s">
        <v>386</v>
      </c>
      <c r="Z49">
        <v>4</v>
      </c>
      <c r="AA49">
        <v>4</v>
      </c>
      <c r="AB49">
        <v>4</v>
      </c>
      <c r="AC49">
        <v>4</v>
      </c>
      <c r="AK49" t="s">
        <v>172</v>
      </c>
    </row>
    <row r="50" spans="1:37" x14ac:dyDescent="0.2">
      <c r="A50" t="s">
        <v>378</v>
      </c>
      <c r="B50" t="s">
        <v>379</v>
      </c>
      <c r="D50" t="s">
        <v>379</v>
      </c>
      <c r="E50">
        <v>1999</v>
      </c>
      <c r="F50">
        <v>1</v>
      </c>
      <c r="G50" t="s">
        <v>380</v>
      </c>
      <c r="H50">
        <v>6</v>
      </c>
      <c r="I50">
        <v>156</v>
      </c>
      <c r="J50" s="1">
        <v>45646.45208333333</v>
      </c>
      <c r="K50" t="s">
        <v>381</v>
      </c>
      <c r="L50" t="s">
        <v>382</v>
      </c>
      <c r="P50" t="s">
        <v>31</v>
      </c>
      <c r="Q50" t="s">
        <v>31</v>
      </c>
      <c r="R50" t="s">
        <v>383</v>
      </c>
      <c r="S50" t="s">
        <v>384</v>
      </c>
      <c r="T50" t="s">
        <v>31</v>
      </c>
      <c r="U50" t="s">
        <v>31</v>
      </c>
      <c r="V50" t="s">
        <v>31</v>
      </c>
      <c r="W50" t="s">
        <v>31</v>
      </c>
      <c r="X50">
        <v>26</v>
      </c>
      <c r="Y50" t="s">
        <v>389</v>
      </c>
      <c r="Z50" t="s">
        <v>31</v>
      </c>
      <c r="AA50" t="s">
        <v>31</v>
      </c>
      <c r="AB50" t="s">
        <v>31</v>
      </c>
      <c r="AC50" t="s">
        <v>31</v>
      </c>
      <c r="AK50" t="s">
        <v>173</v>
      </c>
    </row>
    <row r="51" spans="1:37" x14ac:dyDescent="0.2">
      <c r="AK51" t="s">
        <v>168</v>
      </c>
    </row>
    <row r="52" spans="1:37" x14ac:dyDescent="0.2">
      <c r="AK52" t="s">
        <v>169</v>
      </c>
    </row>
    <row r="53" spans="1:37" x14ac:dyDescent="0.2">
      <c r="AJ53" t="s">
        <v>174</v>
      </c>
    </row>
    <row r="54" spans="1:37" x14ac:dyDescent="0.2">
      <c r="AI54" t="s">
        <v>168</v>
      </c>
    </row>
    <row r="55" spans="1:37" x14ac:dyDescent="0.2">
      <c r="AI55" t="s">
        <v>175</v>
      </c>
    </row>
    <row r="56" spans="1:37" x14ac:dyDescent="0.2">
      <c r="AH56" t="s">
        <v>174</v>
      </c>
    </row>
    <row r="57" spans="1:37" x14ac:dyDescent="0.2">
      <c r="AH57" t="s">
        <v>178</v>
      </c>
    </row>
    <row r="58" spans="1:37" x14ac:dyDescent="0.2">
      <c r="AH58" t="s">
        <v>43</v>
      </c>
    </row>
  </sheetData>
  <pageMargins left="0.7" right="0.7" top="0.75" bottom="0.75" header="0.3" footer="0.3"/>
  <headerFooter>
    <oddFooter>&amp;C_x000D_&amp;1#&amp;"Calibri"&amp;9&amp;K000000 Classified - Internal Use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2B264-5982-404D-8463-315882D42D19}">
  <dimension ref="A1:M50"/>
  <sheetViews>
    <sheetView topLeftCell="F1" zoomScale="85" zoomScaleNormal="85" workbookViewId="0">
      <selection activeCell="A40" sqref="A40:G50"/>
    </sheetView>
  </sheetViews>
  <sheetFormatPr defaultRowHeight="15" x14ac:dyDescent="0.2"/>
  <cols>
    <col min="1" max="1" width="9.01171875" bestFit="1" customWidth="1"/>
    <col min="2" max="2" width="13.1796875" bestFit="1" customWidth="1"/>
    <col min="3" max="3" width="13.5859375" bestFit="1" customWidth="1"/>
    <col min="4" max="4" width="16.0078125" bestFit="1" customWidth="1"/>
    <col min="5" max="5" width="13.71875" bestFit="1" customWidth="1"/>
    <col min="6" max="6" width="107.484375" bestFit="1" customWidth="1"/>
    <col min="7" max="7" width="18.83203125" customWidth="1"/>
    <col min="11" max="11" width="34.83984375" bestFit="1" customWidth="1"/>
  </cols>
  <sheetData>
    <row r="1" spans="1:13" x14ac:dyDescent="0.2">
      <c r="A1" t="s">
        <v>3</v>
      </c>
      <c r="B1" t="s">
        <v>5</v>
      </c>
      <c r="C1" t="s">
        <v>0</v>
      </c>
      <c r="D1" t="s">
        <v>1</v>
      </c>
      <c r="E1" t="s">
        <v>22</v>
      </c>
      <c r="F1" t="s">
        <v>23</v>
      </c>
      <c r="G1" s="4" t="s">
        <v>44</v>
      </c>
      <c r="K1" s="4" t="s">
        <v>44</v>
      </c>
      <c r="L1" t="s">
        <v>179</v>
      </c>
    </row>
    <row r="2" spans="1:13" x14ac:dyDescent="0.2">
      <c r="A2">
        <v>2021</v>
      </c>
      <c r="B2" t="s">
        <v>28</v>
      </c>
      <c r="C2" t="s">
        <v>26</v>
      </c>
      <c r="E2">
        <v>25</v>
      </c>
      <c r="F2" t="s">
        <v>36</v>
      </c>
      <c r="G2">
        <v>4</v>
      </c>
      <c r="K2" s="6" t="s">
        <v>191</v>
      </c>
      <c r="L2" t="s">
        <v>180</v>
      </c>
    </row>
    <row r="3" spans="1:13" x14ac:dyDescent="0.2">
      <c r="A3">
        <v>2021</v>
      </c>
      <c r="B3" t="s">
        <v>28</v>
      </c>
      <c r="C3" t="s">
        <v>26</v>
      </c>
      <c r="E3">
        <v>22</v>
      </c>
      <c r="F3" t="s">
        <v>33</v>
      </c>
      <c r="G3">
        <v>4</v>
      </c>
      <c r="L3" t="s">
        <v>181</v>
      </c>
    </row>
    <row r="4" spans="1:13" x14ac:dyDescent="0.2">
      <c r="A4">
        <v>2021</v>
      </c>
      <c r="B4" t="s">
        <v>28</v>
      </c>
      <c r="C4" t="s">
        <v>26</v>
      </c>
      <c r="E4">
        <v>24</v>
      </c>
      <c r="F4" t="s">
        <v>35</v>
      </c>
      <c r="G4">
        <v>4</v>
      </c>
      <c r="L4" t="s">
        <v>189</v>
      </c>
    </row>
    <row r="5" spans="1:13" x14ac:dyDescent="0.2">
      <c r="A5">
        <v>2021</v>
      </c>
      <c r="B5" t="s">
        <v>28</v>
      </c>
      <c r="C5" t="s">
        <v>26</v>
      </c>
      <c r="E5">
        <v>26</v>
      </c>
      <c r="F5" t="s">
        <v>37</v>
      </c>
      <c r="G5">
        <v>4</v>
      </c>
      <c r="L5" t="s">
        <v>182</v>
      </c>
    </row>
    <row r="6" spans="1:13" x14ac:dyDescent="0.2">
      <c r="A6">
        <v>2021</v>
      </c>
      <c r="B6" t="s">
        <v>28</v>
      </c>
      <c r="C6" t="s">
        <v>26</v>
      </c>
      <c r="E6">
        <v>23</v>
      </c>
      <c r="F6" t="s">
        <v>34</v>
      </c>
      <c r="G6">
        <v>4</v>
      </c>
      <c r="L6" t="s">
        <v>183</v>
      </c>
    </row>
    <row r="7" spans="1:13" x14ac:dyDescent="0.2">
      <c r="A7">
        <v>2021</v>
      </c>
      <c r="B7" t="s">
        <v>28</v>
      </c>
      <c r="C7" t="s">
        <v>26</v>
      </c>
      <c r="E7">
        <v>30</v>
      </c>
      <c r="F7" t="s">
        <v>38</v>
      </c>
      <c r="G7">
        <v>4</v>
      </c>
      <c r="M7" t="s">
        <v>190</v>
      </c>
    </row>
    <row r="8" spans="1:13" x14ac:dyDescent="0.2">
      <c r="A8">
        <v>2021</v>
      </c>
      <c r="B8" t="s">
        <v>28</v>
      </c>
      <c r="C8" t="s">
        <v>26</v>
      </c>
      <c r="E8">
        <v>31</v>
      </c>
      <c r="F8" t="s">
        <v>39</v>
      </c>
      <c r="G8">
        <v>4</v>
      </c>
      <c r="M8" t="s">
        <v>184</v>
      </c>
    </row>
    <row r="9" spans="1:13" x14ac:dyDescent="0.2">
      <c r="M9" t="s">
        <v>185</v>
      </c>
    </row>
    <row r="10" spans="1:13" x14ac:dyDescent="0.2">
      <c r="L10" t="s">
        <v>186</v>
      </c>
    </row>
    <row r="11" spans="1:13" x14ac:dyDescent="0.2">
      <c r="L11" t="s">
        <v>187</v>
      </c>
    </row>
    <row r="12" spans="1:13" x14ac:dyDescent="0.2">
      <c r="A12" t="s">
        <v>3</v>
      </c>
      <c r="B12" t="s">
        <v>5</v>
      </c>
      <c r="C12" t="s">
        <v>0</v>
      </c>
      <c r="D12" t="s">
        <v>1</v>
      </c>
      <c r="E12" t="s">
        <v>22</v>
      </c>
      <c r="F12" t="s">
        <v>23</v>
      </c>
      <c r="G12" s="4" t="s">
        <v>44</v>
      </c>
      <c r="L12" t="s">
        <v>188</v>
      </c>
    </row>
    <row r="13" spans="1:13" x14ac:dyDescent="0.2">
      <c r="A13">
        <v>2024</v>
      </c>
      <c r="B13" t="s">
        <v>340</v>
      </c>
      <c r="C13" t="s">
        <v>339</v>
      </c>
      <c r="E13">
        <v>26</v>
      </c>
      <c r="F13" t="s">
        <v>31</v>
      </c>
      <c r="G13">
        <v>4</v>
      </c>
    </row>
    <row r="14" spans="1:13" x14ac:dyDescent="0.2">
      <c r="A14">
        <v>2024</v>
      </c>
      <c r="B14" t="s">
        <v>340</v>
      </c>
      <c r="C14" t="s">
        <v>339</v>
      </c>
      <c r="E14">
        <v>23</v>
      </c>
      <c r="F14" t="s">
        <v>346</v>
      </c>
      <c r="G14">
        <v>4</v>
      </c>
    </row>
    <row r="15" spans="1:13" x14ac:dyDescent="0.2">
      <c r="A15">
        <v>2024</v>
      </c>
      <c r="B15" t="s">
        <v>340</v>
      </c>
      <c r="C15" t="s">
        <v>339</v>
      </c>
      <c r="E15">
        <v>24</v>
      </c>
      <c r="F15" t="s">
        <v>362</v>
      </c>
      <c r="G15">
        <v>4</v>
      </c>
    </row>
    <row r="16" spans="1:13" x14ac:dyDescent="0.2">
      <c r="A16">
        <v>2024</v>
      </c>
      <c r="B16" t="s">
        <v>340</v>
      </c>
      <c r="C16" t="s">
        <v>339</v>
      </c>
      <c r="E16">
        <v>25</v>
      </c>
      <c r="F16" t="s">
        <v>363</v>
      </c>
      <c r="G16">
        <v>4</v>
      </c>
    </row>
    <row r="17" spans="1:7" x14ac:dyDescent="0.2">
      <c r="A17">
        <v>2024</v>
      </c>
      <c r="B17" t="s">
        <v>340</v>
      </c>
      <c r="C17" t="s">
        <v>339</v>
      </c>
      <c r="E17">
        <v>47</v>
      </c>
      <c r="F17" t="s">
        <v>342</v>
      </c>
      <c r="G17">
        <v>4</v>
      </c>
    </row>
    <row r="18" spans="1:7" x14ac:dyDescent="0.2">
      <c r="A18">
        <v>2024</v>
      </c>
      <c r="B18" t="s">
        <v>340</v>
      </c>
      <c r="C18" t="s">
        <v>339</v>
      </c>
      <c r="E18">
        <v>27</v>
      </c>
      <c r="F18" t="s">
        <v>364</v>
      </c>
      <c r="G18">
        <v>4</v>
      </c>
    </row>
    <row r="19" spans="1:7" x14ac:dyDescent="0.2">
      <c r="A19">
        <v>2024</v>
      </c>
      <c r="B19" t="s">
        <v>340</v>
      </c>
      <c r="C19" t="s">
        <v>339</v>
      </c>
      <c r="E19">
        <v>28</v>
      </c>
      <c r="F19" t="s">
        <v>365</v>
      </c>
      <c r="G19">
        <v>4</v>
      </c>
    </row>
    <row r="20" spans="1:7" x14ac:dyDescent="0.2">
      <c r="A20">
        <v>2024</v>
      </c>
      <c r="B20" t="s">
        <v>340</v>
      </c>
      <c r="C20" t="s">
        <v>339</v>
      </c>
      <c r="E20">
        <v>29</v>
      </c>
      <c r="F20" t="s">
        <v>366</v>
      </c>
      <c r="G20">
        <v>4</v>
      </c>
    </row>
    <row r="21" spans="1:7" x14ac:dyDescent="0.2">
      <c r="A21">
        <v>2024</v>
      </c>
      <c r="B21" t="s">
        <v>340</v>
      </c>
      <c r="C21" t="s">
        <v>339</v>
      </c>
      <c r="E21">
        <v>30</v>
      </c>
      <c r="F21" t="s">
        <v>367</v>
      </c>
      <c r="G21">
        <v>4</v>
      </c>
    </row>
    <row r="22" spans="1:7" x14ac:dyDescent="0.2">
      <c r="A22">
        <v>2024</v>
      </c>
      <c r="B22" t="s">
        <v>340</v>
      </c>
      <c r="C22" t="s">
        <v>339</v>
      </c>
      <c r="E22">
        <v>31</v>
      </c>
      <c r="F22" t="s">
        <v>368</v>
      </c>
      <c r="G22">
        <v>4</v>
      </c>
    </row>
    <row r="23" spans="1:7" x14ac:dyDescent="0.2">
      <c r="A23">
        <v>2024</v>
      </c>
      <c r="B23" t="s">
        <v>340</v>
      </c>
      <c r="C23" t="s">
        <v>339</v>
      </c>
      <c r="E23">
        <v>32</v>
      </c>
      <c r="F23" t="s">
        <v>369</v>
      </c>
      <c r="G23">
        <v>4</v>
      </c>
    </row>
    <row r="24" spans="1:7" x14ac:dyDescent="0.2">
      <c r="A24">
        <v>2024</v>
      </c>
      <c r="B24" t="s">
        <v>340</v>
      </c>
      <c r="C24" t="s">
        <v>339</v>
      </c>
      <c r="E24">
        <v>33</v>
      </c>
      <c r="F24" t="s">
        <v>344</v>
      </c>
      <c r="G24">
        <v>4</v>
      </c>
    </row>
    <row r="25" spans="1:7" x14ac:dyDescent="0.2">
      <c r="A25">
        <v>2024</v>
      </c>
      <c r="B25" t="s">
        <v>340</v>
      </c>
      <c r="C25" t="s">
        <v>339</v>
      </c>
      <c r="E25">
        <v>34</v>
      </c>
      <c r="F25" t="s">
        <v>345</v>
      </c>
      <c r="G25">
        <v>4</v>
      </c>
    </row>
    <row r="26" spans="1:7" x14ac:dyDescent="0.2">
      <c r="A26">
        <v>2024</v>
      </c>
      <c r="B26" t="s">
        <v>340</v>
      </c>
      <c r="C26" t="s">
        <v>339</v>
      </c>
      <c r="E26">
        <v>35</v>
      </c>
      <c r="F26" t="s">
        <v>343</v>
      </c>
      <c r="G26">
        <v>4</v>
      </c>
    </row>
    <row r="27" spans="1:7" x14ac:dyDescent="0.2">
      <c r="A27">
        <v>2024</v>
      </c>
      <c r="B27" t="s">
        <v>340</v>
      </c>
      <c r="C27" t="s">
        <v>339</v>
      </c>
      <c r="E27">
        <v>36</v>
      </c>
      <c r="F27" t="s">
        <v>370</v>
      </c>
      <c r="G27">
        <v>4</v>
      </c>
    </row>
    <row r="28" spans="1:7" x14ac:dyDescent="0.2">
      <c r="A28">
        <v>2024</v>
      </c>
      <c r="B28" t="s">
        <v>340</v>
      </c>
      <c r="C28" t="s">
        <v>339</v>
      </c>
      <c r="E28">
        <v>37</v>
      </c>
      <c r="F28" t="s">
        <v>371</v>
      </c>
      <c r="G28">
        <v>4</v>
      </c>
    </row>
    <row r="29" spans="1:7" x14ac:dyDescent="0.2">
      <c r="A29">
        <v>2024</v>
      </c>
      <c r="B29" t="s">
        <v>340</v>
      </c>
      <c r="C29" t="s">
        <v>339</v>
      </c>
      <c r="E29">
        <v>38</v>
      </c>
      <c r="F29" t="s">
        <v>372</v>
      </c>
      <c r="G29">
        <v>4</v>
      </c>
    </row>
    <row r="30" spans="1:7" x14ac:dyDescent="0.2">
      <c r="A30">
        <v>2024</v>
      </c>
      <c r="B30" t="s">
        <v>340</v>
      </c>
      <c r="C30" t="s">
        <v>339</v>
      </c>
      <c r="E30">
        <v>39</v>
      </c>
      <c r="F30" t="s">
        <v>373</v>
      </c>
      <c r="G30">
        <v>4</v>
      </c>
    </row>
    <row r="31" spans="1:7" x14ac:dyDescent="0.2">
      <c r="A31">
        <v>2024</v>
      </c>
      <c r="B31" t="s">
        <v>340</v>
      </c>
      <c r="C31" t="s">
        <v>339</v>
      </c>
      <c r="E31">
        <v>40</v>
      </c>
      <c r="F31" t="s">
        <v>374</v>
      </c>
      <c r="G31">
        <v>4</v>
      </c>
    </row>
    <row r="40" spans="1:7" x14ac:dyDescent="0.2">
      <c r="A40" t="s">
        <v>3</v>
      </c>
      <c r="B40" t="s">
        <v>5</v>
      </c>
      <c r="C40" t="s">
        <v>0</v>
      </c>
      <c r="D40" t="s">
        <v>1</v>
      </c>
      <c r="E40" t="s">
        <v>22</v>
      </c>
      <c r="F40" t="s">
        <v>23</v>
      </c>
      <c r="G40" t="s">
        <v>44</v>
      </c>
    </row>
    <row r="41" spans="1:7" x14ac:dyDescent="0.2">
      <c r="A41">
        <v>1999</v>
      </c>
      <c r="B41" t="s">
        <v>380</v>
      </c>
      <c r="C41" t="s">
        <v>379</v>
      </c>
      <c r="E41">
        <v>17</v>
      </c>
      <c r="F41" t="s">
        <v>385</v>
      </c>
      <c r="G41">
        <v>4</v>
      </c>
    </row>
    <row r="42" spans="1:7" x14ac:dyDescent="0.2">
      <c r="A42">
        <v>1999</v>
      </c>
      <c r="B42" t="s">
        <v>380</v>
      </c>
      <c r="C42" t="s">
        <v>379</v>
      </c>
      <c r="E42">
        <v>18</v>
      </c>
      <c r="F42" t="s">
        <v>390</v>
      </c>
      <c r="G42">
        <v>4</v>
      </c>
    </row>
    <row r="43" spans="1:7" x14ac:dyDescent="0.2">
      <c r="A43">
        <v>1999</v>
      </c>
      <c r="B43" t="s">
        <v>380</v>
      </c>
      <c r="C43" t="s">
        <v>379</v>
      </c>
      <c r="E43">
        <v>19</v>
      </c>
      <c r="F43" t="s">
        <v>388</v>
      </c>
      <c r="G43">
        <v>4</v>
      </c>
    </row>
    <row r="44" spans="1:7" x14ac:dyDescent="0.2">
      <c r="A44">
        <v>1999</v>
      </c>
      <c r="B44" t="s">
        <v>380</v>
      </c>
      <c r="C44" t="s">
        <v>379</v>
      </c>
      <c r="E44">
        <v>20</v>
      </c>
      <c r="F44" t="s">
        <v>387</v>
      </c>
      <c r="G44">
        <v>4</v>
      </c>
    </row>
    <row r="45" spans="1:7" x14ac:dyDescent="0.2">
      <c r="A45">
        <v>1999</v>
      </c>
      <c r="B45" t="s">
        <v>380</v>
      </c>
      <c r="C45" t="s">
        <v>379</v>
      </c>
      <c r="E45">
        <v>21</v>
      </c>
      <c r="F45" t="s">
        <v>392</v>
      </c>
      <c r="G45">
        <v>4</v>
      </c>
    </row>
    <row r="46" spans="1:7" x14ac:dyDescent="0.2">
      <c r="A46">
        <v>1999</v>
      </c>
      <c r="B46" t="s">
        <v>380</v>
      </c>
      <c r="C46" t="s">
        <v>379</v>
      </c>
      <c r="E46">
        <v>22</v>
      </c>
      <c r="F46" t="s">
        <v>393</v>
      </c>
      <c r="G46">
        <v>4</v>
      </c>
    </row>
    <row r="47" spans="1:7" x14ac:dyDescent="0.2">
      <c r="A47">
        <v>1999</v>
      </c>
      <c r="B47" t="s">
        <v>380</v>
      </c>
      <c r="C47" t="s">
        <v>379</v>
      </c>
      <c r="E47">
        <v>23</v>
      </c>
      <c r="F47" t="s">
        <v>394</v>
      </c>
      <c r="G47">
        <v>4</v>
      </c>
    </row>
    <row r="48" spans="1:7" x14ac:dyDescent="0.2">
      <c r="A48">
        <v>1999</v>
      </c>
      <c r="B48" t="s">
        <v>380</v>
      </c>
      <c r="C48" t="s">
        <v>379</v>
      </c>
      <c r="E48">
        <v>24</v>
      </c>
      <c r="F48" t="s">
        <v>391</v>
      </c>
      <c r="G48">
        <v>4</v>
      </c>
    </row>
    <row r="49" spans="1:7" x14ac:dyDescent="0.2">
      <c r="A49">
        <v>1999</v>
      </c>
      <c r="B49" t="s">
        <v>380</v>
      </c>
      <c r="C49" t="s">
        <v>379</v>
      </c>
      <c r="E49">
        <v>25</v>
      </c>
      <c r="F49" t="s">
        <v>386</v>
      </c>
      <c r="G49">
        <v>4</v>
      </c>
    </row>
    <row r="50" spans="1:7" x14ac:dyDescent="0.2">
      <c r="A50">
        <v>1999</v>
      </c>
      <c r="B50" t="s">
        <v>380</v>
      </c>
      <c r="C50" t="s">
        <v>379</v>
      </c>
      <c r="E50">
        <v>26</v>
      </c>
      <c r="F50" t="s">
        <v>389</v>
      </c>
      <c r="G50">
        <v>4</v>
      </c>
    </row>
  </sheetData>
  <pageMargins left="0.7" right="0.7" top="0.75" bottom="0.75" header="0.3" footer="0.3"/>
  <pageSetup orientation="portrait" r:id="rId1"/>
  <headerFooter>
    <oddFooter>&amp;C_x000D_&amp;1#&amp;"Calibri"&amp;9&amp;K000000 Classified - Internal Use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C1158-7F94-448D-BFF9-D183182611D4}">
  <dimension ref="A1:AG50"/>
  <sheetViews>
    <sheetView topLeftCell="D1" zoomScale="55" zoomScaleNormal="55" workbookViewId="0">
      <selection activeCell="A40" sqref="A40:O50"/>
    </sheetView>
  </sheetViews>
  <sheetFormatPr defaultRowHeight="15" x14ac:dyDescent="0.2"/>
  <cols>
    <col min="1" max="1" width="17.08203125" bestFit="1" customWidth="1"/>
    <col min="2" max="2" width="5.37890625" bestFit="1" customWidth="1"/>
    <col min="3" max="3" width="47.21484375" bestFit="1" customWidth="1"/>
    <col min="4" max="4" width="16.140625" bestFit="1" customWidth="1"/>
    <col min="5" max="6" width="17.21875" bestFit="1" customWidth="1"/>
    <col min="7" max="7" width="19.234375" bestFit="1" customWidth="1"/>
    <col min="8" max="8" width="17.21875" bestFit="1" customWidth="1"/>
    <col min="9" max="9" width="107.484375" bestFit="1" customWidth="1"/>
    <col min="10" max="10" width="17.3515625" bestFit="1" customWidth="1"/>
    <col min="11" max="11" width="12.10546875" bestFit="1" customWidth="1"/>
    <col min="12" max="12" width="15.06640625" bestFit="1" customWidth="1"/>
    <col min="13" max="13" width="16.140625" bestFit="1" customWidth="1"/>
    <col min="14" max="14" width="20.984375" bestFit="1" customWidth="1"/>
    <col min="15" max="15" width="19.1015625" style="3" customWidth="1"/>
    <col min="31" max="31" width="59.59375" bestFit="1" customWidth="1"/>
  </cols>
  <sheetData>
    <row r="1" spans="1:33" x14ac:dyDescent="0.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s="4" t="s">
        <v>55</v>
      </c>
      <c r="L1" s="2" t="s">
        <v>56</v>
      </c>
      <c r="M1" s="8" t="s">
        <v>57</v>
      </c>
      <c r="N1" s="9" t="s">
        <v>58</v>
      </c>
      <c r="O1" s="3" t="s">
        <v>59</v>
      </c>
      <c r="T1" s="10" t="s">
        <v>219</v>
      </c>
      <c r="U1" t="s">
        <v>207</v>
      </c>
      <c r="AE1" s="4" t="s">
        <v>55</v>
      </c>
      <c r="AF1" t="s">
        <v>159</v>
      </c>
    </row>
    <row r="2" spans="1:33" x14ac:dyDescent="0.2">
      <c r="A2" t="s">
        <v>28</v>
      </c>
      <c r="B2">
        <v>2021</v>
      </c>
      <c r="C2" t="s">
        <v>60</v>
      </c>
      <c r="D2" t="s">
        <v>26</v>
      </c>
      <c r="E2" t="s">
        <v>26</v>
      </c>
      <c r="F2" t="s">
        <v>26</v>
      </c>
      <c r="H2">
        <v>25</v>
      </c>
      <c r="I2" t="s">
        <v>36</v>
      </c>
      <c r="J2" t="s">
        <v>64</v>
      </c>
      <c r="K2" s="6">
        <v>5</v>
      </c>
      <c r="L2" s="6">
        <v>100</v>
      </c>
      <c r="M2" s="6">
        <v>5</v>
      </c>
      <c r="N2" s="6">
        <v>4</v>
      </c>
      <c r="O2" s="3">
        <v>44727.673432523145</v>
      </c>
      <c r="U2" t="s">
        <v>159</v>
      </c>
      <c r="AF2" t="s">
        <v>192</v>
      </c>
    </row>
    <row r="3" spans="1:33" x14ac:dyDescent="0.2">
      <c r="A3" t="s">
        <v>28</v>
      </c>
      <c r="B3">
        <v>2021</v>
      </c>
      <c r="C3" t="s">
        <v>60</v>
      </c>
      <c r="D3" t="s">
        <v>26</v>
      </c>
      <c r="E3" t="s">
        <v>26</v>
      </c>
      <c r="F3" t="s">
        <v>26</v>
      </c>
      <c r="H3">
        <v>22</v>
      </c>
      <c r="I3" t="s">
        <v>33</v>
      </c>
      <c r="J3" t="s">
        <v>61</v>
      </c>
      <c r="K3">
        <v>15</v>
      </c>
      <c r="L3">
        <v>100</v>
      </c>
      <c r="M3">
        <v>15</v>
      </c>
      <c r="N3">
        <v>4</v>
      </c>
      <c r="O3" s="3">
        <v>44727.673432523145</v>
      </c>
      <c r="U3" t="s">
        <v>208</v>
      </c>
      <c r="AE3" s="6" t="s">
        <v>225</v>
      </c>
      <c r="AF3" s="7" t="s">
        <v>203</v>
      </c>
    </row>
    <row r="4" spans="1:33" x14ac:dyDescent="0.2">
      <c r="A4" t="s">
        <v>28</v>
      </c>
      <c r="B4">
        <v>2021</v>
      </c>
      <c r="C4" t="s">
        <v>60</v>
      </c>
      <c r="D4" t="s">
        <v>26</v>
      </c>
      <c r="E4" t="s">
        <v>26</v>
      </c>
      <c r="F4" t="s">
        <v>26</v>
      </c>
      <c r="H4">
        <v>24</v>
      </c>
      <c r="I4" t="s">
        <v>35</v>
      </c>
      <c r="J4" t="s">
        <v>63</v>
      </c>
      <c r="K4">
        <v>30</v>
      </c>
      <c r="L4">
        <v>100</v>
      </c>
      <c r="M4">
        <v>30</v>
      </c>
      <c r="N4">
        <v>4</v>
      </c>
      <c r="O4" s="3">
        <v>44727.673432523145</v>
      </c>
      <c r="U4" t="s">
        <v>209</v>
      </c>
      <c r="AE4" t="s">
        <v>348</v>
      </c>
      <c r="AF4" t="s">
        <v>161</v>
      </c>
    </row>
    <row r="5" spans="1:33" x14ac:dyDescent="0.2">
      <c r="A5" t="s">
        <v>28</v>
      </c>
      <c r="B5">
        <v>2021</v>
      </c>
      <c r="C5" t="s">
        <v>60</v>
      </c>
      <c r="D5" t="s">
        <v>26</v>
      </c>
      <c r="E5" t="s">
        <v>26</v>
      </c>
      <c r="F5" t="s">
        <v>26</v>
      </c>
      <c r="H5">
        <v>26</v>
      </c>
      <c r="I5" t="s">
        <v>37</v>
      </c>
      <c r="J5" t="s">
        <v>64</v>
      </c>
      <c r="K5">
        <v>5</v>
      </c>
      <c r="L5">
        <v>100</v>
      </c>
      <c r="M5">
        <v>5</v>
      </c>
      <c r="N5">
        <v>4</v>
      </c>
      <c r="O5" s="3">
        <v>44727.673432523145</v>
      </c>
      <c r="U5" t="s">
        <v>210</v>
      </c>
      <c r="AE5" s="6" t="s">
        <v>227</v>
      </c>
      <c r="AG5" t="s">
        <v>159</v>
      </c>
    </row>
    <row r="6" spans="1:33" x14ac:dyDescent="0.2">
      <c r="A6" t="s">
        <v>28</v>
      </c>
      <c r="B6">
        <v>2021</v>
      </c>
      <c r="C6" t="s">
        <v>60</v>
      </c>
      <c r="D6" t="s">
        <v>26</v>
      </c>
      <c r="E6" t="s">
        <v>26</v>
      </c>
      <c r="F6" t="s">
        <v>26</v>
      </c>
      <c r="H6">
        <v>23</v>
      </c>
      <c r="I6" t="s">
        <v>34</v>
      </c>
      <c r="J6" t="s">
        <v>61</v>
      </c>
      <c r="K6">
        <v>15</v>
      </c>
      <c r="L6">
        <v>100</v>
      </c>
      <c r="M6">
        <v>15</v>
      </c>
      <c r="N6">
        <v>4</v>
      </c>
      <c r="O6" s="3">
        <v>44727.673432523145</v>
      </c>
      <c r="U6" t="s">
        <v>211</v>
      </c>
      <c r="AE6" s="7" t="s">
        <v>228</v>
      </c>
      <c r="AG6" t="s">
        <v>193</v>
      </c>
    </row>
    <row r="7" spans="1:33" x14ac:dyDescent="0.2">
      <c r="A7" t="s">
        <v>28</v>
      </c>
      <c r="B7">
        <v>2021</v>
      </c>
      <c r="C7" t="s">
        <v>60</v>
      </c>
      <c r="D7" t="s">
        <v>26</v>
      </c>
      <c r="E7" t="s">
        <v>26</v>
      </c>
      <c r="F7" t="s">
        <v>26</v>
      </c>
      <c r="H7">
        <v>30</v>
      </c>
      <c r="I7" t="s">
        <v>38</v>
      </c>
      <c r="J7" t="s">
        <v>62</v>
      </c>
      <c r="K7">
        <v>15</v>
      </c>
      <c r="L7">
        <v>100</v>
      </c>
      <c r="M7">
        <v>15</v>
      </c>
      <c r="N7">
        <v>4</v>
      </c>
      <c r="O7" s="3">
        <v>44727.673432523145</v>
      </c>
      <c r="U7" t="s">
        <v>212</v>
      </c>
      <c r="AG7" s="11" t="s">
        <v>194</v>
      </c>
    </row>
    <row r="8" spans="1:33" x14ac:dyDescent="0.2">
      <c r="A8" t="s">
        <v>28</v>
      </c>
      <c r="B8">
        <v>2021</v>
      </c>
      <c r="C8" t="s">
        <v>60</v>
      </c>
      <c r="D8" t="s">
        <v>26</v>
      </c>
      <c r="E8" t="s">
        <v>26</v>
      </c>
      <c r="F8" t="s">
        <v>26</v>
      </c>
      <c r="H8">
        <v>31</v>
      </c>
      <c r="I8" t="s">
        <v>39</v>
      </c>
      <c r="J8" t="s">
        <v>62</v>
      </c>
      <c r="K8">
        <v>15</v>
      </c>
      <c r="L8">
        <v>100</v>
      </c>
      <c r="M8">
        <v>15</v>
      </c>
      <c r="N8">
        <v>4</v>
      </c>
      <c r="O8" s="3">
        <v>44727.673432523145</v>
      </c>
      <c r="U8" t="s">
        <v>213</v>
      </c>
      <c r="AG8" s="11" t="s">
        <v>195</v>
      </c>
    </row>
    <row r="9" spans="1:33" x14ac:dyDescent="0.2">
      <c r="U9" t="s">
        <v>214</v>
      </c>
      <c r="AE9" s="6" t="s">
        <v>223</v>
      </c>
      <c r="AF9" s="7" t="s">
        <v>204</v>
      </c>
    </row>
    <row r="10" spans="1:33" x14ac:dyDescent="0.2">
      <c r="K10" s="7" t="s">
        <v>419</v>
      </c>
      <c r="M10" t="s">
        <v>230</v>
      </c>
      <c r="U10" t="s">
        <v>215</v>
      </c>
      <c r="AE10" t="s">
        <v>224</v>
      </c>
      <c r="AF10" t="s">
        <v>170</v>
      </c>
    </row>
    <row r="11" spans="1:33" x14ac:dyDescent="0.2">
      <c r="U11" t="s">
        <v>216</v>
      </c>
      <c r="AE11" t="s">
        <v>229</v>
      </c>
      <c r="AF11" t="s">
        <v>196</v>
      </c>
    </row>
    <row r="12" spans="1:33" x14ac:dyDescent="0.2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s="4" t="s">
        <v>55</v>
      </c>
      <c r="L12" s="2" t="s">
        <v>56</v>
      </c>
      <c r="M12" s="8" t="s">
        <v>57</v>
      </c>
      <c r="N12" s="9" t="s">
        <v>58</v>
      </c>
      <c r="O12" s="3" t="s">
        <v>59</v>
      </c>
      <c r="U12" t="s">
        <v>217</v>
      </c>
      <c r="AF12" s="11" t="s">
        <v>197</v>
      </c>
    </row>
    <row r="13" spans="1:33" x14ac:dyDescent="0.2">
      <c r="A13" t="s">
        <v>340</v>
      </c>
      <c r="B13">
        <v>2024</v>
      </c>
      <c r="C13" t="s">
        <v>375</v>
      </c>
      <c r="D13" t="s">
        <v>339</v>
      </c>
      <c r="E13" t="s">
        <v>339</v>
      </c>
      <c r="F13" t="s">
        <v>339</v>
      </c>
      <c r="H13">
        <v>23</v>
      </c>
      <c r="I13" t="s">
        <v>346</v>
      </c>
      <c r="J13" t="s">
        <v>61</v>
      </c>
      <c r="K13">
        <v>10</v>
      </c>
      <c r="L13">
        <v>355</v>
      </c>
      <c r="M13">
        <v>30</v>
      </c>
      <c r="N13">
        <v>4</v>
      </c>
      <c r="O13" s="3">
        <v>45534.665390891205</v>
      </c>
      <c r="U13" s="11" t="s">
        <v>218</v>
      </c>
      <c r="AF13" s="11" t="s">
        <v>198</v>
      </c>
    </row>
    <row r="14" spans="1:33" x14ac:dyDescent="0.2">
      <c r="A14" t="s">
        <v>340</v>
      </c>
      <c r="B14">
        <v>2024</v>
      </c>
      <c r="C14" t="s">
        <v>375</v>
      </c>
      <c r="D14" t="s">
        <v>339</v>
      </c>
      <c r="E14" t="s">
        <v>339</v>
      </c>
      <c r="F14" t="s">
        <v>339</v>
      </c>
      <c r="H14">
        <v>24</v>
      </c>
      <c r="I14" t="s">
        <v>362</v>
      </c>
      <c r="J14" t="s">
        <v>61</v>
      </c>
      <c r="K14">
        <v>10</v>
      </c>
      <c r="L14">
        <v>355</v>
      </c>
      <c r="M14">
        <v>30</v>
      </c>
      <c r="N14">
        <v>4</v>
      </c>
      <c r="O14" s="3">
        <v>45534.665390891205</v>
      </c>
      <c r="AF14" s="11" t="s">
        <v>199</v>
      </c>
    </row>
    <row r="15" spans="1:33" x14ac:dyDescent="0.2">
      <c r="A15" t="s">
        <v>340</v>
      </c>
      <c r="B15">
        <v>2024</v>
      </c>
      <c r="C15" t="s">
        <v>375</v>
      </c>
      <c r="D15" t="s">
        <v>339</v>
      </c>
      <c r="E15" t="s">
        <v>339</v>
      </c>
      <c r="F15" t="s">
        <v>339</v>
      </c>
      <c r="H15">
        <v>25</v>
      </c>
      <c r="I15" t="s">
        <v>363</v>
      </c>
      <c r="J15" t="s">
        <v>61</v>
      </c>
      <c r="K15">
        <v>10</v>
      </c>
      <c r="L15">
        <v>355</v>
      </c>
      <c r="M15">
        <v>30</v>
      </c>
      <c r="N15">
        <v>4</v>
      </c>
      <c r="O15" s="3">
        <v>45534.665390891205</v>
      </c>
      <c r="AF15" s="11" t="s">
        <v>200</v>
      </c>
    </row>
    <row r="16" spans="1:33" x14ac:dyDescent="0.2">
      <c r="A16" t="s">
        <v>340</v>
      </c>
      <c r="B16">
        <v>2024</v>
      </c>
      <c r="C16" t="s">
        <v>375</v>
      </c>
      <c r="D16" t="s">
        <v>339</v>
      </c>
      <c r="E16" t="s">
        <v>339</v>
      </c>
      <c r="F16" t="s">
        <v>339</v>
      </c>
      <c r="H16">
        <v>47</v>
      </c>
      <c r="I16" t="s">
        <v>342</v>
      </c>
      <c r="J16" t="s">
        <v>63</v>
      </c>
      <c r="K16">
        <v>3.3332999999999999</v>
      </c>
      <c r="L16">
        <v>355</v>
      </c>
      <c r="M16">
        <v>20</v>
      </c>
      <c r="N16">
        <v>4</v>
      </c>
      <c r="O16" s="3">
        <v>45534.665390891205</v>
      </c>
      <c r="AF16" t="s">
        <v>201</v>
      </c>
    </row>
    <row r="17" spans="1:32" x14ac:dyDescent="0.2">
      <c r="A17" t="s">
        <v>340</v>
      </c>
      <c r="B17">
        <v>2024</v>
      </c>
      <c r="C17" t="s">
        <v>375</v>
      </c>
      <c r="D17" t="s">
        <v>339</v>
      </c>
      <c r="E17" t="s">
        <v>339</v>
      </c>
      <c r="F17" t="s">
        <v>339</v>
      </c>
      <c r="H17">
        <v>27</v>
      </c>
      <c r="I17" t="s">
        <v>364</v>
      </c>
      <c r="J17" t="s">
        <v>63</v>
      </c>
      <c r="K17">
        <v>3.3332999999999999</v>
      </c>
      <c r="L17">
        <v>355</v>
      </c>
      <c r="M17">
        <v>20</v>
      </c>
      <c r="N17">
        <v>4</v>
      </c>
      <c r="O17" s="3">
        <v>45534.665390891205</v>
      </c>
      <c r="T17" s="10" t="s">
        <v>220</v>
      </c>
      <c r="U17" t="s">
        <v>221</v>
      </c>
      <c r="AF17" t="s">
        <v>174</v>
      </c>
    </row>
    <row r="18" spans="1:32" x14ac:dyDescent="0.2">
      <c r="A18" t="s">
        <v>340</v>
      </c>
      <c r="B18">
        <v>2024</v>
      </c>
      <c r="C18" t="s">
        <v>375</v>
      </c>
      <c r="D18" t="s">
        <v>339</v>
      </c>
      <c r="E18" t="s">
        <v>339</v>
      </c>
      <c r="F18" t="s">
        <v>339</v>
      </c>
      <c r="H18">
        <v>28</v>
      </c>
      <c r="I18" t="s">
        <v>365</v>
      </c>
      <c r="J18" t="s">
        <v>63</v>
      </c>
      <c r="K18">
        <v>3.3332999999999999</v>
      </c>
      <c r="L18">
        <v>355</v>
      </c>
      <c r="M18">
        <v>20</v>
      </c>
      <c r="N18">
        <v>4</v>
      </c>
      <c r="O18" s="3">
        <v>45534.665390891205</v>
      </c>
      <c r="AF18" t="s">
        <v>202</v>
      </c>
    </row>
    <row r="19" spans="1:32" x14ac:dyDescent="0.2">
      <c r="A19" t="s">
        <v>340</v>
      </c>
      <c r="B19">
        <v>2024</v>
      </c>
      <c r="C19" t="s">
        <v>375</v>
      </c>
      <c r="D19" t="s">
        <v>339</v>
      </c>
      <c r="E19" t="s">
        <v>339</v>
      </c>
      <c r="F19" t="s">
        <v>339</v>
      </c>
      <c r="H19">
        <v>29</v>
      </c>
      <c r="I19" t="s">
        <v>366</v>
      </c>
      <c r="J19" t="s">
        <v>63</v>
      </c>
      <c r="K19">
        <v>3.3332999999999999</v>
      </c>
      <c r="L19">
        <v>355</v>
      </c>
      <c r="M19">
        <v>20</v>
      </c>
      <c r="N19">
        <v>4</v>
      </c>
      <c r="O19" s="3">
        <v>45534.665390891205</v>
      </c>
    </row>
    <row r="20" spans="1:32" x14ac:dyDescent="0.2">
      <c r="A20" t="s">
        <v>340</v>
      </c>
      <c r="B20">
        <v>2024</v>
      </c>
      <c r="C20" t="s">
        <v>375</v>
      </c>
      <c r="D20" t="s">
        <v>339</v>
      </c>
      <c r="E20" t="s">
        <v>339</v>
      </c>
      <c r="F20" t="s">
        <v>339</v>
      </c>
      <c r="H20">
        <v>30</v>
      </c>
      <c r="I20" t="s">
        <v>367</v>
      </c>
      <c r="J20" t="s">
        <v>63</v>
      </c>
      <c r="K20">
        <v>3.3332999999999999</v>
      </c>
      <c r="L20">
        <v>355</v>
      </c>
      <c r="M20">
        <v>20</v>
      </c>
      <c r="N20">
        <v>4</v>
      </c>
      <c r="O20" s="3">
        <v>45534.665390891205</v>
      </c>
    </row>
    <row r="21" spans="1:32" x14ac:dyDescent="0.2">
      <c r="A21" t="s">
        <v>340</v>
      </c>
      <c r="B21">
        <v>2024</v>
      </c>
      <c r="C21" t="s">
        <v>375</v>
      </c>
      <c r="D21" t="s">
        <v>339</v>
      </c>
      <c r="E21" t="s">
        <v>339</v>
      </c>
      <c r="F21" t="s">
        <v>339</v>
      </c>
      <c r="H21">
        <v>31</v>
      </c>
      <c r="I21" t="s">
        <v>368</v>
      </c>
      <c r="J21" t="s">
        <v>63</v>
      </c>
      <c r="K21">
        <v>3.3332999999999999</v>
      </c>
      <c r="L21">
        <v>355</v>
      </c>
      <c r="M21">
        <v>20</v>
      </c>
      <c r="N21">
        <v>4</v>
      </c>
      <c r="O21" s="3">
        <v>45534.665390891205</v>
      </c>
    </row>
    <row r="22" spans="1:32" x14ac:dyDescent="0.2">
      <c r="A22" t="s">
        <v>340</v>
      </c>
      <c r="B22">
        <v>2024</v>
      </c>
      <c r="C22" t="s">
        <v>375</v>
      </c>
      <c r="D22" t="s">
        <v>339</v>
      </c>
      <c r="E22" t="s">
        <v>339</v>
      </c>
      <c r="F22" t="s">
        <v>339</v>
      </c>
      <c r="H22">
        <v>32</v>
      </c>
      <c r="I22" t="s">
        <v>369</v>
      </c>
      <c r="J22" t="s">
        <v>62</v>
      </c>
      <c r="K22">
        <v>10</v>
      </c>
      <c r="L22">
        <v>355</v>
      </c>
      <c r="M22">
        <v>20</v>
      </c>
      <c r="N22">
        <v>4</v>
      </c>
      <c r="O22" s="3">
        <v>45534.665390891205</v>
      </c>
      <c r="AE22" s="2" t="s">
        <v>56</v>
      </c>
      <c r="AF22" s="12" t="s">
        <v>222</v>
      </c>
    </row>
    <row r="23" spans="1:32" x14ac:dyDescent="0.2">
      <c r="A23" t="s">
        <v>340</v>
      </c>
      <c r="B23">
        <v>2024</v>
      </c>
      <c r="C23" t="s">
        <v>375</v>
      </c>
      <c r="D23" t="s">
        <v>339</v>
      </c>
      <c r="E23" t="s">
        <v>339</v>
      </c>
      <c r="F23" t="s">
        <v>339</v>
      </c>
      <c r="H23">
        <v>33</v>
      </c>
      <c r="I23" t="s">
        <v>344</v>
      </c>
      <c r="J23" t="s">
        <v>62</v>
      </c>
      <c r="K23">
        <v>10</v>
      </c>
      <c r="L23">
        <v>355</v>
      </c>
      <c r="M23">
        <v>20</v>
      </c>
      <c r="N23">
        <v>4</v>
      </c>
      <c r="O23" s="3">
        <v>45534.665390891205</v>
      </c>
      <c r="AE23" s="7" t="s">
        <v>347</v>
      </c>
    </row>
    <row r="24" spans="1:32" x14ac:dyDescent="0.2">
      <c r="A24" t="s">
        <v>340</v>
      </c>
      <c r="B24">
        <v>2024</v>
      </c>
      <c r="C24" t="s">
        <v>375</v>
      </c>
      <c r="D24" t="s">
        <v>339</v>
      </c>
      <c r="E24" t="s">
        <v>339</v>
      </c>
      <c r="F24" t="s">
        <v>339</v>
      </c>
      <c r="H24">
        <v>34</v>
      </c>
      <c r="I24" t="s">
        <v>345</v>
      </c>
      <c r="J24" t="s">
        <v>64</v>
      </c>
      <c r="K24">
        <v>1.5</v>
      </c>
      <c r="L24">
        <v>355</v>
      </c>
      <c r="M24">
        <v>15</v>
      </c>
      <c r="N24">
        <v>4</v>
      </c>
      <c r="O24" s="3">
        <v>45534.665390891205</v>
      </c>
    </row>
    <row r="25" spans="1:32" x14ac:dyDescent="0.2">
      <c r="A25" t="s">
        <v>340</v>
      </c>
      <c r="B25">
        <v>2024</v>
      </c>
      <c r="C25" t="s">
        <v>375</v>
      </c>
      <c r="D25" t="s">
        <v>339</v>
      </c>
      <c r="E25" t="s">
        <v>339</v>
      </c>
      <c r="F25" t="s">
        <v>339</v>
      </c>
      <c r="H25">
        <v>35</v>
      </c>
      <c r="I25" t="s">
        <v>343</v>
      </c>
      <c r="J25" t="s">
        <v>64</v>
      </c>
      <c r="K25">
        <v>1.5</v>
      </c>
      <c r="L25">
        <v>355</v>
      </c>
      <c r="M25">
        <v>15</v>
      </c>
      <c r="N25">
        <v>4</v>
      </c>
      <c r="O25" s="3">
        <v>45534.665390891205</v>
      </c>
      <c r="AE25" s="8" t="s">
        <v>57</v>
      </c>
      <c r="AF25" t="s">
        <v>205</v>
      </c>
    </row>
    <row r="26" spans="1:32" x14ac:dyDescent="0.2">
      <c r="A26" s="24" t="s">
        <v>340</v>
      </c>
      <c r="B26" s="24">
        <v>2024</v>
      </c>
      <c r="C26" s="24" t="s">
        <v>375</v>
      </c>
      <c r="D26" s="24" t="s">
        <v>339</v>
      </c>
      <c r="E26" s="24" t="s">
        <v>339</v>
      </c>
      <c r="F26" s="24" t="s">
        <v>339</v>
      </c>
      <c r="G26" s="24"/>
      <c r="H26" s="24">
        <v>36</v>
      </c>
      <c r="I26" s="24" t="s">
        <v>370</v>
      </c>
      <c r="J26" s="24" t="s">
        <v>64</v>
      </c>
      <c r="K26" s="24">
        <v>1.5</v>
      </c>
      <c r="L26" s="24">
        <v>355</v>
      </c>
      <c r="M26" s="24">
        <v>15</v>
      </c>
      <c r="N26" s="24">
        <v>4</v>
      </c>
      <c r="O26" s="42">
        <v>45534.665390891205</v>
      </c>
    </row>
    <row r="27" spans="1:32" x14ac:dyDescent="0.2">
      <c r="A27" s="24" t="s">
        <v>340</v>
      </c>
      <c r="B27" s="24">
        <v>2024</v>
      </c>
      <c r="C27" s="24" t="s">
        <v>375</v>
      </c>
      <c r="D27" s="24" t="s">
        <v>339</v>
      </c>
      <c r="E27" s="24" t="s">
        <v>339</v>
      </c>
      <c r="F27" s="24" t="s">
        <v>339</v>
      </c>
      <c r="G27" s="24"/>
      <c r="H27" s="24">
        <v>37</v>
      </c>
      <c r="I27" s="24" t="s">
        <v>371</v>
      </c>
      <c r="J27" s="24" t="s">
        <v>64</v>
      </c>
      <c r="K27" s="24">
        <v>1.5</v>
      </c>
      <c r="L27" s="24">
        <v>355</v>
      </c>
      <c r="M27" s="24">
        <v>15</v>
      </c>
      <c r="N27" s="24">
        <v>4</v>
      </c>
      <c r="O27" s="3">
        <v>45534.665390891205</v>
      </c>
    </row>
    <row r="28" spans="1:32" x14ac:dyDescent="0.2">
      <c r="A28" s="24" t="s">
        <v>340</v>
      </c>
      <c r="B28" s="24">
        <v>2024</v>
      </c>
      <c r="C28" s="24" t="s">
        <v>375</v>
      </c>
      <c r="D28" s="24" t="s">
        <v>339</v>
      </c>
      <c r="E28" s="24" t="s">
        <v>339</v>
      </c>
      <c r="F28" s="24" t="s">
        <v>339</v>
      </c>
      <c r="G28" s="24"/>
      <c r="H28" s="24">
        <v>38</v>
      </c>
      <c r="I28" s="24" t="s">
        <v>372</v>
      </c>
      <c r="J28" s="24" t="s">
        <v>64</v>
      </c>
      <c r="K28" s="24">
        <v>1.5</v>
      </c>
      <c r="L28" s="24">
        <v>355</v>
      </c>
      <c r="M28" s="24">
        <v>15</v>
      </c>
      <c r="N28" s="24">
        <v>4</v>
      </c>
      <c r="O28" s="3">
        <v>45534.665390891205</v>
      </c>
      <c r="AE28" s="9" t="s">
        <v>58</v>
      </c>
      <c r="AF28" t="s">
        <v>206</v>
      </c>
    </row>
    <row r="29" spans="1:32" x14ac:dyDescent="0.2">
      <c r="A29" s="24" t="s">
        <v>340</v>
      </c>
      <c r="B29" s="24">
        <v>2024</v>
      </c>
      <c r="C29" s="24" t="s">
        <v>375</v>
      </c>
      <c r="D29" s="24" t="s">
        <v>339</v>
      </c>
      <c r="E29" s="24" t="s">
        <v>339</v>
      </c>
      <c r="F29" s="24" t="s">
        <v>339</v>
      </c>
      <c r="G29" s="24"/>
      <c r="H29" s="24">
        <v>39</v>
      </c>
      <c r="I29" s="24" t="s">
        <v>373</v>
      </c>
      <c r="J29" s="24" t="s">
        <v>64</v>
      </c>
      <c r="K29" s="24">
        <v>1.5</v>
      </c>
      <c r="L29" s="24">
        <v>355</v>
      </c>
      <c r="M29" s="24">
        <v>15</v>
      </c>
      <c r="N29" s="24">
        <v>4</v>
      </c>
      <c r="O29" s="3">
        <v>45534.665390891205</v>
      </c>
    </row>
    <row r="30" spans="1:32" x14ac:dyDescent="0.2">
      <c r="A30" s="24" t="s">
        <v>340</v>
      </c>
      <c r="B30" s="24">
        <v>2024</v>
      </c>
      <c r="C30" s="24" t="s">
        <v>375</v>
      </c>
      <c r="D30" s="24" t="s">
        <v>339</v>
      </c>
      <c r="E30" s="24" t="s">
        <v>339</v>
      </c>
      <c r="F30" s="24" t="s">
        <v>339</v>
      </c>
      <c r="G30" s="24"/>
      <c r="H30" s="24">
        <v>40</v>
      </c>
      <c r="I30" s="24" t="s">
        <v>374</v>
      </c>
      <c r="J30" s="24" t="s">
        <v>376</v>
      </c>
      <c r="K30" s="24">
        <v>15</v>
      </c>
      <c r="L30" s="24">
        <v>355</v>
      </c>
      <c r="M30" s="24">
        <v>15</v>
      </c>
      <c r="N30" s="24">
        <v>4</v>
      </c>
      <c r="O30" s="3">
        <v>45534.665390891205</v>
      </c>
    </row>
    <row r="31" spans="1:32" x14ac:dyDescent="0.2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43"/>
    </row>
    <row r="32" spans="1:32" x14ac:dyDescent="0.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7" t="s">
        <v>355</v>
      </c>
      <c r="O32" s="43"/>
    </row>
    <row r="33" spans="1:15" x14ac:dyDescent="0.2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36" t="s">
        <v>359</v>
      </c>
      <c r="O33" s="43"/>
    </row>
    <row r="34" spans="1:15" x14ac:dyDescent="0.2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36" t="s">
        <v>360</v>
      </c>
      <c r="O34" s="43"/>
    </row>
    <row r="35" spans="1:15" x14ac:dyDescent="0.2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36" t="s">
        <v>361</v>
      </c>
      <c r="O35" s="43"/>
    </row>
    <row r="36" spans="1:15" x14ac:dyDescent="0.2">
      <c r="A36" s="24"/>
      <c r="B36" s="24"/>
      <c r="C36" s="24"/>
      <c r="D36" s="24"/>
      <c r="E36" s="24"/>
      <c r="F36" s="24"/>
      <c r="G36" s="24"/>
      <c r="H36" s="24"/>
      <c r="I36" s="24"/>
      <c r="J36" s="24"/>
      <c r="O36" s="43"/>
    </row>
    <row r="37" spans="1:15" x14ac:dyDescent="0.2">
      <c r="A37" s="24"/>
      <c r="B37" s="24"/>
      <c r="C37" s="24"/>
      <c r="D37" s="24"/>
      <c r="E37" s="24"/>
      <c r="F37" s="24"/>
      <c r="G37" s="24"/>
      <c r="H37" s="24"/>
      <c r="I37" s="24"/>
      <c r="J37" s="24"/>
      <c r="L37" s="36" t="s">
        <v>353</v>
      </c>
      <c r="O37" s="43"/>
    </row>
    <row r="38" spans="1:15" x14ac:dyDescent="0.2">
      <c r="A38" s="24"/>
      <c r="B38" s="24"/>
      <c r="C38" s="24"/>
      <c r="D38" s="24"/>
      <c r="E38" s="24"/>
      <c r="F38" s="24"/>
      <c r="G38" s="24"/>
      <c r="H38" s="24"/>
      <c r="I38" s="24"/>
      <c r="J38" s="24"/>
      <c r="M38" s="36" t="s">
        <v>350</v>
      </c>
      <c r="O38" s="43"/>
    </row>
    <row r="39" spans="1:15" x14ac:dyDescent="0.2">
      <c r="A39" s="24"/>
      <c r="B39" s="24"/>
      <c r="C39" s="24"/>
      <c r="D39" s="24"/>
      <c r="E39" s="24"/>
      <c r="F39" s="24"/>
      <c r="G39" s="24"/>
      <c r="H39" s="24"/>
      <c r="I39" s="24"/>
      <c r="J39" s="24"/>
      <c r="O39" s="43"/>
    </row>
    <row r="40" spans="1:15" x14ac:dyDescent="0.2">
      <c r="A40" s="24" t="s">
        <v>45</v>
      </c>
      <c r="B40" s="24" t="s">
        <v>46</v>
      </c>
      <c r="C40" s="24" t="s">
        <v>47</v>
      </c>
      <c r="D40" s="24" t="s">
        <v>48</v>
      </c>
      <c r="E40" s="24" t="s">
        <v>49</v>
      </c>
      <c r="F40" s="24" t="s">
        <v>50</v>
      </c>
      <c r="G40" s="24" t="s">
        <v>51</v>
      </c>
      <c r="H40" s="24" t="s">
        <v>52</v>
      </c>
      <c r="I40" s="24" t="s">
        <v>53</v>
      </c>
      <c r="J40" s="24" t="s">
        <v>54</v>
      </c>
      <c r="K40" t="s">
        <v>55</v>
      </c>
      <c r="L40" t="s">
        <v>56</v>
      </c>
      <c r="M40" t="s">
        <v>57</v>
      </c>
      <c r="N40" t="s">
        <v>58</v>
      </c>
      <c r="O40" s="43" t="s">
        <v>59</v>
      </c>
    </row>
    <row r="41" spans="1:15" x14ac:dyDescent="0.2">
      <c r="A41" s="24" t="s">
        <v>380</v>
      </c>
      <c r="B41" s="24">
        <v>1999</v>
      </c>
      <c r="C41" s="24" t="s">
        <v>486</v>
      </c>
      <c r="D41" s="24" t="s">
        <v>379</v>
      </c>
      <c r="E41" s="24" t="s">
        <v>487</v>
      </c>
      <c r="F41" s="24" t="s">
        <v>487</v>
      </c>
      <c r="G41" s="24"/>
      <c r="H41" s="24">
        <v>17</v>
      </c>
      <c r="I41" s="24" t="s">
        <v>385</v>
      </c>
      <c r="J41" s="24" t="s">
        <v>61</v>
      </c>
      <c r="K41" s="24">
        <v>10</v>
      </c>
      <c r="L41" s="24">
        <v>100</v>
      </c>
      <c r="M41" s="24">
        <v>10</v>
      </c>
      <c r="N41" s="24">
        <v>4</v>
      </c>
      <c r="O41" s="43">
        <v>45629.663627546295</v>
      </c>
    </row>
    <row r="42" spans="1:15" x14ac:dyDescent="0.2">
      <c r="A42" s="24" t="s">
        <v>380</v>
      </c>
      <c r="B42" s="24">
        <v>1999</v>
      </c>
      <c r="C42" s="24" t="s">
        <v>486</v>
      </c>
      <c r="D42" s="24" t="s">
        <v>379</v>
      </c>
      <c r="E42" s="24" t="s">
        <v>487</v>
      </c>
      <c r="F42" s="24" t="s">
        <v>487</v>
      </c>
      <c r="G42" s="24"/>
      <c r="H42" s="24">
        <v>18</v>
      </c>
      <c r="I42" s="24" t="s">
        <v>390</v>
      </c>
      <c r="J42" s="24" t="s">
        <v>61</v>
      </c>
      <c r="K42" s="24">
        <v>10</v>
      </c>
      <c r="L42" s="24">
        <v>100</v>
      </c>
      <c r="M42" s="24">
        <v>10</v>
      </c>
      <c r="N42" s="24">
        <v>4</v>
      </c>
      <c r="O42" s="43">
        <v>45629.663631793985</v>
      </c>
    </row>
    <row r="43" spans="1:15" x14ac:dyDescent="0.2">
      <c r="A43" s="24" t="s">
        <v>380</v>
      </c>
      <c r="B43" s="24">
        <v>1999</v>
      </c>
      <c r="C43" s="24" t="s">
        <v>486</v>
      </c>
      <c r="D43" s="24" t="s">
        <v>379</v>
      </c>
      <c r="E43" s="24" t="s">
        <v>487</v>
      </c>
      <c r="F43" s="24" t="s">
        <v>487</v>
      </c>
      <c r="G43" s="24"/>
      <c r="H43" s="24">
        <v>19</v>
      </c>
      <c r="I43" s="24" t="s">
        <v>388</v>
      </c>
      <c r="J43" s="24" t="s">
        <v>61</v>
      </c>
      <c r="K43" s="24">
        <v>10</v>
      </c>
      <c r="L43" s="24">
        <v>100</v>
      </c>
      <c r="M43" s="24">
        <v>10</v>
      </c>
      <c r="N43" s="24">
        <v>4</v>
      </c>
      <c r="O43" s="43">
        <v>45629.663638310187</v>
      </c>
    </row>
    <row r="44" spans="1:15" x14ac:dyDescent="0.2">
      <c r="A44" s="24" t="s">
        <v>380</v>
      </c>
      <c r="B44" s="24">
        <v>1999</v>
      </c>
      <c r="C44" s="24" t="s">
        <v>486</v>
      </c>
      <c r="D44" s="24" t="s">
        <v>379</v>
      </c>
      <c r="E44" s="24" t="s">
        <v>487</v>
      </c>
      <c r="F44" s="24" t="s">
        <v>487</v>
      </c>
      <c r="G44" s="24"/>
      <c r="H44" s="24">
        <v>20</v>
      </c>
      <c r="I44" s="24" t="s">
        <v>387</v>
      </c>
      <c r="J44" s="24" t="s">
        <v>63</v>
      </c>
      <c r="K44" s="24">
        <v>10</v>
      </c>
      <c r="L44" s="24">
        <v>100</v>
      </c>
      <c r="M44" s="24">
        <v>10</v>
      </c>
      <c r="N44" s="24">
        <v>4</v>
      </c>
      <c r="O44" s="43">
        <v>45629.663646331021</v>
      </c>
    </row>
    <row r="45" spans="1:15" x14ac:dyDescent="0.2">
      <c r="A45" t="s">
        <v>380</v>
      </c>
      <c r="B45">
        <v>1999</v>
      </c>
      <c r="C45" t="s">
        <v>486</v>
      </c>
      <c r="D45" t="s">
        <v>379</v>
      </c>
      <c r="E45" t="s">
        <v>487</v>
      </c>
      <c r="F45" t="s">
        <v>487</v>
      </c>
      <c r="H45">
        <v>21</v>
      </c>
      <c r="I45" t="s">
        <v>392</v>
      </c>
      <c r="J45" t="s">
        <v>63</v>
      </c>
      <c r="K45">
        <v>15</v>
      </c>
      <c r="L45">
        <v>100</v>
      </c>
      <c r="M45">
        <v>15</v>
      </c>
      <c r="N45">
        <v>4</v>
      </c>
      <c r="O45" s="3">
        <v>45629.663655243057</v>
      </c>
    </row>
    <row r="46" spans="1:15" x14ac:dyDescent="0.2">
      <c r="A46" t="s">
        <v>380</v>
      </c>
      <c r="B46">
        <v>1999</v>
      </c>
      <c r="C46" t="s">
        <v>486</v>
      </c>
      <c r="D46" t="s">
        <v>379</v>
      </c>
      <c r="E46" t="s">
        <v>487</v>
      </c>
      <c r="F46" t="s">
        <v>487</v>
      </c>
      <c r="H46">
        <v>22</v>
      </c>
      <c r="I46" t="s">
        <v>393</v>
      </c>
      <c r="J46" t="s">
        <v>63</v>
      </c>
      <c r="K46">
        <v>15</v>
      </c>
      <c r="L46">
        <v>100</v>
      </c>
      <c r="M46">
        <v>15</v>
      </c>
      <c r="N46">
        <v>4</v>
      </c>
      <c r="O46" s="3">
        <v>45629.66365829861</v>
      </c>
    </row>
    <row r="47" spans="1:15" x14ac:dyDescent="0.2">
      <c r="A47" t="s">
        <v>380</v>
      </c>
      <c r="B47">
        <v>1999</v>
      </c>
      <c r="C47" t="s">
        <v>486</v>
      </c>
      <c r="D47" t="s">
        <v>379</v>
      </c>
      <c r="E47" t="s">
        <v>487</v>
      </c>
      <c r="F47" t="s">
        <v>487</v>
      </c>
      <c r="H47">
        <v>23</v>
      </c>
      <c r="I47" t="s">
        <v>394</v>
      </c>
      <c r="J47" t="s">
        <v>62</v>
      </c>
      <c r="K47">
        <v>10</v>
      </c>
      <c r="L47">
        <v>100</v>
      </c>
      <c r="M47">
        <v>10</v>
      </c>
      <c r="N47">
        <v>4</v>
      </c>
      <c r="O47" s="3">
        <v>45629.663660879633</v>
      </c>
    </row>
    <row r="48" spans="1:15" x14ac:dyDescent="0.2">
      <c r="A48" t="s">
        <v>380</v>
      </c>
      <c r="B48">
        <v>1999</v>
      </c>
      <c r="C48" t="s">
        <v>486</v>
      </c>
      <c r="D48" t="s">
        <v>379</v>
      </c>
      <c r="E48" t="s">
        <v>487</v>
      </c>
      <c r="F48" t="s">
        <v>487</v>
      </c>
      <c r="H48">
        <v>24</v>
      </c>
      <c r="I48" t="s">
        <v>391</v>
      </c>
      <c r="J48" t="s">
        <v>64</v>
      </c>
      <c r="K48">
        <v>10</v>
      </c>
      <c r="L48">
        <v>100</v>
      </c>
      <c r="M48">
        <v>10</v>
      </c>
      <c r="N48">
        <v>4</v>
      </c>
      <c r="O48" s="3">
        <v>45629.663665740743</v>
      </c>
    </row>
    <row r="49" spans="1:15" x14ac:dyDescent="0.2">
      <c r="A49" t="s">
        <v>380</v>
      </c>
      <c r="B49">
        <v>1999</v>
      </c>
      <c r="C49" t="s">
        <v>486</v>
      </c>
      <c r="D49" t="s">
        <v>379</v>
      </c>
      <c r="E49" t="s">
        <v>487</v>
      </c>
      <c r="F49" t="s">
        <v>487</v>
      </c>
      <c r="H49">
        <v>25</v>
      </c>
      <c r="I49" t="s">
        <v>386</v>
      </c>
      <c r="J49" t="s">
        <v>64</v>
      </c>
      <c r="K49">
        <v>5</v>
      </c>
      <c r="L49">
        <v>100</v>
      </c>
      <c r="M49">
        <v>5</v>
      </c>
      <c r="N49">
        <v>4</v>
      </c>
      <c r="O49" s="3">
        <v>45629.663670138892</v>
      </c>
    </row>
    <row r="50" spans="1:15" x14ac:dyDescent="0.2">
      <c r="A50" t="s">
        <v>380</v>
      </c>
      <c r="B50">
        <v>1999</v>
      </c>
      <c r="C50" t="s">
        <v>486</v>
      </c>
      <c r="D50" t="s">
        <v>379</v>
      </c>
      <c r="E50" t="s">
        <v>487</v>
      </c>
      <c r="F50" t="s">
        <v>487</v>
      </c>
      <c r="H50">
        <v>26</v>
      </c>
      <c r="I50" t="s">
        <v>389</v>
      </c>
      <c r="J50" t="s">
        <v>64</v>
      </c>
      <c r="K50">
        <v>5</v>
      </c>
      <c r="L50">
        <v>100</v>
      </c>
      <c r="M50">
        <v>5</v>
      </c>
      <c r="N50">
        <v>4</v>
      </c>
      <c r="O50" s="3">
        <v>45629.663673148149</v>
      </c>
    </row>
  </sheetData>
  <pageMargins left="0.7" right="0.7" top="0.75" bottom="0.75" header="0.3" footer="0.3"/>
  <pageSetup orientation="portrait" r:id="rId1"/>
  <headerFooter>
    <oddFooter>&amp;C_x000D_&amp;1#&amp;"Calibri"&amp;9&amp;K000000 Classified - Internal Use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85ECA-F8C6-4A7B-AE93-F13EBFA5A59F}">
  <dimension ref="A1:E36"/>
  <sheetViews>
    <sheetView zoomScaleNormal="100" workbookViewId="0">
      <selection activeCell="A9" sqref="A9"/>
    </sheetView>
  </sheetViews>
  <sheetFormatPr defaultRowHeight="15" x14ac:dyDescent="0.2"/>
  <cols>
    <col min="1" max="1" width="6.58984375" style="27" customWidth="1"/>
  </cols>
  <sheetData>
    <row r="1" spans="1:5" x14ac:dyDescent="0.2">
      <c r="A1" s="29" t="s">
        <v>351</v>
      </c>
      <c r="B1" s="4"/>
      <c r="C1" s="4"/>
      <c r="D1" s="4"/>
    </row>
    <row r="2" spans="1:5" x14ac:dyDescent="0.2">
      <c r="A2" s="28" t="s">
        <v>349</v>
      </c>
    </row>
    <row r="3" spans="1:5" x14ac:dyDescent="0.2">
      <c r="A3" s="30" t="s">
        <v>350</v>
      </c>
    </row>
    <row r="4" spans="1:5" x14ac:dyDescent="0.2">
      <c r="A4" s="31" t="s">
        <v>205</v>
      </c>
    </row>
    <row r="5" spans="1:5" x14ac:dyDescent="0.2">
      <c r="A5" s="28" t="s">
        <v>352</v>
      </c>
    </row>
    <row r="6" spans="1:5" x14ac:dyDescent="0.2">
      <c r="A6" s="30" t="s">
        <v>353</v>
      </c>
    </row>
    <row r="7" spans="1:5" x14ac:dyDescent="0.2">
      <c r="A7" s="32" t="s">
        <v>222</v>
      </c>
    </row>
    <row r="8" spans="1:5" x14ac:dyDescent="0.2">
      <c r="A8" s="28" t="s">
        <v>354</v>
      </c>
    </row>
    <row r="9" spans="1:5" x14ac:dyDescent="0.2">
      <c r="A9" s="30" t="s">
        <v>355</v>
      </c>
    </row>
    <row r="10" spans="1:5" x14ac:dyDescent="0.2">
      <c r="A10" s="30" t="s">
        <v>359</v>
      </c>
    </row>
    <row r="11" spans="1:5" x14ac:dyDescent="0.2">
      <c r="A11" s="30" t="s">
        <v>360</v>
      </c>
    </row>
    <row r="12" spans="1:5" x14ac:dyDescent="0.2">
      <c r="A12" s="30" t="s">
        <v>361</v>
      </c>
    </row>
    <row r="13" spans="1:5" x14ac:dyDescent="0.2">
      <c r="A13" s="30"/>
    </row>
    <row r="14" spans="1:5" x14ac:dyDescent="0.2">
      <c r="A14" s="33" t="s">
        <v>356</v>
      </c>
      <c r="B14" s="33"/>
      <c r="C14" s="33"/>
      <c r="D14" s="33"/>
      <c r="E14" s="33"/>
    </row>
    <row r="15" spans="1:5" x14ac:dyDescent="0.2">
      <c r="A15" s="34" t="s">
        <v>203</v>
      </c>
      <c r="B15" s="33"/>
      <c r="C15" s="33"/>
      <c r="D15" s="33"/>
      <c r="E15" s="33"/>
    </row>
    <row r="16" spans="1:5" x14ac:dyDescent="0.2">
      <c r="A16" s="33" t="s">
        <v>161</v>
      </c>
      <c r="B16" s="33"/>
      <c r="C16" s="33"/>
      <c r="D16" s="33"/>
      <c r="E16" s="33"/>
    </row>
    <row r="17" spans="1:5" x14ac:dyDescent="0.2">
      <c r="A17" s="31"/>
      <c r="B17" s="33" t="s">
        <v>357</v>
      </c>
      <c r="C17" s="33"/>
      <c r="D17" s="33"/>
      <c r="E17" s="33"/>
    </row>
    <row r="18" spans="1:5" x14ac:dyDescent="0.2">
      <c r="A18" s="33"/>
      <c r="B18" s="35" t="s">
        <v>194</v>
      </c>
      <c r="C18" s="33"/>
      <c r="D18" s="33"/>
      <c r="E18" s="33"/>
    </row>
    <row r="19" spans="1:5" x14ac:dyDescent="0.2">
      <c r="A19" s="33"/>
      <c r="B19" s="35" t="s">
        <v>195</v>
      </c>
      <c r="C19" s="33"/>
      <c r="D19" s="33"/>
      <c r="E19" s="33"/>
    </row>
    <row r="20" spans="1:5" x14ac:dyDescent="0.2">
      <c r="A20" s="34" t="s">
        <v>204</v>
      </c>
      <c r="B20" s="33"/>
      <c r="C20" s="33"/>
      <c r="D20" s="33"/>
      <c r="E20" s="33"/>
    </row>
    <row r="21" spans="1:5" x14ac:dyDescent="0.2">
      <c r="A21" s="33" t="s">
        <v>170</v>
      </c>
      <c r="B21" s="33"/>
      <c r="C21" s="33"/>
      <c r="D21" s="33"/>
      <c r="E21" s="33"/>
    </row>
    <row r="22" spans="1:5" x14ac:dyDescent="0.2">
      <c r="A22" s="33" t="s">
        <v>358</v>
      </c>
      <c r="B22" s="33"/>
      <c r="C22" s="33"/>
      <c r="D22" s="33"/>
      <c r="E22" s="33"/>
    </row>
    <row r="23" spans="1:5" x14ac:dyDescent="0.2">
      <c r="A23" s="33" t="s">
        <v>174</v>
      </c>
      <c r="B23" s="33"/>
      <c r="C23" s="33"/>
      <c r="D23" s="33"/>
      <c r="E23" s="33"/>
    </row>
    <row r="24" spans="1:5" x14ac:dyDescent="0.2">
      <c r="A24" s="33" t="s">
        <v>202</v>
      </c>
      <c r="B24" s="33"/>
      <c r="C24" s="33"/>
      <c r="D24" s="33"/>
      <c r="E24" s="33"/>
    </row>
    <row r="25" spans="1:5" x14ac:dyDescent="0.2">
      <c r="A25" s="11"/>
    </row>
    <row r="26" spans="1:5" x14ac:dyDescent="0.2">
      <c r="A26" s="11"/>
    </row>
    <row r="27" spans="1:5" x14ac:dyDescent="0.2">
      <c r="A27"/>
    </row>
    <row r="30" spans="1:5" x14ac:dyDescent="0.2">
      <c r="B30" s="6"/>
    </row>
    <row r="32" spans="1:5" x14ac:dyDescent="0.2">
      <c r="B32" s="6"/>
    </row>
    <row r="33" spans="2:2" x14ac:dyDescent="0.2">
      <c r="B33" s="7"/>
    </row>
    <row r="36" spans="2:2" x14ac:dyDescent="0.2">
      <c r="B36" s="6"/>
    </row>
  </sheetData>
  <pageMargins left="0.7" right="0.7" top="0.75" bottom="0.75" header="0.3" footer="0.3"/>
  <pageSetup orientation="portrait" r:id="rId1"/>
  <headerFooter>
    <oddFooter>&amp;C_x000D_&amp;1#&amp;"Calibri"&amp;9&amp;K000000 Classified - Internal Use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B9051-CB1A-44EE-B5E6-75F982D8FC69}">
  <dimension ref="A1:AY59"/>
  <sheetViews>
    <sheetView topLeftCell="L1" zoomScale="40" zoomScaleNormal="40" workbookViewId="0">
      <selection activeCell="A40" sqref="A40:AM50"/>
    </sheetView>
  </sheetViews>
  <sheetFormatPr defaultRowHeight="15" x14ac:dyDescent="0.2"/>
  <cols>
    <col min="10" max="10" width="13.98828125" bestFit="1" customWidth="1"/>
    <col min="13" max="13" width="16.54296875" bestFit="1" customWidth="1"/>
    <col min="25" max="25" width="14.796875" customWidth="1"/>
    <col min="26" max="26" width="8.875" customWidth="1"/>
    <col min="27" max="27" width="14.2578125" bestFit="1" customWidth="1"/>
    <col min="28" max="28" width="15.33203125" bestFit="1" customWidth="1"/>
    <col min="29" max="29" width="20.84765625" bestFit="1" customWidth="1"/>
    <col min="30" max="30" width="18.83203125" bestFit="1" customWidth="1"/>
    <col min="31" max="31" width="9.68359375" bestFit="1" customWidth="1"/>
    <col min="32" max="32" width="13.046875" bestFit="1" customWidth="1"/>
    <col min="33" max="33" width="13.98828125" bestFit="1" customWidth="1"/>
    <col min="34" max="34" width="13.046875" bestFit="1" customWidth="1"/>
    <col min="35" max="35" width="17.3515625" bestFit="1" customWidth="1"/>
    <col min="36" max="36" width="10.4921875" bestFit="1" customWidth="1"/>
    <col min="37" max="37" width="14.796875" bestFit="1" customWidth="1"/>
    <col min="38" max="38" width="17.890625" bestFit="1" customWidth="1"/>
    <col min="39" max="39" width="22.05859375" customWidth="1"/>
    <col min="49" max="49" width="49.234375" bestFit="1" customWidth="1"/>
    <col min="50" max="50" width="8.875" customWidth="1"/>
  </cols>
  <sheetData>
    <row r="1" spans="1:51" x14ac:dyDescent="0.2">
      <c r="A1" t="s">
        <v>2</v>
      </c>
      <c r="B1" t="s">
        <v>0</v>
      </c>
      <c r="C1" t="s">
        <v>1</v>
      </c>
      <c r="D1" t="s">
        <v>41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42</v>
      </c>
      <c r="AC1" t="s">
        <v>43</v>
      </c>
      <c r="AD1" t="s">
        <v>44</v>
      </c>
      <c r="AE1" s="8" t="s">
        <v>65</v>
      </c>
      <c r="AF1" t="s">
        <v>66</v>
      </c>
      <c r="AG1" t="s">
        <v>67</v>
      </c>
      <c r="AH1" t="s">
        <v>68</v>
      </c>
      <c r="AI1" s="2" t="s">
        <v>69</v>
      </c>
      <c r="AJ1" t="s">
        <v>70</v>
      </c>
      <c r="AK1" s="9" t="s">
        <v>71</v>
      </c>
      <c r="AL1" s="13" t="s">
        <v>72</v>
      </c>
      <c r="AM1" s="14" t="s">
        <v>73</v>
      </c>
      <c r="AP1" s="10" t="s">
        <v>220</v>
      </c>
      <c r="AQ1" t="s">
        <v>231</v>
      </c>
      <c r="AW1" s="8" t="s">
        <v>65</v>
      </c>
      <c r="AX1" t="s">
        <v>233</v>
      </c>
    </row>
    <row r="2" spans="1:51" x14ac:dyDescent="0.2">
      <c r="A2" t="s">
        <v>27</v>
      </c>
      <c r="B2" t="s">
        <v>26</v>
      </c>
      <c r="D2" t="s">
        <v>26</v>
      </c>
      <c r="E2">
        <v>2021</v>
      </c>
      <c r="F2">
        <v>1</v>
      </c>
      <c r="G2" t="s">
        <v>28</v>
      </c>
      <c r="H2">
        <v>123</v>
      </c>
      <c r="I2">
        <v>123</v>
      </c>
      <c r="J2" s="1">
        <v>44414.390844907408</v>
      </c>
      <c r="K2" t="s">
        <v>29</v>
      </c>
      <c r="L2" t="s">
        <v>26</v>
      </c>
      <c r="M2" t="s">
        <v>30</v>
      </c>
      <c r="P2" t="s">
        <v>31</v>
      </c>
      <c r="Q2" t="s">
        <v>31</v>
      </c>
      <c r="R2" t="s">
        <v>32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>
        <v>25</v>
      </c>
      <c r="Y2" t="s">
        <v>36</v>
      </c>
      <c r="Z2" s="6">
        <v>4</v>
      </c>
      <c r="AA2" s="37">
        <v>4</v>
      </c>
      <c r="AB2" s="6">
        <v>4</v>
      </c>
      <c r="AC2" s="6">
        <v>4</v>
      </c>
      <c r="AD2" s="37">
        <v>4</v>
      </c>
      <c r="AE2" s="6">
        <v>1</v>
      </c>
      <c r="AF2" s="6">
        <v>2021</v>
      </c>
      <c r="AG2" s="6" t="s">
        <v>64</v>
      </c>
      <c r="AH2" s="6">
        <v>5</v>
      </c>
      <c r="AI2" s="6">
        <v>100</v>
      </c>
      <c r="AJ2" s="6">
        <v>5</v>
      </c>
      <c r="AK2" s="6">
        <v>100</v>
      </c>
      <c r="AL2" s="6">
        <v>5</v>
      </c>
      <c r="AM2" s="6">
        <v>100</v>
      </c>
      <c r="AW2" s="6" t="s">
        <v>249</v>
      </c>
    </row>
    <row r="3" spans="1:51" x14ac:dyDescent="0.2">
      <c r="A3" t="s">
        <v>27</v>
      </c>
      <c r="B3" t="s">
        <v>26</v>
      </c>
      <c r="D3" t="s">
        <v>26</v>
      </c>
      <c r="E3">
        <v>2021</v>
      </c>
      <c r="F3">
        <v>1</v>
      </c>
      <c r="G3" t="s">
        <v>28</v>
      </c>
      <c r="H3">
        <v>123</v>
      </c>
      <c r="I3">
        <v>123</v>
      </c>
      <c r="J3" s="1">
        <v>44414.390844907408</v>
      </c>
      <c r="K3" t="s">
        <v>29</v>
      </c>
      <c r="L3" t="s">
        <v>26</v>
      </c>
      <c r="M3" t="s">
        <v>30</v>
      </c>
      <c r="P3" t="s">
        <v>31</v>
      </c>
      <c r="Q3" t="s">
        <v>31</v>
      </c>
      <c r="R3" t="s">
        <v>32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>
        <v>22</v>
      </c>
      <c r="Y3" t="s">
        <v>33</v>
      </c>
      <c r="Z3">
        <v>4</v>
      </c>
      <c r="AA3">
        <v>4</v>
      </c>
      <c r="AB3">
        <v>4</v>
      </c>
      <c r="AC3">
        <v>4</v>
      </c>
      <c r="AD3">
        <v>4</v>
      </c>
      <c r="AE3">
        <v>1</v>
      </c>
      <c r="AF3">
        <v>2021</v>
      </c>
      <c r="AG3" t="s">
        <v>61</v>
      </c>
      <c r="AH3">
        <v>15</v>
      </c>
      <c r="AI3">
        <v>100</v>
      </c>
      <c r="AJ3">
        <v>15</v>
      </c>
      <c r="AK3">
        <v>100</v>
      </c>
      <c r="AL3">
        <v>15</v>
      </c>
      <c r="AM3">
        <v>100</v>
      </c>
      <c r="AP3" s="10" t="s">
        <v>219</v>
      </c>
      <c r="AQ3" t="s">
        <v>232</v>
      </c>
      <c r="AW3" s="6" t="s">
        <v>250</v>
      </c>
    </row>
    <row r="4" spans="1:51" x14ac:dyDescent="0.2">
      <c r="A4" t="s">
        <v>27</v>
      </c>
      <c r="B4" t="s">
        <v>26</v>
      </c>
      <c r="D4" t="s">
        <v>26</v>
      </c>
      <c r="E4">
        <v>2021</v>
      </c>
      <c r="F4">
        <v>1</v>
      </c>
      <c r="G4" t="s">
        <v>28</v>
      </c>
      <c r="H4">
        <v>123</v>
      </c>
      <c r="I4">
        <v>123</v>
      </c>
      <c r="J4" s="1">
        <v>44414.390844907408</v>
      </c>
      <c r="K4" t="s">
        <v>29</v>
      </c>
      <c r="L4" t="s">
        <v>26</v>
      </c>
      <c r="M4" t="s">
        <v>30</v>
      </c>
      <c r="P4" t="s">
        <v>31</v>
      </c>
      <c r="Q4" t="s">
        <v>31</v>
      </c>
      <c r="R4" t="s">
        <v>32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>
        <v>24</v>
      </c>
      <c r="Y4" t="s">
        <v>35</v>
      </c>
      <c r="Z4">
        <v>3</v>
      </c>
      <c r="AA4">
        <v>3</v>
      </c>
      <c r="AB4">
        <v>3</v>
      </c>
      <c r="AC4">
        <v>3</v>
      </c>
      <c r="AD4">
        <v>4</v>
      </c>
      <c r="AE4">
        <v>0.75</v>
      </c>
      <c r="AF4">
        <v>2021</v>
      </c>
      <c r="AG4" t="s">
        <v>63</v>
      </c>
      <c r="AH4">
        <v>30</v>
      </c>
      <c r="AI4">
        <v>100</v>
      </c>
      <c r="AJ4">
        <v>30</v>
      </c>
      <c r="AK4">
        <v>100</v>
      </c>
      <c r="AL4">
        <v>30</v>
      </c>
      <c r="AM4">
        <v>100</v>
      </c>
    </row>
    <row r="5" spans="1:51" x14ac:dyDescent="0.2">
      <c r="A5" t="s">
        <v>27</v>
      </c>
      <c r="B5" t="s">
        <v>26</v>
      </c>
      <c r="D5" t="s">
        <v>26</v>
      </c>
      <c r="E5">
        <v>2021</v>
      </c>
      <c r="F5">
        <v>1</v>
      </c>
      <c r="G5" t="s">
        <v>28</v>
      </c>
      <c r="H5">
        <v>123</v>
      </c>
      <c r="I5">
        <v>123</v>
      </c>
      <c r="J5" s="1">
        <v>44414.390844907408</v>
      </c>
      <c r="K5" t="s">
        <v>29</v>
      </c>
      <c r="L5" t="s">
        <v>26</v>
      </c>
      <c r="M5" t="s">
        <v>30</v>
      </c>
      <c r="P5" t="s">
        <v>31</v>
      </c>
      <c r="Q5" t="s">
        <v>31</v>
      </c>
      <c r="R5" t="s">
        <v>32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>
        <v>26</v>
      </c>
      <c r="Y5" t="s">
        <v>37</v>
      </c>
      <c r="Z5">
        <v>3</v>
      </c>
      <c r="AA5">
        <v>3</v>
      </c>
      <c r="AB5">
        <v>3</v>
      </c>
      <c r="AC5">
        <v>3</v>
      </c>
      <c r="AD5">
        <v>4</v>
      </c>
      <c r="AE5">
        <v>0.75</v>
      </c>
      <c r="AF5">
        <v>2021</v>
      </c>
      <c r="AG5" t="s">
        <v>64</v>
      </c>
      <c r="AH5">
        <v>5</v>
      </c>
      <c r="AI5">
        <v>100</v>
      </c>
      <c r="AJ5">
        <v>5</v>
      </c>
      <c r="AK5">
        <v>100</v>
      </c>
      <c r="AL5">
        <v>5</v>
      </c>
      <c r="AM5">
        <v>100</v>
      </c>
      <c r="AW5" s="2" t="s">
        <v>69</v>
      </c>
      <c r="AX5" t="s">
        <v>234</v>
      </c>
    </row>
    <row r="6" spans="1:51" x14ac:dyDescent="0.2">
      <c r="A6" t="s">
        <v>27</v>
      </c>
      <c r="B6" t="s">
        <v>26</v>
      </c>
      <c r="D6" t="s">
        <v>26</v>
      </c>
      <c r="E6">
        <v>2021</v>
      </c>
      <c r="F6">
        <v>1</v>
      </c>
      <c r="G6" t="s">
        <v>28</v>
      </c>
      <c r="H6">
        <v>123</v>
      </c>
      <c r="I6">
        <v>123</v>
      </c>
      <c r="J6" s="1">
        <v>44414.390844907408</v>
      </c>
      <c r="K6" t="s">
        <v>29</v>
      </c>
      <c r="L6" t="s">
        <v>26</v>
      </c>
      <c r="M6" t="s">
        <v>30</v>
      </c>
      <c r="P6" t="s">
        <v>31</v>
      </c>
      <c r="Q6" t="s">
        <v>31</v>
      </c>
      <c r="R6" t="s">
        <v>32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>
        <v>23</v>
      </c>
      <c r="Y6" t="s">
        <v>34</v>
      </c>
      <c r="Z6">
        <v>3</v>
      </c>
      <c r="AA6">
        <v>3</v>
      </c>
      <c r="AB6">
        <v>3</v>
      </c>
      <c r="AC6">
        <v>3</v>
      </c>
      <c r="AD6">
        <v>4</v>
      </c>
      <c r="AE6">
        <v>0.75</v>
      </c>
      <c r="AF6">
        <v>2021</v>
      </c>
      <c r="AG6" t="s">
        <v>61</v>
      </c>
      <c r="AH6">
        <v>15</v>
      </c>
      <c r="AI6">
        <v>100</v>
      </c>
      <c r="AJ6">
        <v>15</v>
      </c>
      <c r="AK6">
        <v>100</v>
      </c>
      <c r="AL6">
        <v>15</v>
      </c>
      <c r="AM6">
        <v>100</v>
      </c>
      <c r="AX6" t="s">
        <v>235</v>
      </c>
    </row>
    <row r="7" spans="1:51" x14ac:dyDescent="0.2">
      <c r="A7" t="s">
        <v>27</v>
      </c>
      <c r="B7" t="s">
        <v>26</v>
      </c>
      <c r="D7" t="s">
        <v>26</v>
      </c>
      <c r="E7">
        <v>2021</v>
      </c>
      <c r="F7">
        <v>1</v>
      </c>
      <c r="G7" t="s">
        <v>28</v>
      </c>
      <c r="H7">
        <v>123</v>
      </c>
      <c r="I7">
        <v>123</v>
      </c>
      <c r="J7" s="1">
        <v>44414.390844907408</v>
      </c>
      <c r="K7" t="s">
        <v>29</v>
      </c>
      <c r="L7" t="s">
        <v>26</v>
      </c>
      <c r="M7" t="s">
        <v>30</v>
      </c>
      <c r="P7" t="s">
        <v>31</v>
      </c>
      <c r="Q7" t="s">
        <v>31</v>
      </c>
      <c r="R7" t="s">
        <v>32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>
        <v>30</v>
      </c>
      <c r="Y7" t="s">
        <v>38</v>
      </c>
      <c r="Z7">
        <v>4</v>
      </c>
      <c r="AA7">
        <v>4</v>
      </c>
      <c r="AB7">
        <v>4</v>
      </c>
      <c r="AC7">
        <v>4</v>
      </c>
      <c r="AD7">
        <v>4</v>
      </c>
      <c r="AE7">
        <v>1</v>
      </c>
      <c r="AF7">
        <v>2021</v>
      </c>
      <c r="AG7" t="s">
        <v>62</v>
      </c>
      <c r="AH7">
        <v>15</v>
      </c>
      <c r="AI7">
        <v>100</v>
      </c>
      <c r="AJ7">
        <v>15</v>
      </c>
      <c r="AK7">
        <v>100</v>
      </c>
      <c r="AL7">
        <v>15</v>
      </c>
      <c r="AM7">
        <v>100</v>
      </c>
    </row>
    <row r="8" spans="1:51" x14ac:dyDescent="0.2">
      <c r="A8" t="s">
        <v>27</v>
      </c>
      <c r="B8" t="s">
        <v>26</v>
      </c>
      <c r="D8" t="s">
        <v>26</v>
      </c>
      <c r="E8">
        <v>2021</v>
      </c>
      <c r="F8">
        <v>1</v>
      </c>
      <c r="G8" t="s">
        <v>28</v>
      </c>
      <c r="H8">
        <v>123</v>
      </c>
      <c r="I8">
        <v>123</v>
      </c>
      <c r="J8" s="1">
        <v>44414.390844907408</v>
      </c>
      <c r="K8" t="s">
        <v>29</v>
      </c>
      <c r="L8" t="s">
        <v>26</v>
      </c>
      <c r="M8" t="s">
        <v>30</v>
      </c>
      <c r="P8" t="s">
        <v>31</v>
      </c>
      <c r="Q8" t="s">
        <v>31</v>
      </c>
      <c r="R8" t="s">
        <v>32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>
        <v>31</v>
      </c>
      <c r="Y8" t="s">
        <v>39</v>
      </c>
      <c r="Z8">
        <v>4</v>
      </c>
      <c r="AA8">
        <v>4</v>
      </c>
      <c r="AB8">
        <v>4</v>
      </c>
      <c r="AC8">
        <v>4</v>
      </c>
      <c r="AD8">
        <v>4</v>
      </c>
      <c r="AE8">
        <v>1</v>
      </c>
      <c r="AF8">
        <v>2021</v>
      </c>
      <c r="AG8" t="s">
        <v>62</v>
      </c>
      <c r="AH8">
        <v>15</v>
      </c>
      <c r="AI8">
        <v>100</v>
      </c>
      <c r="AJ8">
        <v>15</v>
      </c>
      <c r="AK8">
        <v>100</v>
      </c>
      <c r="AL8">
        <v>15</v>
      </c>
      <c r="AM8">
        <v>100</v>
      </c>
    </row>
    <row r="10" spans="1:51" x14ac:dyDescent="0.2">
      <c r="AE10" s="7" t="s">
        <v>420</v>
      </c>
      <c r="AL10" s="7" t="s">
        <v>421</v>
      </c>
      <c r="AM10" s="7" t="s">
        <v>422</v>
      </c>
      <c r="AW10" s="9" t="s">
        <v>71</v>
      </c>
      <c r="AX10" t="s">
        <v>236</v>
      </c>
    </row>
    <row r="11" spans="1:51" x14ac:dyDescent="0.2">
      <c r="AW11" s="6" t="s">
        <v>251</v>
      </c>
      <c r="AY11" t="s">
        <v>237</v>
      </c>
    </row>
    <row r="12" spans="1:51" x14ac:dyDescent="0.2">
      <c r="A12" t="s">
        <v>2</v>
      </c>
      <c r="B12" t="s">
        <v>0</v>
      </c>
      <c r="C12" t="s">
        <v>1</v>
      </c>
      <c r="D12" t="s">
        <v>41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  <c r="L12" t="s">
        <v>10</v>
      </c>
      <c r="M12" t="s">
        <v>11</v>
      </c>
      <c r="N12" t="s">
        <v>12</v>
      </c>
      <c r="O12" t="s">
        <v>13</v>
      </c>
      <c r="P12" t="s">
        <v>14</v>
      </c>
      <c r="Q12" t="s">
        <v>15</v>
      </c>
      <c r="R12" t="s">
        <v>16</v>
      </c>
      <c r="S12" t="s">
        <v>17</v>
      </c>
      <c r="T12" t="s">
        <v>18</v>
      </c>
      <c r="U12" t="s">
        <v>19</v>
      </c>
      <c r="V12" t="s">
        <v>20</v>
      </c>
      <c r="W12" t="s">
        <v>21</v>
      </c>
      <c r="X12" t="s">
        <v>22</v>
      </c>
      <c r="Y12" t="s">
        <v>23</v>
      </c>
      <c r="Z12" t="s">
        <v>24</v>
      </c>
      <c r="AA12" t="s">
        <v>25</v>
      </c>
      <c r="AB12" t="s">
        <v>42</v>
      </c>
      <c r="AC12" t="s">
        <v>43</v>
      </c>
      <c r="AD12" t="s">
        <v>44</v>
      </c>
      <c r="AE12" s="8" t="s">
        <v>65</v>
      </c>
      <c r="AF12" t="s">
        <v>66</v>
      </c>
      <c r="AG12" t="s">
        <v>67</v>
      </c>
      <c r="AH12" t="s">
        <v>68</v>
      </c>
      <c r="AI12" s="2" t="s">
        <v>69</v>
      </c>
      <c r="AJ12" t="s">
        <v>70</v>
      </c>
      <c r="AK12" s="9" t="s">
        <v>71</v>
      </c>
      <c r="AL12" s="13" t="s">
        <v>72</v>
      </c>
      <c r="AM12" s="14" t="s">
        <v>73</v>
      </c>
      <c r="AW12" t="s">
        <v>252</v>
      </c>
      <c r="AX12" t="s">
        <v>238</v>
      </c>
    </row>
    <row r="13" spans="1:51" x14ac:dyDescent="0.2">
      <c r="A13" t="s">
        <v>443</v>
      </c>
      <c r="B13" t="s">
        <v>339</v>
      </c>
      <c r="D13" t="s">
        <v>339</v>
      </c>
      <c r="E13">
        <v>2024</v>
      </c>
      <c r="F13">
        <v>1</v>
      </c>
      <c r="G13" t="s">
        <v>340</v>
      </c>
      <c r="H13">
        <v>4897</v>
      </c>
      <c r="I13">
        <v>4875</v>
      </c>
      <c r="J13" s="1">
        <v>45474.501493055555</v>
      </c>
      <c r="K13" t="s">
        <v>444</v>
      </c>
      <c r="L13" t="s">
        <v>445</v>
      </c>
      <c r="O13" t="s">
        <v>341</v>
      </c>
      <c r="P13" t="s">
        <v>446</v>
      </c>
      <c r="Q13" t="s">
        <v>445</v>
      </c>
      <c r="R13" t="s">
        <v>449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>
        <v>26</v>
      </c>
      <c r="Y13" t="s">
        <v>31</v>
      </c>
      <c r="Z13" t="s">
        <v>31</v>
      </c>
      <c r="AA13" s="24" t="s">
        <v>31</v>
      </c>
      <c r="AB13" s="24" t="s">
        <v>31</v>
      </c>
      <c r="AC13" s="24" t="s">
        <v>31</v>
      </c>
      <c r="AD13" s="24" t="s">
        <v>31</v>
      </c>
      <c r="AE13" s="24" t="s">
        <v>31</v>
      </c>
      <c r="AF13" s="24" t="s">
        <v>31</v>
      </c>
      <c r="AG13" s="24" t="s">
        <v>31</v>
      </c>
      <c r="AH13" s="24" t="s">
        <v>31</v>
      </c>
      <c r="AI13" s="24">
        <v>355</v>
      </c>
      <c r="AJ13" s="24" t="s">
        <v>31</v>
      </c>
      <c r="AK13" s="24">
        <v>100</v>
      </c>
      <c r="AL13" s="24" t="s">
        <v>31</v>
      </c>
      <c r="AM13" s="24" t="s">
        <v>31</v>
      </c>
      <c r="AW13" s="6" t="s">
        <v>253</v>
      </c>
      <c r="AX13" t="s">
        <v>239</v>
      </c>
    </row>
    <row r="14" spans="1:51" x14ac:dyDescent="0.2">
      <c r="A14" t="s">
        <v>443</v>
      </c>
      <c r="B14" t="s">
        <v>339</v>
      </c>
      <c r="D14" t="s">
        <v>339</v>
      </c>
      <c r="E14">
        <v>2024</v>
      </c>
      <c r="F14">
        <v>1</v>
      </c>
      <c r="G14" t="s">
        <v>340</v>
      </c>
      <c r="H14">
        <v>4897</v>
      </c>
      <c r="I14">
        <v>4875</v>
      </c>
      <c r="J14" s="1">
        <v>45474.501493055555</v>
      </c>
      <c r="K14" t="s">
        <v>444</v>
      </c>
      <c r="L14" t="s">
        <v>445</v>
      </c>
      <c r="O14" t="s">
        <v>341</v>
      </c>
      <c r="P14" t="s">
        <v>446</v>
      </c>
      <c r="Q14" t="s">
        <v>445</v>
      </c>
      <c r="R14" t="s">
        <v>449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  <c r="X14">
        <v>23</v>
      </c>
      <c r="Y14" t="s">
        <v>346</v>
      </c>
      <c r="Z14">
        <v>3</v>
      </c>
      <c r="AA14" s="8">
        <v>3</v>
      </c>
      <c r="AB14">
        <v>3</v>
      </c>
      <c r="AC14">
        <v>3</v>
      </c>
      <c r="AD14" s="8">
        <v>4</v>
      </c>
      <c r="AE14">
        <v>0.75</v>
      </c>
      <c r="AF14">
        <v>2024</v>
      </c>
      <c r="AG14" t="s">
        <v>61</v>
      </c>
      <c r="AH14">
        <v>30</v>
      </c>
      <c r="AI14">
        <v>355</v>
      </c>
      <c r="AJ14">
        <v>10</v>
      </c>
      <c r="AK14">
        <v>100</v>
      </c>
      <c r="AL14">
        <v>10</v>
      </c>
      <c r="AM14">
        <v>48</v>
      </c>
      <c r="AW14" t="s">
        <v>254</v>
      </c>
      <c r="AX14" t="s">
        <v>240</v>
      </c>
    </row>
    <row r="15" spans="1:51" x14ac:dyDescent="0.2">
      <c r="A15" t="s">
        <v>443</v>
      </c>
      <c r="B15" t="s">
        <v>339</v>
      </c>
      <c r="D15" t="s">
        <v>339</v>
      </c>
      <c r="E15">
        <v>2024</v>
      </c>
      <c r="F15">
        <v>1</v>
      </c>
      <c r="G15" t="s">
        <v>340</v>
      </c>
      <c r="H15">
        <v>4897</v>
      </c>
      <c r="I15">
        <v>4875</v>
      </c>
      <c r="J15" s="1">
        <v>45474.501493055555</v>
      </c>
      <c r="K15" t="s">
        <v>444</v>
      </c>
      <c r="L15" t="s">
        <v>445</v>
      </c>
      <c r="O15" t="s">
        <v>341</v>
      </c>
      <c r="P15" t="s">
        <v>446</v>
      </c>
      <c r="Q15" t="s">
        <v>445</v>
      </c>
      <c r="R15" t="s">
        <v>449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>
        <v>24</v>
      </c>
      <c r="Y15" t="s">
        <v>362</v>
      </c>
      <c r="Z15">
        <v>3</v>
      </c>
      <c r="AA15">
        <v>3</v>
      </c>
      <c r="AB15">
        <v>3</v>
      </c>
      <c r="AC15">
        <v>3</v>
      </c>
      <c r="AD15">
        <v>4</v>
      </c>
      <c r="AE15">
        <v>0.75</v>
      </c>
      <c r="AF15">
        <v>2024</v>
      </c>
      <c r="AG15" t="s">
        <v>61</v>
      </c>
      <c r="AH15">
        <v>30</v>
      </c>
      <c r="AI15">
        <v>355</v>
      </c>
      <c r="AJ15">
        <v>10</v>
      </c>
      <c r="AK15">
        <v>100</v>
      </c>
      <c r="AL15">
        <v>10</v>
      </c>
      <c r="AM15">
        <v>48</v>
      </c>
    </row>
    <row r="16" spans="1:51" x14ac:dyDescent="0.2">
      <c r="A16" t="s">
        <v>443</v>
      </c>
      <c r="B16" t="s">
        <v>339</v>
      </c>
      <c r="D16" t="s">
        <v>339</v>
      </c>
      <c r="E16">
        <v>2024</v>
      </c>
      <c r="F16">
        <v>1</v>
      </c>
      <c r="G16" t="s">
        <v>340</v>
      </c>
      <c r="H16">
        <v>4897</v>
      </c>
      <c r="I16">
        <v>4875</v>
      </c>
      <c r="J16" s="1">
        <v>45474.501493055555</v>
      </c>
      <c r="K16" t="s">
        <v>444</v>
      </c>
      <c r="L16" t="s">
        <v>445</v>
      </c>
      <c r="O16" t="s">
        <v>341</v>
      </c>
      <c r="P16" t="s">
        <v>446</v>
      </c>
      <c r="Q16" t="s">
        <v>445</v>
      </c>
      <c r="R16" t="s">
        <v>449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>
        <v>25</v>
      </c>
      <c r="Y16" t="s">
        <v>363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1</v>
      </c>
      <c r="AF16">
        <v>2024</v>
      </c>
      <c r="AG16" t="s">
        <v>61</v>
      </c>
      <c r="AH16">
        <v>30</v>
      </c>
      <c r="AI16">
        <v>355</v>
      </c>
      <c r="AJ16">
        <v>10</v>
      </c>
      <c r="AK16">
        <v>100</v>
      </c>
      <c r="AL16">
        <v>10</v>
      </c>
      <c r="AM16">
        <v>48</v>
      </c>
    </row>
    <row r="17" spans="1:51" x14ac:dyDescent="0.2">
      <c r="A17" t="s">
        <v>443</v>
      </c>
      <c r="B17" t="s">
        <v>339</v>
      </c>
      <c r="D17" t="s">
        <v>339</v>
      </c>
      <c r="E17">
        <v>2024</v>
      </c>
      <c r="F17">
        <v>1</v>
      </c>
      <c r="G17" t="s">
        <v>340</v>
      </c>
      <c r="H17">
        <v>4897</v>
      </c>
      <c r="I17">
        <v>4875</v>
      </c>
      <c r="J17" s="1">
        <v>45474.501493055555</v>
      </c>
      <c r="K17" t="s">
        <v>444</v>
      </c>
      <c r="L17" t="s">
        <v>445</v>
      </c>
      <c r="O17" t="s">
        <v>341</v>
      </c>
      <c r="P17" t="s">
        <v>446</v>
      </c>
      <c r="Q17" t="s">
        <v>445</v>
      </c>
      <c r="R17" t="s">
        <v>449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>
        <v>47</v>
      </c>
      <c r="Y17" t="s">
        <v>342</v>
      </c>
      <c r="Z17" t="s">
        <v>31</v>
      </c>
      <c r="AA17" t="s">
        <v>31</v>
      </c>
      <c r="AB17" t="s">
        <v>31</v>
      </c>
      <c r="AC17" t="s">
        <v>31</v>
      </c>
      <c r="AD17">
        <v>4</v>
      </c>
      <c r="AE17" t="s">
        <v>31</v>
      </c>
      <c r="AF17">
        <v>2024</v>
      </c>
      <c r="AG17" t="s">
        <v>63</v>
      </c>
      <c r="AH17">
        <v>20</v>
      </c>
      <c r="AI17">
        <v>355</v>
      </c>
      <c r="AJ17">
        <v>3.3332999999999999</v>
      </c>
      <c r="AK17">
        <v>100</v>
      </c>
      <c r="AL17" t="s">
        <v>31</v>
      </c>
      <c r="AM17" t="s">
        <v>31</v>
      </c>
      <c r="AW17" s="13" t="s">
        <v>72</v>
      </c>
      <c r="AX17" t="s">
        <v>159</v>
      </c>
    </row>
    <row r="18" spans="1:51" x14ac:dyDescent="0.2">
      <c r="A18" t="s">
        <v>443</v>
      </c>
      <c r="B18" t="s">
        <v>339</v>
      </c>
      <c r="D18" t="s">
        <v>339</v>
      </c>
      <c r="E18">
        <v>2024</v>
      </c>
      <c r="F18">
        <v>1</v>
      </c>
      <c r="G18" t="s">
        <v>340</v>
      </c>
      <c r="H18">
        <v>4897</v>
      </c>
      <c r="I18">
        <v>4875</v>
      </c>
      <c r="J18" s="1">
        <v>45474.501493055555</v>
      </c>
      <c r="K18" t="s">
        <v>444</v>
      </c>
      <c r="L18" t="s">
        <v>445</v>
      </c>
      <c r="O18" t="s">
        <v>341</v>
      </c>
      <c r="P18" t="s">
        <v>446</v>
      </c>
      <c r="Q18" t="s">
        <v>445</v>
      </c>
      <c r="R18" t="s">
        <v>449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>
        <v>27</v>
      </c>
      <c r="Y18" t="s">
        <v>364</v>
      </c>
      <c r="Z18" t="s">
        <v>31</v>
      </c>
      <c r="AA18" t="s">
        <v>31</v>
      </c>
      <c r="AB18" t="s">
        <v>31</v>
      </c>
      <c r="AC18" t="s">
        <v>31</v>
      </c>
      <c r="AD18">
        <v>4</v>
      </c>
      <c r="AE18" t="s">
        <v>31</v>
      </c>
      <c r="AF18">
        <v>2024</v>
      </c>
      <c r="AG18" t="s">
        <v>63</v>
      </c>
      <c r="AH18">
        <v>20</v>
      </c>
      <c r="AI18">
        <v>355</v>
      </c>
      <c r="AJ18">
        <v>3.3332999999999999</v>
      </c>
      <c r="AK18">
        <v>100</v>
      </c>
      <c r="AL18" t="s">
        <v>31</v>
      </c>
      <c r="AM18" t="s">
        <v>31</v>
      </c>
      <c r="AW18" s="6" t="s">
        <v>255</v>
      </c>
      <c r="AX18" t="s">
        <v>244</v>
      </c>
    </row>
    <row r="19" spans="1:51" x14ac:dyDescent="0.2">
      <c r="A19" t="s">
        <v>443</v>
      </c>
      <c r="B19" t="s">
        <v>339</v>
      </c>
      <c r="D19" t="s">
        <v>339</v>
      </c>
      <c r="E19">
        <v>2024</v>
      </c>
      <c r="F19">
        <v>1</v>
      </c>
      <c r="G19" t="s">
        <v>340</v>
      </c>
      <c r="H19">
        <v>4897</v>
      </c>
      <c r="I19">
        <v>4875</v>
      </c>
      <c r="J19" s="1">
        <v>45474.501493055555</v>
      </c>
      <c r="K19" t="s">
        <v>444</v>
      </c>
      <c r="L19" t="s">
        <v>445</v>
      </c>
      <c r="O19" t="s">
        <v>341</v>
      </c>
      <c r="P19" t="s">
        <v>446</v>
      </c>
      <c r="Q19" t="s">
        <v>445</v>
      </c>
      <c r="R19" t="s">
        <v>449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>
        <v>28</v>
      </c>
      <c r="Y19" t="s">
        <v>365</v>
      </c>
      <c r="Z19" t="s">
        <v>31</v>
      </c>
      <c r="AA19" t="s">
        <v>31</v>
      </c>
      <c r="AB19" t="s">
        <v>31</v>
      </c>
      <c r="AC19" t="s">
        <v>31</v>
      </c>
      <c r="AD19">
        <v>4</v>
      </c>
      <c r="AE19" t="s">
        <v>31</v>
      </c>
      <c r="AF19">
        <v>2024</v>
      </c>
      <c r="AG19" t="s">
        <v>63</v>
      </c>
      <c r="AH19">
        <v>20</v>
      </c>
      <c r="AI19">
        <v>355</v>
      </c>
      <c r="AJ19">
        <v>3.3332999999999999</v>
      </c>
      <c r="AK19">
        <v>100</v>
      </c>
      <c r="AL19" t="s">
        <v>31</v>
      </c>
      <c r="AM19" t="s">
        <v>31</v>
      </c>
      <c r="AW19" s="7" t="s">
        <v>256</v>
      </c>
      <c r="AX19" t="s">
        <v>243</v>
      </c>
    </row>
    <row r="20" spans="1:51" x14ac:dyDescent="0.2">
      <c r="A20" t="s">
        <v>443</v>
      </c>
      <c r="B20" t="s">
        <v>339</v>
      </c>
      <c r="D20" t="s">
        <v>339</v>
      </c>
      <c r="E20">
        <v>2024</v>
      </c>
      <c r="F20">
        <v>1</v>
      </c>
      <c r="G20" t="s">
        <v>340</v>
      </c>
      <c r="H20">
        <v>4897</v>
      </c>
      <c r="I20">
        <v>4875</v>
      </c>
      <c r="J20" s="1">
        <v>45474.501493055555</v>
      </c>
      <c r="K20" t="s">
        <v>444</v>
      </c>
      <c r="L20" t="s">
        <v>445</v>
      </c>
      <c r="O20" t="s">
        <v>341</v>
      </c>
      <c r="P20" t="s">
        <v>446</v>
      </c>
      <c r="Q20" t="s">
        <v>445</v>
      </c>
      <c r="R20" t="s">
        <v>449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  <c r="X20">
        <v>29</v>
      </c>
      <c r="Y20" t="s">
        <v>366</v>
      </c>
      <c r="Z20" t="s">
        <v>31</v>
      </c>
      <c r="AA20" t="s">
        <v>31</v>
      </c>
      <c r="AB20" t="s">
        <v>31</v>
      </c>
      <c r="AC20" t="s">
        <v>31</v>
      </c>
      <c r="AD20">
        <v>4</v>
      </c>
      <c r="AE20" t="s">
        <v>31</v>
      </c>
      <c r="AF20">
        <v>2024</v>
      </c>
      <c r="AG20" t="s">
        <v>63</v>
      </c>
      <c r="AH20">
        <v>20</v>
      </c>
      <c r="AI20">
        <v>355</v>
      </c>
      <c r="AJ20">
        <v>3.3332999999999999</v>
      </c>
      <c r="AK20">
        <v>100</v>
      </c>
      <c r="AL20" t="s">
        <v>31</v>
      </c>
      <c r="AM20" t="s">
        <v>31</v>
      </c>
      <c r="AW20" s="6" t="s">
        <v>257</v>
      </c>
      <c r="AX20" t="s">
        <v>242</v>
      </c>
    </row>
    <row r="21" spans="1:51" x14ac:dyDescent="0.2">
      <c r="A21" t="s">
        <v>443</v>
      </c>
      <c r="B21" t="s">
        <v>339</v>
      </c>
      <c r="D21" t="s">
        <v>339</v>
      </c>
      <c r="E21">
        <v>2024</v>
      </c>
      <c r="F21">
        <v>1</v>
      </c>
      <c r="G21" t="s">
        <v>340</v>
      </c>
      <c r="H21">
        <v>4897</v>
      </c>
      <c r="I21">
        <v>4875</v>
      </c>
      <c r="J21" s="1">
        <v>45474.501493055555</v>
      </c>
      <c r="K21" t="s">
        <v>444</v>
      </c>
      <c r="L21" t="s">
        <v>445</v>
      </c>
      <c r="O21" t="s">
        <v>341</v>
      </c>
      <c r="P21" t="s">
        <v>446</v>
      </c>
      <c r="Q21" t="s">
        <v>445</v>
      </c>
      <c r="R21" t="s">
        <v>449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  <c r="X21">
        <v>30</v>
      </c>
      <c r="Y21" t="s">
        <v>377</v>
      </c>
      <c r="Z21" t="s">
        <v>31</v>
      </c>
      <c r="AA21" t="s">
        <v>31</v>
      </c>
      <c r="AB21" t="s">
        <v>31</v>
      </c>
      <c r="AC21" t="s">
        <v>31</v>
      </c>
      <c r="AD21">
        <v>4</v>
      </c>
      <c r="AE21" t="s">
        <v>31</v>
      </c>
      <c r="AF21">
        <v>2024</v>
      </c>
      <c r="AG21" t="s">
        <v>63</v>
      </c>
      <c r="AH21">
        <v>20</v>
      </c>
      <c r="AI21">
        <v>355</v>
      </c>
      <c r="AJ21">
        <v>3.3332999999999999</v>
      </c>
      <c r="AK21">
        <v>100</v>
      </c>
      <c r="AL21" t="s">
        <v>31</v>
      </c>
      <c r="AM21" t="s">
        <v>31</v>
      </c>
      <c r="AW21" s="7" t="s">
        <v>258</v>
      </c>
    </row>
    <row r="22" spans="1:51" x14ac:dyDescent="0.2">
      <c r="A22" t="s">
        <v>443</v>
      </c>
      <c r="B22" t="s">
        <v>339</v>
      </c>
      <c r="D22" t="s">
        <v>339</v>
      </c>
      <c r="E22">
        <v>2024</v>
      </c>
      <c r="F22">
        <v>1</v>
      </c>
      <c r="G22" t="s">
        <v>340</v>
      </c>
      <c r="H22">
        <v>4897</v>
      </c>
      <c r="I22">
        <v>4875</v>
      </c>
      <c r="J22" s="1">
        <v>45474.501493055555</v>
      </c>
      <c r="K22" t="s">
        <v>444</v>
      </c>
      <c r="L22" t="s">
        <v>445</v>
      </c>
      <c r="O22" t="s">
        <v>341</v>
      </c>
      <c r="P22" t="s">
        <v>446</v>
      </c>
      <c r="Q22" t="s">
        <v>445</v>
      </c>
      <c r="R22" t="s">
        <v>449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>
        <v>31</v>
      </c>
      <c r="Y22" t="s">
        <v>368</v>
      </c>
      <c r="Z22" t="s">
        <v>31</v>
      </c>
      <c r="AA22" t="s">
        <v>31</v>
      </c>
      <c r="AB22" t="s">
        <v>31</v>
      </c>
      <c r="AC22" t="s">
        <v>31</v>
      </c>
      <c r="AD22">
        <v>4</v>
      </c>
      <c r="AE22" t="s">
        <v>31</v>
      </c>
      <c r="AF22">
        <v>2024</v>
      </c>
      <c r="AG22" t="s">
        <v>63</v>
      </c>
      <c r="AH22">
        <v>20</v>
      </c>
      <c r="AI22">
        <v>355</v>
      </c>
      <c r="AJ22">
        <v>3.3332999999999999</v>
      </c>
      <c r="AK22">
        <v>100</v>
      </c>
      <c r="AL22" t="s">
        <v>31</v>
      </c>
      <c r="AM22" t="s">
        <v>31</v>
      </c>
    </row>
    <row r="23" spans="1:51" x14ac:dyDescent="0.2">
      <c r="A23" t="s">
        <v>443</v>
      </c>
      <c r="B23" t="s">
        <v>339</v>
      </c>
      <c r="D23" t="s">
        <v>339</v>
      </c>
      <c r="E23">
        <v>2024</v>
      </c>
      <c r="F23">
        <v>1</v>
      </c>
      <c r="G23" t="s">
        <v>340</v>
      </c>
      <c r="H23">
        <v>4897</v>
      </c>
      <c r="I23">
        <v>4875</v>
      </c>
      <c r="J23" s="1">
        <v>45474.501493055555</v>
      </c>
      <c r="K23" t="s">
        <v>444</v>
      </c>
      <c r="L23" t="s">
        <v>445</v>
      </c>
      <c r="O23" t="s">
        <v>341</v>
      </c>
      <c r="P23" t="s">
        <v>446</v>
      </c>
      <c r="Q23" t="s">
        <v>445</v>
      </c>
      <c r="R23" t="s">
        <v>449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  <c r="X23">
        <v>32</v>
      </c>
      <c r="Y23" t="s">
        <v>369</v>
      </c>
      <c r="Z23" t="s">
        <v>31</v>
      </c>
      <c r="AA23" t="s">
        <v>31</v>
      </c>
      <c r="AB23" t="s">
        <v>31</v>
      </c>
      <c r="AC23" t="s">
        <v>31</v>
      </c>
      <c r="AD23">
        <v>4</v>
      </c>
      <c r="AE23" t="s">
        <v>31</v>
      </c>
      <c r="AF23">
        <v>2024</v>
      </c>
      <c r="AG23" t="s">
        <v>62</v>
      </c>
      <c r="AH23">
        <v>20</v>
      </c>
      <c r="AI23">
        <v>355</v>
      </c>
      <c r="AJ23">
        <v>10</v>
      </c>
      <c r="AK23">
        <v>100</v>
      </c>
      <c r="AL23" t="s">
        <v>31</v>
      </c>
      <c r="AM23" t="s">
        <v>31</v>
      </c>
    </row>
    <row r="24" spans="1:51" x14ac:dyDescent="0.2">
      <c r="A24" t="s">
        <v>443</v>
      </c>
      <c r="B24" t="s">
        <v>339</v>
      </c>
      <c r="D24" t="s">
        <v>339</v>
      </c>
      <c r="E24">
        <v>2024</v>
      </c>
      <c r="F24">
        <v>1</v>
      </c>
      <c r="G24" t="s">
        <v>340</v>
      </c>
      <c r="H24">
        <v>4897</v>
      </c>
      <c r="I24">
        <v>4875</v>
      </c>
      <c r="J24" s="1">
        <v>45474.501493055555</v>
      </c>
      <c r="K24" t="s">
        <v>444</v>
      </c>
      <c r="L24" t="s">
        <v>445</v>
      </c>
      <c r="O24" t="s">
        <v>341</v>
      </c>
      <c r="P24" t="s">
        <v>446</v>
      </c>
      <c r="Q24" t="s">
        <v>445</v>
      </c>
      <c r="R24" t="s">
        <v>449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>
        <v>33</v>
      </c>
      <c r="Y24" t="s">
        <v>344</v>
      </c>
      <c r="Z24" t="s">
        <v>31</v>
      </c>
      <c r="AA24" t="s">
        <v>31</v>
      </c>
      <c r="AB24" t="s">
        <v>31</v>
      </c>
      <c r="AC24" t="s">
        <v>31</v>
      </c>
      <c r="AD24">
        <v>4</v>
      </c>
      <c r="AE24" t="s">
        <v>31</v>
      </c>
      <c r="AF24">
        <v>2024</v>
      </c>
      <c r="AG24" t="s">
        <v>62</v>
      </c>
      <c r="AH24">
        <v>20</v>
      </c>
      <c r="AI24">
        <v>355</v>
      </c>
      <c r="AJ24">
        <v>10</v>
      </c>
      <c r="AK24">
        <v>100</v>
      </c>
      <c r="AL24" t="s">
        <v>31</v>
      </c>
      <c r="AM24" t="s">
        <v>31</v>
      </c>
      <c r="AW24" s="14" t="s">
        <v>73</v>
      </c>
      <c r="AX24" t="s">
        <v>159</v>
      </c>
    </row>
    <row r="25" spans="1:51" x14ac:dyDescent="0.2">
      <c r="A25" t="s">
        <v>443</v>
      </c>
      <c r="B25" t="s">
        <v>339</v>
      </c>
      <c r="D25" t="s">
        <v>339</v>
      </c>
      <c r="E25">
        <v>2024</v>
      </c>
      <c r="F25">
        <v>1</v>
      </c>
      <c r="G25" t="s">
        <v>340</v>
      </c>
      <c r="H25">
        <v>4897</v>
      </c>
      <c r="I25">
        <v>4875</v>
      </c>
      <c r="J25" s="1">
        <v>45474.501493055555</v>
      </c>
      <c r="K25" t="s">
        <v>444</v>
      </c>
      <c r="L25" t="s">
        <v>445</v>
      </c>
      <c r="O25" t="s">
        <v>341</v>
      </c>
      <c r="P25" t="s">
        <v>446</v>
      </c>
      <c r="Q25" t="s">
        <v>445</v>
      </c>
      <c r="R25" t="s">
        <v>449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>
        <v>34</v>
      </c>
      <c r="Y25" t="s">
        <v>345</v>
      </c>
      <c r="Z25">
        <v>3</v>
      </c>
      <c r="AA25">
        <v>3</v>
      </c>
      <c r="AB25">
        <v>3</v>
      </c>
      <c r="AC25">
        <v>3</v>
      </c>
      <c r="AD25">
        <v>4</v>
      </c>
      <c r="AE25">
        <v>0.75</v>
      </c>
      <c r="AF25">
        <v>2024</v>
      </c>
      <c r="AG25" t="s">
        <v>64</v>
      </c>
      <c r="AH25">
        <v>15</v>
      </c>
      <c r="AI25">
        <v>355</v>
      </c>
      <c r="AJ25">
        <v>1.5</v>
      </c>
      <c r="AK25">
        <v>100</v>
      </c>
      <c r="AL25">
        <v>1.5</v>
      </c>
      <c r="AM25">
        <v>48</v>
      </c>
      <c r="AW25" s="6" t="s">
        <v>255</v>
      </c>
      <c r="AX25" t="s">
        <v>241</v>
      </c>
    </row>
    <row r="26" spans="1:51" x14ac:dyDescent="0.2">
      <c r="A26" t="s">
        <v>443</v>
      </c>
      <c r="B26" t="s">
        <v>339</v>
      </c>
      <c r="D26" t="s">
        <v>339</v>
      </c>
      <c r="E26">
        <v>2024</v>
      </c>
      <c r="F26">
        <v>1</v>
      </c>
      <c r="G26" t="s">
        <v>340</v>
      </c>
      <c r="H26">
        <v>4897</v>
      </c>
      <c r="I26">
        <v>4875</v>
      </c>
      <c r="J26" s="1">
        <v>45474.501493055555</v>
      </c>
      <c r="K26" t="s">
        <v>444</v>
      </c>
      <c r="L26" t="s">
        <v>445</v>
      </c>
      <c r="O26" t="s">
        <v>341</v>
      </c>
      <c r="P26" t="s">
        <v>446</v>
      </c>
      <c r="Q26" t="s">
        <v>445</v>
      </c>
      <c r="R26" t="s">
        <v>449</v>
      </c>
      <c r="S26" t="s">
        <v>31</v>
      </c>
      <c r="T26" t="s">
        <v>31</v>
      </c>
      <c r="U26" t="s">
        <v>31</v>
      </c>
      <c r="V26" t="s">
        <v>31</v>
      </c>
      <c r="W26" t="s">
        <v>31</v>
      </c>
      <c r="X26">
        <v>35</v>
      </c>
      <c r="Y26" t="s">
        <v>343</v>
      </c>
      <c r="Z26">
        <v>4</v>
      </c>
      <c r="AA26">
        <v>4</v>
      </c>
      <c r="AB26">
        <v>4</v>
      </c>
      <c r="AC26">
        <v>4</v>
      </c>
      <c r="AD26">
        <v>4</v>
      </c>
      <c r="AE26">
        <v>1</v>
      </c>
      <c r="AF26">
        <v>2024</v>
      </c>
      <c r="AG26" t="s">
        <v>64</v>
      </c>
      <c r="AH26">
        <v>15</v>
      </c>
      <c r="AI26">
        <v>355</v>
      </c>
      <c r="AJ26">
        <v>1.5</v>
      </c>
      <c r="AK26">
        <v>100</v>
      </c>
      <c r="AL26">
        <v>1.5</v>
      </c>
      <c r="AM26">
        <v>48</v>
      </c>
      <c r="AW26" s="7" t="s">
        <v>260</v>
      </c>
      <c r="AX26" t="s">
        <v>161</v>
      </c>
    </row>
    <row r="27" spans="1:51" x14ac:dyDescent="0.2">
      <c r="A27" t="s">
        <v>443</v>
      </c>
      <c r="B27" t="s">
        <v>339</v>
      </c>
      <c r="D27" t="s">
        <v>339</v>
      </c>
      <c r="E27">
        <v>2024</v>
      </c>
      <c r="F27">
        <v>1</v>
      </c>
      <c r="G27" t="s">
        <v>340</v>
      </c>
      <c r="H27">
        <v>4897</v>
      </c>
      <c r="I27">
        <v>4875</v>
      </c>
      <c r="J27" s="1">
        <v>45474.501493055555</v>
      </c>
      <c r="K27" t="s">
        <v>444</v>
      </c>
      <c r="L27" t="s">
        <v>445</v>
      </c>
      <c r="O27" t="s">
        <v>341</v>
      </c>
      <c r="P27" t="s">
        <v>446</v>
      </c>
      <c r="Q27" t="s">
        <v>445</v>
      </c>
      <c r="R27" t="s">
        <v>449</v>
      </c>
      <c r="S27" t="s">
        <v>31</v>
      </c>
      <c r="T27" t="s">
        <v>31</v>
      </c>
      <c r="U27" t="s">
        <v>31</v>
      </c>
      <c r="V27" t="s">
        <v>31</v>
      </c>
      <c r="W27" t="s">
        <v>31</v>
      </c>
      <c r="X27">
        <v>36</v>
      </c>
      <c r="Y27" t="s">
        <v>370</v>
      </c>
      <c r="Z27" t="s">
        <v>31</v>
      </c>
      <c r="AA27" t="s">
        <v>31</v>
      </c>
      <c r="AB27" t="s">
        <v>31</v>
      </c>
      <c r="AC27" t="s">
        <v>31</v>
      </c>
      <c r="AD27">
        <v>4</v>
      </c>
      <c r="AE27" t="s">
        <v>31</v>
      </c>
      <c r="AF27">
        <v>2024</v>
      </c>
      <c r="AG27" t="s">
        <v>64</v>
      </c>
      <c r="AH27">
        <v>15</v>
      </c>
      <c r="AI27">
        <v>355</v>
      </c>
      <c r="AJ27">
        <v>1.5</v>
      </c>
      <c r="AK27">
        <v>100</v>
      </c>
      <c r="AL27" t="s">
        <v>31</v>
      </c>
      <c r="AM27" t="s">
        <v>31</v>
      </c>
      <c r="AW27" s="6" t="s">
        <v>257</v>
      </c>
      <c r="AY27" t="s">
        <v>245</v>
      </c>
    </row>
    <row r="28" spans="1:51" x14ac:dyDescent="0.2">
      <c r="A28" t="s">
        <v>443</v>
      </c>
      <c r="B28" t="s">
        <v>339</v>
      </c>
      <c r="D28" t="s">
        <v>339</v>
      </c>
      <c r="E28">
        <v>2024</v>
      </c>
      <c r="F28">
        <v>1</v>
      </c>
      <c r="G28" t="s">
        <v>340</v>
      </c>
      <c r="H28">
        <v>4897</v>
      </c>
      <c r="I28">
        <v>4875</v>
      </c>
      <c r="J28" s="1">
        <v>45474.501493055555</v>
      </c>
      <c r="K28" t="s">
        <v>444</v>
      </c>
      <c r="L28" t="s">
        <v>445</v>
      </c>
      <c r="O28" t="s">
        <v>341</v>
      </c>
      <c r="P28" t="s">
        <v>446</v>
      </c>
      <c r="Q28" t="s">
        <v>445</v>
      </c>
      <c r="R28" t="s">
        <v>449</v>
      </c>
      <c r="S28" t="s">
        <v>31</v>
      </c>
      <c r="T28" t="s">
        <v>31</v>
      </c>
      <c r="U28" t="s">
        <v>31</v>
      </c>
      <c r="V28" t="s">
        <v>31</v>
      </c>
      <c r="W28" t="s">
        <v>31</v>
      </c>
      <c r="X28">
        <v>37</v>
      </c>
      <c r="Y28" t="s">
        <v>371</v>
      </c>
      <c r="Z28" t="s">
        <v>31</v>
      </c>
      <c r="AA28" t="s">
        <v>31</v>
      </c>
      <c r="AB28" t="s">
        <v>31</v>
      </c>
      <c r="AC28" t="s">
        <v>31</v>
      </c>
      <c r="AD28">
        <v>4</v>
      </c>
      <c r="AE28" t="s">
        <v>31</v>
      </c>
      <c r="AF28">
        <v>2024</v>
      </c>
      <c r="AG28" t="s">
        <v>64</v>
      </c>
      <c r="AH28">
        <v>15</v>
      </c>
      <c r="AI28">
        <v>355</v>
      </c>
      <c r="AJ28">
        <v>1.5</v>
      </c>
      <c r="AK28">
        <v>100</v>
      </c>
      <c r="AL28" t="s">
        <v>31</v>
      </c>
      <c r="AM28" t="s">
        <v>31</v>
      </c>
      <c r="AW28" s="7" t="s">
        <v>258</v>
      </c>
      <c r="AY28" t="s">
        <v>159</v>
      </c>
    </row>
    <row r="29" spans="1:51" x14ac:dyDescent="0.2">
      <c r="A29" t="s">
        <v>443</v>
      </c>
      <c r="B29" t="s">
        <v>339</v>
      </c>
      <c r="D29" t="s">
        <v>339</v>
      </c>
      <c r="E29">
        <v>2024</v>
      </c>
      <c r="F29">
        <v>1</v>
      </c>
      <c r="G29" t="s">
        <v>340</v>
      </c>
      <c r="H29">
        <v>4897</v>
      </c>
      <c r="I29">
        <v>4875</v>
      </c>
      <c r="J29" s="1">
        <v>45474.501493055555</v>
      </c>
      <c r="K29" t="s">
        <v>444</v>
      </c>
      <c r="L29" t="s">
        <v>445</v>
      </c>
      <c r="O29" t="s">
        <v>341</v>
      </c>
      <c r="P29" t="s">
        <v>446</v>
      </c>
      <c r="Q29" t="s">
        <v>445</v>
      </c>
      <c r="R29" t="s">
        <v>449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>
        <v>38</v>
      </c>
      <c r="Y29" t="s">
        <v>372</v>
      </c>
      <c r="Z29" t="s">
        <v>31</v>
      </c>
      <c r="AA29" t="s">
        <v>31</v>
      </c>
      <c r="AB29" t="s">
        <v>31</v>
      </c>
      <c r="AC29" t="s">
        <v>31</v>
      </c>
      <c r="AD29">
        <v>4</v>
      </c>
      <c r="AE29" t="s">
        <v>31</v>
      </c>
      <c r="AF29">
        <v>2024</v>
      </c>
      <c r="AG29" t="s">
        <v>64</v>
      </c>
      <c r="AH29">
        <v>15</v>
      </c>
      <c r="AI29">
        <v>355</v>
      </c>
      <c r="AJ29">
        <v>1.5</v>
      </c>
      <c r="AK29">
        <v>100</v>
      </c>
      <c r="AL29" t="s">
        <v>31</v>
      </c>
      <c r="AM29" t="s">
        <v>31</v>
      </c>
      <c r="AY29" t="s">
        <v>241</v>
      </c>
    </row>
    <row r="30" spans="1:51" x14ac:dyDescent="0.2">
      <c r="A30" t="s">
        <v>443</v>
      </c>
      <c r="B30" t="s">
        <v>339</v>
      </c>
      <c r="D30" t="s">
        <v>339</v>
      </c>
      <c r="E30">
        <v>2024</v>
      </c>
      <c r="F30">
        <v>1</v>
      </c>
      <c r="G30" t="s">
        <v>340</v>
      </c>
      <c r="H30">
        <v>4897</v>
      </c>
      <c r="I30">
        <v>4875</v>
      </c>
      <c r="J30" s="1">
        <v>45474.501493055555</v>
      </c>
      <c r="K30" t="s">
        <v>444</v>
      </c>
      <c r="L30" t="s">
        <v>445</v>
      </c>
      <c r="O30" t="s">
        <v>341</v>
      </c>
      <c r="P30" t="s">
        <v>446</v>
      </c>
      <c r="Q30" t="s">
        <v>445</v>
      </c>
      <c r="R30" t="s">
        <v>449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  <c r="X30">
        <v>39</v>
      </c>
      <c r="Y30" t="s">
        <v>373</v>
      </c>
      <c r="Z30" t="s">
        <v>31</v>
      </c>
      <c r="AA30" t="s">
        <v>31</v>
      </c>
      <c r="AB30" t="s">
        <v>31</v>
      </c>
      <c r="AC30" t="s">
        <v>31</v>
      </c>
      <c r="AD30">
        <v>4</v>
      </c>
      <c r="AE30" t="s">
        <v>31</v>
      </c>
      <c r="AF30">
        <v>2024</v>
      </c>
      <c r="AG30" t="s">
        <v>64</v>
      </c>
      <c r="AH30">
        <v>15</v>
      </c>
      <c r="AI30">
        <v>355</v>
      </c>
      <c r="AJ30">
        <v>1.5</v>
      </c>
      <c r="AK30">
        <v>100</v>
      </c>
      <c r="AL30" t="s">
        <v>31</v>
      </c>
      <c r="AM30" t="s">
        <v>31</v>
      </c>
      <c r="AY30" t="s">
        <v>246</v>
      </c>
    </row>
    <row r="31" spans="1:51" x14ac:dyDescent="0.2">
      <c r="A31" t="s">
        <v>443</v>
      </c>
      <c r="B31" t="s">
        <v>339</v>
      </c>
      <c r="D31" t="s">
        <v>339</v>
      </c>
      <c r="E31">
        <v>2024</v>
      </c>
      <c r="F31">
        <v>1</v>
      </c>
      <c r="G31" t="s">
        <v>340</v>
      </c>
      <c r="H31">
        <v>4897</v>
      </c>
      <c r="I31">
        <v>4875</v>
      </c>
      <c r="J31" s="1">
        <v>45474.501493055555</v>
      </c>
      <c r="K31" t="s">
        <v>444</v>
      </c>
      <c r="L31" t="s">
        <v>445</v>
      </c>
      <c r="O31" t="s">
        <v>341</v>
      </c>
      <c r="P31" t="s">
        <v>446</v>
      </c>
      <c r="Q31" t="s">
        <v>445</v>
      </c>
      <c r="R31" t="s">
        <v>449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>
        <v>40</v>
      </c>
      <c r="Y31" t="s">
        <v>374</v>
      </c>
      <c r="Z31">
        <v>4</v>
      </c>
      <c r="AA31">
        <v>4</v>
      </c>
      <c r="AB31">
        <v>4</v>
      </c>
      <c r="AC31">
        <v>4</v>
      </c>
      <c r="AD31">
        <v>4</v>
      </c>
      <c r="AE31">
        <v>1</v>
      </c>
      <c r="AF31">
        <v>2024</v>
      </c>
      <c r="AG31" t="s">
        <v>376</v>
      </c>
      <c r="AH31">
        <v>15</v>
      </c>
      <c r="AI31">
        <v>355</v>
      </c>
      <c r="AJ31">
        <v>15</v>
      </c>
      <c r="AK31">
        <v>100</v>
      </c>
      <c r="AL31">
        <v>15</v>
      </c>
      <c r="AM31">
        <v>48</v>
      </c>
      <c r="AY31" t="s">
        <v>247</v>
      </c>
    </row>
    <row r="32" spans="1:51" x14ac:dyDescent="0.2">
      <c r="AX32" t="s">
        <v>243</v>
      </c>
    </row>
    <row r="33" spans="1:50" x14ac:dyDescent="0.2">
      <c r="AL33" s="7" t="s">
        <v>421</v>
      </c>
      <c r="AM33" s="7" t="s">
        <v>422</v>
      </c>
      <c r="AX33" t="s">
        <v>248</v>
      </c>
    </row>
    <row r="34" spans="1:50" x14ac:dyDescent="0.2">
      <c r="AE34" s="7" t="s">
        <v>420</v>
      </c>
    </row>
    <row r="35" spans="1:50" x14ac:dyDescent="0.2">
      <c r="AL35" s="6" t="s">
        <v>255</v>
      </c>
      <c r="AM35" s="6" t="s">
        <v>255</v>
      </c>
    </row>
    <row r="36" spans="1:50" x14ac:dyDescent="0.2">
      <c r="AL36" s="7" t="s">
        <v>256</v>
      </c>
      <c r="AM36" s="7" t="s">
        <v>260</v>
      </c>
    </row>
    <row r="37" spans="1:50" x14ac:dyDescent="0.2">
      <c r="AL37" s="6" t="s">
        <v>257</v>
      </c>
      <c r="AM37" s="6" t="s">
        <v>257</v>
      </c>
    </row>
    <row r="38" spans="1:50" x14ac:dyDescent="0.2">
      <c r="AL38" s="7" t="s">
        <v>258</v>
      </c>
      <c r="AM38" s="7" t="s">
        <v>258</v>
      </c>
    </row>
    <row r="40" spans="1:50" x14ac:dyDescent="0.2">
      <c r="A40" t="s">
        <v>2</v>
      </c>
      <c r="B40" t="s">
        <v>0</v>
      </c>
      <c r="C40" t="s">
        <v>1</v>
      </c>
      <c r="D40" t="s">
        <v>41</v>
      </c>
      <c r="E40" t="s">
        <v>3</v>
      </c>
      <c r="F40" t="s">
        <v>4</v>
      </c>
      <c r="G40" t="s">
        <v>5</v>
      </c>
      <c r="H40" t="s">
        <v>6</v>
      </c>
      <c r="I40" t="s">
        <v>7</v>
      </c>
      <c r="J40" t="s">
        <v>8</v>
      </c>
      <c r="K40" t="s">
        <v>9</v>
      </c>
      <c r="L40" t="s">
        <v>10</v>
      </c>
      <c r="M40" t="s">
        <v>11</v>
      </c>
      <c r="N40" t="s">
        <v>12</v>
      </c>
      <c r="O40" t="s">
        <v>13</v>
      </c>
      <c r="P40" t="s">
        <v>14</v>
      </c>
      <c r="Q40" t="s">
        <v>15</v>
      </c>
      <c r="R40" t="s">
        <v>16</v>
      </c>
      <c r="S40" t="s">
        <v>17</v>
      </c>
      <c r="T40" t="s">
        <v>18</v>
      </c>
      <c r="U40" t="s">
        <v>19</v>
      </c>
      <c r="V40" t="s">
        <v>20</v>
      </c>
      <c r="W40" t="s">
        <v>21</v>
      </c>
      <c r="X40" t="s">
        <v>22</v>
      </c>
      <c r="Y40" t="s">
        <v>23</v>
      </c>
      <c r="Z40" t="s">
        <v>24</v>
      </c>
      <c r="AA40" t="s">
        <v>25</v>
      </c>
      <c r="AB40" t="s">
        <v>42</v>
      </c>
      <c r="AC40" t="s">
        <v>43</v>
      </c>
      <c r="AD40" t="s">
        <v>44</v>
      </c>
      <c r="AE40" t="s">
        <v>65</v>
      </c>
      <c r="AF40" t="s">
        <v>66</v>
      </c>
      <c r="AG40" t="s">
        <v>67</v>
      </c>
      <c r="AH40" t="s">
        <v>68</v>
      </c>
      <c r="AI40" t="s">
        <v>69</v>
      </c>
      <c r="AJ40" t="s">
        <v>70</v>
      </c>
      <c r="AK40" t="s">
        <v>71</v>
      </c>
      <c r="AL40" t="s">
        <v>72</v>
      </c>
      <c r="AM40" t="s">
        <v>73</v>
      </c>
    </row>
    <row r="41" spans="1:50" x14ac:dyDescent="0.2">
      <c r="A41" t="s">
        <v>378</v>
      </c>
      <c r="B41" t="s">
        <v>379</v>
      </c>
      <c r="D41" t="s">
        <v>379</v>
      </c>
      <c r="E41">
        <v>1999</v>
      </c>
      <c r="F41">
        <v>1</v>
      </c>
      <c r="G41" t="s">
        <v>380</v>
      </c>
      <c r="H41">
        <v>6</v>
      </c>
      <c r="I41">
        <v>156</v>
      </c>
      <c r="J41" s="1">
        <v>45646.45208333333</v>
      </c>
      <c r="K41" t="s">
        <v>381</v>
      </c>
      <c r="L41" t="s">
        <v>382</v>
      </c>
      <c r="P41" t="s">
        <v>31</v>
      </c>
      <c r="Q41" t="s">
        <v>31</v>
      </c>
      <c r="R41" t="s">
        <v>383</v>
      </c>
      <c r="S41" t="s">
        <v>384</v>
      </c>
      <c r="T41" t="s">
        <v>31</v>
      </c>
      <c r="U41" t="s">
        <v>31</v>
      </c>
      <c r="V41" t="s">
        <v>31</v>
      </c>
      <c r="W41" t="s">
        <v>31</v>
      </c>
      <c r="X41">
        <v>17</v>
      </c>
      <c r="Y41" t="s">
        <v>385</v>
      </c>
      <c r="Z41">
        <v>4</v>
      </c>
      <c r="AA41">
        <v>4</v>
      </c>
      <c r="AB41">
        <v>4</v>
      </c>
      <c r="AC41">
        <v>4</v>
      </c>
      <c r="AD41">
        <v>4</v>
      </c>
      <c r="AE41">
        <v>1</v>
      </c>
      <c r="AF41">
        <v>1999</v>
      </c>
      <c r="AG41" t="s">
        <v>61</v>
      </c>
      <c r="AH41">
        <v>10</v>
      </c>
      <c r="AI41">
        <v>100</v>
      </c>
      <c r="AJ41">
        <v>10</v>
      </c>
      <c r="AK41">
        <v>100</v>
      </c>
      <c r="AL41">
        <v>10</v>
      </c>
      <c r="AM41">
        <v>70</v>
      </c>
    </row>
    <row r="42" spans="1:50" x14ac:dyDescent="0.2">
      <c r="A42" t="s">
        <v>378</v>
      </c>
      <c r="B42" t="s">
        <v>379</v>
      </c>
      <c r="D42" t="s">
        <v>379</v>
      </c>
      <c r="E42">
        <v>1999</v>
      </c>
      <c r="F42">
        <v>1</v>
      </c>
      <c r="G42" t="s">
        <v>380</v>
      </c>
      <c r="H42">
        <v>6</v>
      </c>
      <c r="I42">
        <v>156</v>
      </c>
      <c r="J42" s="1">
        <v>45646.45208333333</v>
      </c>
      <c r="K42" t="s">
        <v>381</v>
      </c>
      <c r="L42" t="s">
        <v>382</v>
      </c>
      <c r="P42" t="s">
        <v>31</v>
      </c>
      <c r="Q42" t="s">
        <v>31</v>
      </c>
      <c r="R42" t="s">
        <v>383</v>
      </c>
      <c r="S42" t="s">
        <v>384</v>
      </c>
      <c r="T42" t="s">
        <v>31</v>
      </c>
      <c r="U42" t="s">
        <v>31</v>
      </c>
      <c r="V42" t="s">
        <v>31</v>
      </c>
      <c r="W42" t="s">
        <v>31</v>
      </c>
      <c r="X42">
        <v>18</v>
      </c>
      <c r="Y42" t="s">
        <v>390</v>
      </c>
      <c r="Z42">
        <v>4</v>
      </c>
      <c r="AA42">
        <v>4</v>
      </c>
      <c r="AB42">
        <v>4</v>
      </c>
      <c r="AC42">
        <v>4</v>
      </c>
      <c r="AD42">
        <v>4</v>
      </c>
      <c r="AE42">
        <v>1</v>
      </c>
      <c r="AF42">
        <v>1999</v>
      </c>
      <c r="AG42" t="s">
        <v>61</v>
      </c>
      <c r="AH42">
        <v>10</v>
      </c>
      <c r="AI42">
        <v>100</v>
      </c>
      <c r="AJ42">
        <v>10</v>
      </c>
      <c r="AK42">
        <v>100</v>
      </c>
      <c r="AL42" s="7">
        <v>10</v>
      </c>
      <c r="AM42" s="7">
        <v>70</v>
      </c>
    </row>
    <row r="43" spans="1:50" x14ac:dyDescent="0.2">
      <c r="A43" t="s">
        <v>378</v>
      </c>
      <c r="B43" t="s">
        <v>379</v>
      </c>
      <c r="D43" t="s">
        <v>379</v>
      </c>
      <c r="E43">
        <v>1999</v>
      </c>
      <c r="F43">
        <v>1</v>
      </c>
      <c r="G43" t="s">
        <v>380</v>
      </c>
      <c r="H43">
        <v>6</v>
      </c>
      <c r="I43">
        <v>156</v>
      </c>
      <c r="J43" s="1">
        <v>45646.45208333333</v>
      </c>
      <c r="K43" t="s">
        <v>381</v>
      </c>
      <c r="L43" t="s">
        <v>382</v>
      </c>
      <c r="P43" t="s">
        <v>31</v>
      </c>
      <c r="Q43" t="s">
        <v>31</v>
      </c>
      <c r="R43" t="s">
        <v>383</v>
      </c>
      <c r="S43" t="s">
        <v>384</v>
      </c>
      <c r="T43" t="s">
        <v>31</v>
      </c>
      <c r="U43" t="s">
        <v>31</v>
      </c>
      <c r="V43" t="s">
        <v>31</v>
      </c>
      <c r="W43" t="s">
        <v>31</v>
      </c>
      <c r="X43">
        <v>19</v>
      </c>
      <c r="Y43" t="s">
        <v>388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1</v>
      </c>
      <c r="AF43">
        <v>1999</v>
      </c>
      <c r="AG43" t="s">
        <v>61</v>
      </c>
      <c r="AH43">
        <v>10</v>
      </c>
      <c r="AI43">
        <v>100</v>
      </c>
      <c r="AJ43">
        <v>10</v>
      </c>
      <c r="AK43">
        <v>100</v>
      </c>
      <c r="AL43">
        <v>10</v>
      </c>
      <c r="AM43">
        <v>70</v>
      </c>
    </row>
    <row r="44" spans="1:50" x14ac:dyDescent="0.2">
      <c r="A44" t="s">
        <v>378</v>
      </c>
      <c r="B44" t="s">
        <v>379</v>
      </c>
      <c r="D44" t="s">
        <v>379</v>
      </c>
      <c r="E44">
        <v>1999</v>
      </c>
      <c r="F44">
        <v>1</v>
      </c>
      <c r="G44" t="s">
        <v>380</v>
      </c>
      <c r="H44">
        <v>6</v>
      </c>
      <c r="I44">
        <v>156</v>
      </c>
      <c r="J44" s="1">
        <v>45646.45208333333</v>
      </c>
      <c r="K44" t="s">
        <v>381</v>
      </c>
      <c r="L44" t="s">
        <v>382</v>
      </c>
      <c r="P44" t="s">
        <v>31</v>
      </c>
      <c r="Q44" t="s">
        <v>31</v>
      </c>
      <c r="R44" t="s">
        <v>383</v>
      </c>
      <c r="S44" t="s">
        <v>384</v>
      </c>
      <c r="T44" t="s">
        <v>31</v>
      </c>
      <c r="U44" t="s">
        <v>31</v>
      </c>
      <c r="V44" t="s">
        <v>31</v>
      </c>
      <c r="W44" t="s">
        <v>31</v>
      </c>
      <c r="X44">
        <v>20</v>
      </c>
      <c r="Y44" t="s">
        <v>387</v>
      </c>
      <c r="Z44">
        <v>4</v>
      </c>
      <c r="AA44">
        <v>4</v>
      </c>
      <c r="AB44">
        <v>4</v>
      </c>
      <c r="AC44">
        <v>4</v>
      </c>
      <c r="AD44">
        <v>4</v>
      </c>
      <c r="AE44">
        <v>1</v>
      </c>
      <c r="AF44">
        <v>1999</v>
      </c>
      <c r="AG44" t="s">
        <v>63</v>
      </c>
      <c r="AH44">
        <v>10</v>
      </c>
      <c r="AI44">
        <v>100</v>
      </c>
      <c r="AJ44">
        <v>10</v>
      </c>
      <c r="AK44">
        <v>100</v>
      </c>
      <c r="AL44">
        <v>10</v>
      </c>
      <c r="AM44">
        <v>70</v>
      </c>
    </row>
    <row r="45" spans="1:50" x14ac:dyDescent="0.2">
      <c r="A45" t="s">
        <v>378</v>
      </c>
      <c r="B45" t="s">
        <v>379</v>
      </c>
      <c r="D45" t="s">
        <v>379</v>
      </c>
      <c r="E45">
        <v>1999</v>
      </c>
      <c r="F45">
        <v>1</v>
      </c>
      <c r="G45" t="s">
        <v>380</v>
      </c>
      <c r="H45">
        <v>6</v>
      </c>
      <c r="I45">
        <v>156</v>
      </c>
      <c r="J45" s="1">
        <v>45646.45208333333</v>
      </c>
      <c r="K45" t="s">
        <v>381</v>
      </c>
      <c r="L45" t="s">
        <v>382</v>
      </c>
      <c r="P45" t="s">
        <v>31</v>
      </c>
      <c r="Q45" t="s">
        <v>31</v>
      </c>
      <c r="R45" t="s">
        <v>383</v>
      </c>
      <c r="S45" t="s">
        <v>384</v>
      </c>
      <c r="T45" t="s">
        <v>31</v>
      </c>
      <c r="U45" t="s">
        <v>31</v>
      </c>
      <c r="V45" t="s">
        <v>31</v>
      </c>
      <c r="W45" t="s">
        <v>31</v>
      </c>
      <c r="X45">
        <v>21</v>
      </c>
      <c r="Y45" t="s">
        <v>392</v>
      </c>
      <c r="Z45">
        <v>4</v>
      </c>
      <c r="AA45">
        <v>4</v>
      </c>
      <c r="AB45">
        <v>4</v>
      </c>
      <c r="AC45">
        <v>4</v>
      </c>
      <c r="AD45">
        <v>4</v>
      </c>
      <c r="AE45">
        <v>1</v>
      </c>
      <c r="AF45">
        <v>1999</v>
      </c>
      <c r="AG45" t="s">
        <v>63</v>
      </c>
      <c r="AH45">
        <v>15</v>
      </c>
      <c r="AI45">
        <v>100</v>
      </c>
      <c r="AJ45">
        <v>15</v>
      </c>
      <c r="AK45">
        <v>100</v>
      </c>
      <c r="AL45">
        <v>15</v>
      </c>
      <c r="AM45">
        <v>70</v>
      </c>
    </row>
    <row r="46" spans="1:50" x14ac:dyDescent="0.2">
      <c r="A46" t="s">
        <v>378</v>
      </c>
      <c r="B46" t="s">
        <v>379</v>
      </c>
      <c r="D46" t="s">
        <v>379</v>
      </c>
      <c r="E46">
        <v>1999</v>
      </c>
      <c r="F46">
        <v>1</v>
      </c>
      <c r="G46" t="s">
        <v>380</v>
      </c>
      <c r="H46">
        <v>6</v>
      </c>
      <c r="I46">
        <v>156</v>
      </c>
      <c r="J46" s="1">
        <v>45646.45208333333</v>
      </c>
      <c r="K46" t="s">
        <v>381</v>
      </c>
      <c r="L46" t="s">
        <v>382</v>
      </c>
      <c r="P46" t="s">
        <v>31</v>
      </c>
      <c r="Q46" t="s">
        <v>31</v>
      </c>
      <c r="R46" t="s">
        <v>383</v>
      </c>
      <c r="S46" t="s">
        <v>384</v>
      </c>
      <c r="T46" t="s">
        <v>31</v>
      </c>
      <c r="U46" t="s">
        <v>31</v>
      </c>
      <c r="V46" t="s">
        <v>31</v>
      </c>
      <c r="W46" t="s">
        <v>31</v>
      </c>
      <c r="X46">
        <v>22</v>
      </c>
      <c r="Y46" t="s">
        <v>393</v>
      </c>
      <c r="Z46" t="s">
        <v>31</v>
      </c>
      <c r="AA46" t="s">
        <v>31</v>
      </c>
      <c r="AB46" t="s">
        <v>31</v>
      </c>
      <c r="AC46" t="s">
        <v>31</v>
      </c>
      <c r="AD46">
        <v>4</v>
      </c>
      <c r="AE46" t="s">
        <v>31</v>
      </c>
      <c r="AF46">
        <v>1999</v>
      </c>
      <c r="AG46" t="s">
        <v>63</v>
      </c>
      <c r="AH46">
        <v>15</v>
      </c>
      <c r="AI46">
        <v>100</v>
      </c>
      <c r="AJ46">
        <v>15</v>
      </c>
      <c r="AK46">
        <v>100</v>
      </c>
      <c r="AL46" t="s">
        <v>31</v>
      </c>
      <c r="AM46" t="s">
        <v>31</v>
      </c>
    </row>
    <row r="47" spans="1:50" x14ac:dyDescent="0.2">
      <c r="A47" t="s">
        <v>378</v>
      </c>
      <c r="B47" t="s">
        <v>379</v>
      </c>
      <c r="D47" t="s">
        <v>379</v>
      </c>
      <c r="E47">
        <v>1999</v>
      </c>
      <c r="F47">
        <v>1</v>
      </c>
      <c r="G47" t="s">
        <v>380</v>
      </c>
      <c r="H47">
        <v>6</v>
      </c>
      <c r="I47">
        <v>156</v>
      </c>
      <c r="J47" s="1">
        <v>45646.45208333333</v>
      </c>
      <c r="K47" t="s">
        <v>381</v>
      </c>
      <c r="L47" t="s">
        <v>382</v>
      </c>
      <c r="P47" t="s">
        <v>31</v>
      </c>
      <c r="Q47" t="s">
        <v>31</v>
      </c>
      <c r="R47" t="s">
        <v>383</v>
      </c>
      <c r="S47" t="s">
        <v>384</v>
      </c>
      <c r="T47" t="s">
        <v>31</v>
      </c>
      <c r="U47" t="s">
        <v>31</v>
      </c>
      <c r="V47" t="s">
        <v>31</v>
      </c>
      <c r="W47" t="s">
        <v>31</v>
      </c>
      <c r="X47">
        <v>23</v>
      </c>
      <c r="Y47" t="s">
        <v>394</v>
      </c>
      <c r="Z47">
        <v>4</v>
      </c>
      <c r="AA47">
        <v>4</v>
      </c>
      <c r="AB47">
        <v>4</v>
      </c>
      <c r="AC47">
        <v>4</v>
      </c>
      <c r="AD47">
        <v>4</v>
      </c>
      <c r="AE47">
        <v>1</v>
      </c>
      <c r="AF47">
        <v>1999</v>
      </c>
      <c r="AG47" t="s">
        <v>62</v>
      </c>
      <c r="AH47">
        <v>10</v>
      </c>
      <c r="AI47">
        <v>100</v>
      </c>
      <c r="AJ47">
        <v>10</v>
      </c>
      <c r="AK47">
        <v>100</v>
      </c>
      <c r="AL47">
        <v>10</v>
      </c>
      <c r="AM47">
        <v>70</v>
      </c>
    </row>
    <row r="48" spans="1:50" x14ac:dyDescent="0.2">
      <c r="A48" t="s">
        <v>378</v>
      </c>
      <c r="B48" t="s">
        <v>379</v>
      </c>
      <c r="D48" t="s">
        <v>379</v>
      </c>
      <c r="E48">
        <v>1999</v>
      </c>
      <c r="F48">
        <v>1</v>
      </c>
      <c r="G48" t="s">
        <v>380</v>
      </c>
      <c r="H48">
        <v>6</v>
      </c>
      <c r="I48">
        <v>156</v>
      </c>
      <c r="J48" s="1">
        <v>45646.45208333333</v>
      </c>
      <c r="K48" t="s">
        <v>381</v>
      </c>
      <c r="L48" t="s">
        <v>382</v>
      </c>
      <c r="P48" t="s">
        <v>31</v>
      </c>
      <c r="Q48" t="s">
        <v>31</v>
      </c>
      <c r="R48" t="s">
        <v>383</v>
      </c>
      <c r="S48" t="s">
        <v>384</v>
      </c>
      <c r="T48" t="s">
        <v>31</v>
      </c>
      <c r="U48" t="s">
        <v>31</v>
      </c>
      <c r="V48" t="s">
        <v>31</v>
      </c>
      <c r="W48" t="s">
        <v>31</v>
      </c>
      <c r="X48">
        <v>24</v>
      </c>
      <c r="Y48" t="s">
        <v>391</v>
      </c>
      <c r="Z48" t="s">
        <v>31</v>
      </c>
      <c r="AA48" t="s">
        <v>31</v>
      </c>
      <c r="AB48" t="s">
        <v>31</v>
      </c>
      <c r="AC48" t="s">
        <v>31</v>
      </c>
      <c r="AD48">
        <v>4</v>
      </c>
      <c r="AE48" t="s">
        <v>31</v>
      </c>
      <c r="AF48">
        <v>1999</v>
      </c>
      <c r="AG48" t="s">
        <v>64</v>
      </c>
      <c r="AH48">
        <v>10</v>
      </c>
      <c r="AI48">
        <v>100</v>
      </c>
      <c r="AJ48">
        <v>10</v>
      </c>
      <c r="AK48">
        <v>100</v>
      </c>
      <c r="AL48" t="s">
        <v>31</v>
      </c>
      <c r="AM48" t="s">
        <v>31</v>
      </c>
    </row>
    <row r="49" spans="1:39" x14ac:dyDescent="0.2">
      <c r="A49" t="s">
        <v>378</v>
      </c>
      <c r="B49" t="s">
        <v>379</v>
      </c>
      <c r="D49" t="s">
        <v>379</v>
      </c>
      <c r="E49">
        <v>1999</v>
      </c>
      <c r="F49">
        <v>1</v>
      </c>
      <c r="G49" t="s">
        <v>380</v>
      </c>
      <c r="H49">
        <v>6</v>
      </c>
      <c r="I49">
        <v>156</v>
      </c>
      <c r="J49" s="1">
        <v>45646.45208333333</v>
      </c>
      <c r="K49" t="s">
        <v>381</v>
      </c>
      <c r="L49" t="s">
        <v>382</v>
      </c>
      <c r="P49" t="s">
        <v>31</v>
      </c>
      <c r="Q49" t="s">
        <v>31</v>
      </c>
      <c r="R49" t="s">
        <v>383</v>
      </c>
      <c r="S49" t="s">
        <v>384</v>
      </c>
      <c r="T49" t="s">
        <v>31</v>
      </c>
      <c r="U49" t="s">
        <v>31</v>
      </c>
      <c r="V49" t="s">
        <v>31</v>
      </c>
      <c r="W49" t="s">
        <v>31</v>
      </c>
      <c r="X49">
        <v>25</v>
      </c>
      <c r="Y49" t="s">
        <v>386</v>
      </c>
      <c r="Z49">
        <v>4</v>
      </c>
      <c r="AA49">
        <v>4</v>
      </c>
      <c r="AB49">
        <v>4</v>
      </c>
      <c r="AC49">
        <v>4</v>
      </c>
      <c r="AD49">
        <v>4</v>
      </c>
      <c r="AE49">
        <v>1</v>
      </c>
      <c r="AF49">
        <v>1999</v>
      </c>
      <c r="AG49" t="s">
        <v>64</v>
      </c>
      <c r="AH49">
        <v>5</v>
      </c>
      <c r="AI49">
        <v>100</v>
      </c>
      <c r="AJ49">
        <v>5</v>
      </c>
      <c r="AK49">
        <v>100</v>
      </c>
      <c r="AL49">
        <v>5</v>
      </c>
      <c r="AM49">
        <v>70</v>
      </c>
    </row>
    <row r="50" spans="1:39" x14ac:dyDescent="0.2">
      <c r="A50" t="s">
        <v>378</v>
      </c>
      <c r="B50" t="s">
        <v>379</v>
      </c>
      <c r="D50" t="s">
        <v>379</v>
      </c>
      <c r="E50">
        <v>1999</v>
      </c>
      <c r="F50">
        <v>1</v>
      </c>
      <c r="G50" t="s">
        <v>380</v>
      </c>
      <c r="H50">
        <v>6</v>
      </c>
      <c r="I50">
        <v>156</v>
      </c>
      <c r="J50" s="1">
        <v>45646.45208333333</v>
      </c>
      <c r="K50" t="s">
        <v>381</v>
      </c>
      <c r="L50" t="s">
        <v>382</v>
      </c>
      <c r="P50" t="s">
        <v>31</v>
      </c>
      <c r="Q50" t="s">
        <v>31</v>
      </c>
      <c r="R50" t="s">
        <v>383</v>
      </c>
      <c r="S50" t="s">
        <v>384</v>
      </c>
      <c r="T50" t="s">
        <v>31</v>
      </c>
      <c r="U50" t="s">
        <v>31</v>
      </c>
      <c r="V50" t="s">
        <v>31</v>
      </c>
      <c r="W50" t="s">
        <v>31</v>
      </c>
      <c r="X50">
        <v>26</v>
      </c>
      <c r="Y50" t="s">
        <v>389</v>
      </c>
      <c r="Z50" t="s">
        <v>31</v>
      </c>
      <c r="AA50" t="s">
        <v>31</v>
      </c>
      <c r="AB50" t="s">
        <v>31</v>
      </c>
      <c r="AC50" t="s">
        <v>31</v>
      </c>
      <c r="AD50">
        <v>4</v>
      </c>
      <c r="AE50" t="s">
        <v>31</v>
      </c>
      <c r="AF50">
        <v>1999</v>
      </c>
      <c r="AG50" t="s">
        <v>64</v>
      </c>
      <c r="AH50">
        <v>5</v>
      </c>
      <c r="AI50">
        <v>100</v>
      </c>
      <c r="AJ50">
        <v>5</v>
      </c>
      <c r="AK50">
        <v>100</v>
      </c>
      <c r="AL50" t="s">
        <v>31</v>
      </c>
      <c r="AM50" t="s">
        <v>31</v>
      </c>
    </row>
    <row r="51" spans="1:39" x14ac:dyDescent="0.2">
      <c r="J51" s="1"/>
    </row>
    <row r="52" spans="1:39" x14ac:dyDescent="0.2">
      <c r="J52" s="1"/>
    </row>
    <row r="53" spans="1:39" x14ac:dyDescent="0.2">
      <c r="J53" s="1"/>
    </row>
    <row r="54" spans="1:39" x14ac:dyDescent="0.2">
      <c r="J54" s="1"/>
    </row>
    <row r="55" spans="1:39" x14ac:dyDescent="0.2">
      <c r="J55" s="1"/>
    </row>
    <row r="56" spans="1:39" x14ac:dyDescent="0.2">
      <c r="J56" s="1"/>
    </row>
    <row r="57" spans="1:39" x14ac:dyDescent="0.2">
      <c r="J57" s="1"/>
    </row>
    <row r="58" spans="1:39" x14ac:dyDescent="0.2">
      <c r="J58" s="1"/>
    </row>
    <row r="59" spans="1:39" x14ac:dyDescent="0.2">
      <c r="J59" s="1"/>
    </row>
  </sheetData>
  <sortState xmlns:xlrd2="http://schemas.microsoft.com/office/spreadsheetml/2017/richdata2" ref="A41:AM59">
    <sortCondition ref="Y41:Y59"/>
  </sortState>
  <pageMargins left="0.7" right="0.7" top="0.75" bottom="0.75" header="0.3" footer="0.3"/>
  <headerFooter>
    <oddFooter>&amp;C_x000D_&amp;1#&amp;"Calibri"&amp;9&amp;K000000 Classified - Internal Use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9208-58A4-4693-96FA-1557AA01D152}">
  <dimension ref="A1:BA83"/>
  <sheetViews>
    <sheetView topLeftCell="Z12" zoomScale="55" zoomScaleNormal="55" workbookViewId="0">
      <selection activeCell="AP76" sqref="AP76"/>
    </sheetView>
  </sheetViews>
  <sheetFormatPr defaultRowHeight="15" x14ac:dyDescent="0.2"/>
  <cols>
    <col min="7" max="7" width="13.1796875" customWidth="1"/>
    <col min="26" max="29" width="9.01171875" customWidth="1"/>
    <col min="30" max="30" width="18.83203125" bestFit="1" customWidth="1"/>
    <col min="31" max="31" width="9.68359375" bestFit="1" customWidth="1"/>
    <col min="32" max="32" width="9.01171875" customWidth="1"/>
    <col min="33" max="33" width="13.98828125" bestFit="1" customWidth="1"/>
    <col min="34" max="34" width="13.046875" bestFit="1" customWidth="1"/>
    <col min="35" max="35" width="17.3515625" bestFit="1" customWidth="1"/>
    <col min="36" max="36" width="10.4921875" bestFit="1" customWidth="1"/>
    <col min="37" max="37" width="14.796875" bestFit="1" customWidth="1"/>
    <col min="38" max="38" width="17.890625" bestFit="1" customWidth="1"/>
    <col min="39" max="39" width="22.05859375" bestFit="1" customWidth="1"/>
    <col min="40" max="40" width="13.98828125" bestFit="1" customWidth="1"/>
    <col min="41" max="41" width="9.953125" customWidth="1"/>
    <col min="42" max="42" width="10.625" bestFit="1" customWidth="1"/>
    <col min="45" max="45" width="34.4375" customWidth="1"/>
  </cols>
  <sheetData>
    <row r="1" spans="1:45" x14ac:dyDescent="0.2">
      <c r="A1" t="s">
        <v>2</v>
      </c>
      <c r="B1" t="s">
        <v>0</v>
      </c>
      <c r="C1" t="s">
        <v>1</v>
      </c>
      <c r="D1" t="s">
        <v>41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s="8" t="s">
        <v>24</v>
      </c>
      <c r="AA1" s="8" t="s">
        <v>25</v>
      </c>
      <c r="AB1" s="8" t="s">
        <v>42</v>
      </c>
      <c r="AC1" s="8" t="s">
        <v>43</v>
      </c>
      <c r="AD1" s="8" t="s">
        <v>44</v>
      </c>
      <c r="AE1" s="8" t="s">
        <v>65</v>
      </c>
      <c r="AF1" s="8" t="s">
        <v>66</v>
      </c>
      <c r="AG1" s="8" t="s">
        <v>67</v>
      </c>
      <c r="AH1" s="8" t="s">
        <v>68</v>
      </c>
      <c r="AI1" s="8" t="s">
        <v>69</v>
      </c>
      <c r="AJ1" s="8" t="s">
        <v>70</v>
      </c>
      <c r="AK1" s="8" t="s">
        <v>71</v>
      </c>
      <c r="AL1" s="8" t="s">
        <v>72</v>
      </c>
      <c r="AM1" s="8" t="s">
        <v>73</v>
      </c>
      <c r="AN1" s="2" t="s">
        <v>74</v>
      </c>
      <c r="AO1" s="14" t="s">
        <v>75</v>
      </c>
      <c r="AP1" s="13" t="s">
        <v>76</v>
      </c>
      <c r="AS1" t="s">
        <v>261</v>
      </c>
    </row>
    <row r="2" spans="1:45" x14ac:dyDescent="0.2">
      <c r="A2" t="s">
        <v>27</v>
      </c>
      <c r="B2" t="s">
        <v>26</v>
      </c>
      <c r="D2" t="s">
        <v>26</v>
      </c>
      <c r="E2">
        <v>2021</v>
      </c>
      <c r="F2">
        <v>1</v>
      </c>
      <c r="G2" t="s">
        <v>28</v>
      </c>
      <c r="H2">
        <v>123</v>
      </c>
      <c r="I2">
        <v>123</v>
      </c>
      <c r="J2" s="1">
        <v>44414.390844907408</v>
      </c>
      <c r="K2" t="s">
        <v>29</v>
      </c>
      <c r="L2" t="s">
        <v>26</v>
      </c>
      <c r="M2" t="s">
        <v>30</v>
      </c>
      <c r="P2" s="6" t="s">
        <v>31</v>
      </c>
      <c r="Q2" s="6" t="s">
        <v>31</v>
      </c>
      <c r="R2" s="6" t="s">
        <v>32</v>
      </c>
      <c r="S2" s="6" t="s">
        <v>31</v>
      </c>
      <c r="T2" s="6" t="s">
        <v>31</v>
      </c>
      <c r="U2" s="6" t="s">
        <v>31</v>
      </c>
      <c r="V2" s="6" t="s">
        <v>31</v>
      </c>
      <c r="W2" s="6" t="s">
        <v>31</v>
      </c>
      <c r="X2" s="6">
        <v>25</v>
      </c>
      <c r="Y2" s="6" t="s">
        <v>36</v>
      </c>
      <c r="Z2" s="6">
        <v>4</v>
      </c>
      <c r="AA2" s="6">
        <v>4</v>
      </c>
      <c r="AB2" s="6">
        <v>4</v>
      </c>
      <c r="AC2" s="6">
        <v>4</v>
      </c>
      <c r="AD2" s="6">
        <v>4</v>
      </c>
      <c r="AE2" s="6">
        <v>1</v>
      </c>
      <c r="AF2" s="6">
        <v>2021</v>
      </c>
      <c r="AG2" s="6" t="s">
        <v>64</v>
      </c>
      <c r="AH2" s="6">
        <v>5</v>
      </c>
      <c r="AI2" s="6">
        <v>100</v>
      </c>
      <c r="AJ2" s="6">
        <v>5</v>
      </c>
      <c r="AK2" s="6">
        <v>100</v>
      </c>
      <c r="AL2" s="6">
        <v>5</v>
      </c>
      <c r="AM2" s="6">
        <v>100</v>
      </c>
      <c r="AN2" s="6">
        <v>5</v>
      </c>
      <c r="AO2" s="6">
        <v>5</v>
      </c>
      <c r="AP2" s="6">
        <v>100</v>
      </c>
      <c r="AS2" s="8" t="s">
        <v>24</v>
      </c>
    </row>
    <row r="3" spans="1:45" x14ac:dyDescent="0.2">
      <c r="A3" t="s">
        <v>27</v>
      </c>
      <c r="B3" t="s">
        <v>26</v>
      </c>
      <c r="D3" t="s">
        <v>26</v>
      </c>
      <c r="E3">
        <v>2021</v>
      </c>
      <c r="F3">
        <v>1</v>
      </c>
      <c r="G3" t="s">
        <v>28</v>
      </c>
      <c r="H3">
        <v>123</v>
      </c>
      <c r="I3">
        <v>123</v>
      </c>
      <c r="J3" s="1">
        <v>44414.390844907408</v>
      </c>
      <c r="K3" t="s">
        <v>29</v>
      </c>
      <c r="L3" t="s">
        <v>26</v>
      </c>
      <c r="M3" t="s">
        <v>30</v>
      </c>
      <c r="P3" t="s">
        <v>31</v>
      </c>
      <c r="Q3" t="s">
        <v>31</v>
      </c>
      <c r="R3" t="s">
        <v>32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>
        <v>22</v>
      </c>
      <c r="Y3" t="s">
        <v>33</v>
      </c>
      <c r="Z3">
        <v>4</v>
      </c>
      <c r="AA3">
        <v>4</v>
      </c>
      <c r="AB3">
        <v>4</v>
      </c>
      <c r="AC3">
        <v>4</v>
      </c>
      <c r="AD3">
        <v>4</v>
      </c>
      <c r="AE3">
        <v>1</v>
      </c>
      <c r="AF3">
        <v>2021</v>
      </c>
      <c r="AG3" t="s">
        <v>61</v>
      </c>
      <c r="AH3">
        <v>15</v>
      </c>
      <c r="AI3">
        <v>100</v>
      </c>
      <c r="AJ3">
        <v>15</v>
      </c>
      <c r="AK3">
        <v>100</v>
      </c>
      <c r="AL3">
        <v>15</v>
      </c>
      <c r="AM3">
        <v>100</v>
      </c>
      <c r="AN3">
        <v>15</v>
      </c>
      <c r="AO3">
        <v>15</v>
      </c>
      <c r="AP3">
        <v>100</v>
      </c>
      <c r="AS3" s="8" t="s">
        <v>25</v>
      </c>
    </row>
    <row r="4" spans="1:45" x14ac:dyDescent="0.2">
      <c r="A4" t="s">
        <v>27</v>
      </c>
      <c r="B4" t="s">
        <v>26</v>
      </c>
      <c r="D4" t="s">
        <v>26</v>
      </c>
      <c r="E4">
        <v>2021</v>
      </c>
      <c r="F4">
        <v>1</v>
      </c>
      <c r="G4" t="s">
        <v>28</v>
      </c>
      <c r="H4">
        <v>123</v>
      </c>
      <c r="I4">
        <v>123</v>
      </c>
      <c r="J4" s="1">
        <v>44414.390844907408</v>
      </c>
      <c r="K4" t="s">
        <v>29</v>
      </c>
      <c r="L4" t="s">
        <v>26</v>
      </c>
      <c r="M4" t="s">
        <v>30</v>
      </c>
      <c r="P4" t="s">
        <v>31</v>
      </c>
      <c r="Q4" t="s">
        <v>31</v>
      </c>
      <c r="R4" t="s">
        <v>32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>
        <v>24</v>
      </c>
      <c r="Y4" t="s">
        <v>35</v>
      </c>
      <c r="Z4">
        <v>3</v>
      </c>
      <c r="AA4">
        <v>3</v>
      </c>
      <c r="AB4">
        <v>3</v>
      </c>
      <c r="AC4">
        <v>3</v>
      </c>
      <c r="AD4">
        <v>4</v>
      </c>
      <c r="AE4">
        <v>0.75</v>
      </c>
      <c r="AF4">
        <v>2021</v>
      </c>
      <c r="AG4" t="s">
        <v>63</v>
      </c>
      <c r="AH4">
        <v>30</v>
      </c>
      <c r="AI4">
        <v>100</v>
      </c>
      <c r="AJ4">
        <v>30</v>
      </c>
      <c r="AK4">
        <v>100</v>
      </c>
      <c r="AL4">
        <v>30</v>
      </c>
      <c r="AM4">
        <v>100</v>
      </c>
      <c r="AN4">
        <v>22.5</v>
      </c>
      <c r="AO4">
        <v>30</v>
      </c>
      <c r="AP4">
        <v>100</v>
      </c>
      <c r="AS4" s="8" t="s">
        <v>42</v>
      </c>
    </row>
    <row r="5" spans="1:45" x14ac:dyDescent="0.2">
      <c r="A5" t="s">
        <v>27</v>
      </c>
      <c r="B5" t="s">
        <v>26</v>
      </c>
      <c r="D5" t="s">
        <v>26</v>
      </c>
      <c r="E5">
        <v>2021</v>
      </c>
      <c r="F5">
        <v>1</v>
      </c>
      <c r="G5" t="s">
        <v>28</v>
      </c>
      <c r="H5">
        <v>123</v>
      </c>
      <c r="I5">
        <v>123</v>
      </c>
      <c r="J5" s="1">
        <v>44414.390844907408</v>
      </c>
      <c r="K5" t="s">
        <v>29</v>
      </c>
      <c r="L5" t="s">
        <v>26</v>
      </c>
      <c r="M5" t="s">
        <v>30</v>
      </c>
      <c r="P5" t="s">
        <v>31</v>
      </c>
      <c r="Q5" t="s">
        <v>31</v>
      </c>
      <c r="R5" t="s">
        <v>32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>
        <v>26</v>
      </c>
      <c r="Y5" t="s">
        <v>37</v>
      </c>
      <c r="Z5">
        <v>3</v>
      </c>
      <c r="AA5">
        <v>3</v>
      </c>
      <c r="AB5">
        <v>3</v>
      </c>
      <c r="AC5">
        <v>3</v>
      </c>
      <c r="AD5">
        <v>4</v>
      </c>
      <c r="AE5">
        <v>0.75</v>
      </c>
      <c r="AF5">
        <v>2021</v>
      </c>
      <c r="AG5" t="s">
        <v>64</v>
      </c>
      <c r="AH5">
        <v>5</v>
      </c>
      <c r="AI5">
        <v>100</v>
      </c>
      <c r="AJ5">
        <v>5</v>
      </c>
      <c r="AK5">
        <v>100</v>
      </c>
      <c r="AL5">
        <v>5</v>
      </c>
      <c r="AM5">
        <v>100</v>
      </c>
      <c r="AN5">
        <v>3.75</v>
      </c>
      <c r="AO5">
        <v>5</v>
      </c>
      <c r="AP5">
        <v>100</v>
      </c>
      <c r="AS5" s="8" t="s">
        <v>43</v>
      </c>
    </row>
    <row r="6" spans="1:45" x14ac:dyDescent="0.2">
      <c r="A6" t="s">
        <v>27</v>
      </c>
      <c r="B6" t="s">
        <v>26</v>
      </c>
      <c r="D6" t="s">
        <v>26</v>
      </c>
      <c r="E6">
        <v>2021</v>
      </c>
      <c r="F6">
        <v>1</v>
      </c>
      <c r="G6" t="s">
        <v>28</v>
      </c>
      <c r="H6">
        <v>123</v>
      </c>
      <c r="I6">
        <v>123</v>
      </c>
      <c r="J6" s="1">
        <v>44414.390844907408</v>
      </c>
      <c r="K6" t="s">
        <v>29</v>
      </c>
      <c r="L6" t="s">
        <v>26</v>
      </c>
      <c r="M6" t="s">
        <v>30</v>
      </c>
      <c r="P6" t="s">
        <v>31</v>
      </c>
      <c r="Q6" t="s">
        <v>31</v>
      </c>
      <c r="R6" t="s">
        <v>32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>
        <v>23</v>
      </c>
      <c r="Y6" t="s">
        <v>34</v>
      </c>
      <c r="Z6">
        <v>3</v>
      </c>
      <c r="AA6">
        <v>3</v>
      </c>
      <c r="AB6">
        <v>3</v>
      </c>
      <c r="AC6">
        <v>3</v>
      </c>
      <c r="AD6">
        <v>4</v>
      </c>
      <c r="AE6">
        <v>0.75</v>
      </c>
      <c r="AF6">
        <v>2021</v>
      </c>
      <c r="AG6" t="s">
        <v>61</v>
      </c>
      <c r="AH6">
        <v>15</v>
      </c>
      <c r="AI6">
        <v>100</v>
      </c>
      <c r="AJ6">
        <v>15</v>
      </c>
      <c r="AK6">
        <v>100</v>
      </c>
      <c r="AL6">
        <v>15</v>
      </c>
      <c r="AM6">
        <v>100</v>
      </c>
      <c r="AN6">
        <v>11.25</v>
      </c>
      <c r="AO6">
        <v>15</v>
      </c>
      <c r="AP6">
        <v>100</v>
      </c>
      <c r="AS6" s="8" t="s">
        <v>44</v>
      </c>
    </row>
    <row r="7" spans="1:45" x14ac:dyDescent="0.2">
      <c r="A7" t="s">
        <v>27</v>
      </c>
      <c r="B7" t="s">
        <v>26</v>
      </c>
      <c r="D7" t="s">
        <v>26</v>
      </c>
      <c r="E7">
        <v>2021</v>
      </c>
      <c r="F7">
        <v>1</v>
      </c>
      <c r="G7" t="s">
        <v>28</v>
      </c>
      <c r="H7">
        <v>123</v>
      </c>
      <c r="I7">
        <v>123</v>
      </c>
      <c r="J7" s="1">
        <v>44414.390844907408</v>
      </c>
      <c r="K7" t="s">
        <v>29</v>
      </c>
      <c r="L7" t="s">
        <v>26</v>
      </c>
      <c r="M7" t="s">
        <v>30</v>
      </c>
      <c r="P7" t="s">
        <v>31</v>
      </c>
      <c r="Q7" t="s">
        <v>31</v>
      </c>
      <c r="R7" t="s">
        <v>32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>
        <v>30</v>
      </c>
      <c r="Y7" t="s">
        <v>38</v>
      </c>
      <c r="Z7">
        <v>4</v>
      </c>
      <c r="AA7">
        <v>4</v>
      </c>
      <c r="AB7">
        <v>4</v>
      </c>
      <c r="AC7">
        <v>4</v>
      </c>
      <c r="AD7">
        <v>4</v>
      </c>
      <c r="AE7">
        <v>1</v>
      </c>
      <c r="AF7">
        <v>2021</v>
      </c>
      <c r="AG7" t="s">
        <v>62</v>
      </c>
      <c r="AH7">
        <v>15</v>
      </c>
      <c r="AI7">
        <v>100</v>
      </c>
      <c r="AJ7">
        <v>15</v>
      </c>
      <c r="AK7">
        <v>100</v>
      </c>
      <c r="AL7">
        <v>15</v>
      </c>
      <c r="AM7">
        <v>100</v>
      </c>
      <c r="AN7">
        <v>15</v>
      </c>
      <c r="AO7">
        <v>15</v>
      </c>
      <c r="AP7">
        <v>100</v>
      </c>
      <c r="AS7" s="8" t="s">
        <v>65</v>
      </c>
    </row>
    <row r="8" spans="1:45" x14ac:dyDescent="0.2">
      <c r="A8" t="s">
        <v>27</v>
      </c>
      <c r="B8" t="s">
        <v>26</v>
      </c>
      <c r="D8" t="s">
        <v>26</v>
      </c>
      <c r="E8">
        <v>2021</v>
      </c>
      <c r="F8">
        <v>1</v>
      </c>
      <c r="G8" t="s">
        <v>28</v>
      </c>
      <c r="H8">
        <v>123</v>
      </c>
      <c r="I8">
        <v>123</v>
      </c>
      <c r="J8" s="1">
        <v>44414.390844907408</v>
      </c>
      <c r="K8" t="s">
        <v>29</v>
      </c>
      <c r="L8" t="s">
        <v>26</v>
      </c>
      <c r="M8" t="s">
        <v>30</v>
      </c>
      <c r="P8" t="s">
        <v>31</v>
      </c>
      <c r="Q8" t="s">
        <v>31</v>
      </c>
      <c r="R8" t="s">
        <v>32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>
        <v>31</v>
      </c>
      <c r="Y8" t="s">
        <v>39</v>
      </c>
      <c r="Z8">
        <v>4</v>
      </c>
      <c r="AA8">
        <v>4</v>
      </c>
      <c r="AB8">
        <v>4</v>
      </c>
      <c r="AC8">
        <v>4</v>
      </c>
      <c r="AD8">
        <v>4</v>
      </c>
      <c r="AE8">
        <v>1</v>
      </c>
      <c r="AF8">
        <v>2021</v>
      </c>
      <c r="AG8" t="s">
        <v>62</v>
      </c>
      <c r="AH8">
        <v>15</v>
      </c>
      <c r="AI8">
        <v>100</v>
      </c>
      <c r="AJ8">
        <v>15</v>
      </c>
      <c r="AK8">
        <v>100</v>
      </c>
      <c r="AL8">
        <v>15</v>
      </c>
      <c r="AM8">
        <v>100</v>
      </c>
      <c r="AN8">
        <v>15</v>
      </c>
      <c r="AO8">
        <v>15</v>
      </c>
      <c r="AP8">
        <v>100</v>
      </c>
      <c r="AS8" s="8" t="s">
        <v>66</v>
      </c>
    </row>
    <row r="9" spans="1:45" x14ac:dyDescent="0.2">
      <c r="AS9" s="8" t="s">
        <v>67</v>
      </c>
    </row>
    <row r="10" spans="1:45" x14ac:dyDescent="0.2">
      <c r="AN10" s="7" t="s">
        <v>423</v>
      </c>
      <c r="AO10" s="7" t="s">
        <v>425</v>
      </c>
      <c r="AS10" s="8" t="s">
        <v>68</v>
      </c>
    </row>
    <row r="11" spans="1:45" x14ac:dyDescent="0.2">
      <c r="AN11" s="7" t="s">
        <v>424</v>
      </c>
      <c r="AS11" s="8" t="s">
        <v>69</v>
      </c>
    </row>
    <row r="12" spans="1:45" x14ac:dyDescent="0.2">
      <c r="A12" t="s">
        <v>2</v>
      </c>
      <c r="B12" t="s">
        <v>0</v>
      </c>
      <c r="C12" t="s">
        <v>1</v>
      </c>
      <c r="D12" t="s">
        <v>41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  <c r="L12" t="s">
        <v>10</v>
      </c>
      <c r="M12" t="s">
        <v>11</v>
      </c>
      <c r="N12" t="s">
        <v>12</v>
      </c>
      <c r="O12" t="s">
        <v>13</v>
      </c>
      <c r="P12" t="s">
        <v>14</v>
      </c>
      <c r="Q12" t="s">
        <v>15</v>
      </c>
      <c r="R12" t="s">
        <v>16</v>
      </c>
      <c r="S12" t="s">
        <v>17</v>
      </c>
      <c r="T12" t="s">
        <v>18</v>
      </c>
      <c r="U12" t="s">
        <v>19</v>
      </c>
      <c r="V12" t="s">
        <v>20</v>
      </c>
      <c r="W12" t="s">
        <v>21</v>
      </c>
      <c r="X12" t="s">
        <v>22</v>
      </c>
      <c r="Y12" t="s">
        <v>23</v>
      </c>
      <c r="Z12" s="8" t="s">
        <v>24</v>
      </c>
      <c r="AA12" s="8" t="s">
        <v>25</v>
      </c>
      <c r="AB12" s="8" t="s">
        <v>42</v>
      </c>
      <c r="AC12" s="8" t="s">
        <v>43</v>
      </c>
      <c r="AD12" s="8" t="s">
        <v>44</v>
      </c>
      <c r="AE12" s="8" t="s">
        <v>65</v>
      </c>
      <c r="AF12" s="8" t="s">
        <v>66</v>
      </c>
      <c r="AG12" s="8" t="s">
        <v>67</v>
      </c>
      <c r="AH12" s="8" t="s">
        <v>68</v>
      </c>
      <c r="AI12" s="8" t="s">
        <v>69</v>
      </c>
      <c r="AJ12" s="8" t="s">
        <v>70</v>
      </c>
      <c r="AK12" s="8" t="s">
        <v>71</v>
      </c>
      <c r="AL12" s="8" t="s">
        <v>72</v>
      </c>
      <c r="AM12" s="8" t="s">
        <v>73</v>
      </c>
      <c r="AN12" s="2" t="s">
        <v>74</v>
      </c>
      <c r="AO12" s="14" t="s">
        <v>75</v>
      </c>
      <c r="AP12" s="13" t="s">
        <v>76</v>
      </c>
      <c r="AS12" s="8" t="s">
        <v>70</v>
      </c>
    </row>
    <row r="13" spans="1:45" x14ac:dyDescent="0.2">
      <c r="A13" t="s">
        <v>443</v>
      </c>
      <c r="B13" t="s">
        <v>339</v>
      </c>
      <c r="D13" t="s">
        <v>339</v>
      </c>
      <c r="E13">
        <v>2024</v>
      </c>
      <c r="F13">
        <v>1</v>
      </c>
      <c r="G13" t="s">
        <v>340</v>
      </c>
      <c r="H13">
        <v>4897</v>
      </c>
      <c r="I13">
        <v>4875</v>
      </c>
      <c r="J13" s="1">
        <v>45474.501493055555</v>
      </c>
      <c r="K13" t="s">
        <v>444</v>
      </c>
      <c r="L13" t="s">
        <v>445</v>
      </c>
      <c r="O13" t="s">
        <v>341</v>
      </c>
      <c r="P13" t="s">
        <v>446</v>
      </c>
      <c r="Q13" t="s">
        <v>445</v>
      </c>
      <c r="R13" t="s">
        <v>449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>
        <v>26</v>
      </c>
      <c r="Y13" t="s">
        <v>31</v>
      </c>
      <c r="Z13" t="s">
        <v>31</v>
      </c>
      <c r="AA13" s="24" t="s">
        <v>31</v>
      </c>
      <c r="AB13" s="24" t="s">
        <v>31</v>
      </c>
      <c r="AC13" s="24" t="s">
        <v>31</v>
      </c>
      <c r="AD13" s="24" t="s">
        <v>31</v>
      </c>
      <c r="AE13" s="24" t="s">
        <v>31</v>
      </c>
      <c r="AF13" s="24" t="s">
        <v>31</v>
      </c>
      <c r="AG13" s="24" t="s">
        <v>31</v>
      </c>
      <c r="AH13" s="24" t="s">
        <v>31</v>
      </c>
      <c r="AI13" s="24">
        <v>355</v>
      </c>
      <c r="AJ13" s="24" t="s">
        <v>31</v>
      </c>
      <c r="AK13" s="24">
        <v>100</v>
      </c>
      <c r="AL13" s="24" t="s">
        <v>31</v>
      </c>
      <c r="AM13" s="24" t="s">
        <v>31</v>
      </c>
      <c r="AN13" s="24" t="s">
        <v>31</v>
      </c>
      <c r="AO13" s="24" t="s">
        <v>31</v>
      </c>
      <c r="AP13" t="s">
        <v>31</v>
      </c>
      <c r="AS13" s="8" t="s">
        <v>71</v>
      </c>
    </row>
    <row r="14" spans="1:45" x14ac:dyDescent="0.2">
      <c r="A14" t="s">
        <v>443</v>
      </c>
      <c r="B14" t="s">
        <v>339</v>
      </c>
      <c r="D14" t="s">
        <v>339</v>
      </c>
      <c r="E14">
        <v>2024</v>
      </c>
      <c r="F14">
        <v>1</v>
      </c>
      <c r="G14" t="s">
        <v>340</v>
      </c>
      <c r="H14">
        <v>4897</v>
      </c>
      <c r="I14">
        <v>4875</v>
      </c>
      <c r="J14" s="1">
        <v>45474.501493055555</v>
      </c>
      <c r="K14" t="s">
        <v>444</v>
      </c>
      <c r="L14" t="s">
        <v>445</v>
      </c>
      <c r="O14" t="s">
        <v>341</v>
      </c>
      <c r="P14" t="s">
        <v>446</v>
      </c>
      <c r="Q14" t="s">
        <v>445</v>
      </c>
      <c r="R14" t="s">
        <v>449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  <c r="X14">
        <v>23</v>
      </c>
      <c r="Y14" t="s">
        <v>346</v>
      </c>
      <c r="Z14">
        <v>3</v>
      </c>
      <c r="AA14" s="2">
        <v>3</v>
      </c>
      <c r="AB14">
        <v>3</v>
      </c>
      <c r="AC14">
        <v>3</v>
      </c>
      <c r="AD14" s="2">
        <v>4</v>
      </c>
      <c r="AE14">
        <v>0.75</v>
      </c>
      <c r="AF14">
        <v>2024</v>
      </c>
      <c r="AG14" t="s">
        <v>61</v>
      </c>
      <c r="AH14">
        <v>30</v>
      </c>
      <c r="AI14">
        <v>355</v>
      </c>
      <c r="AJ14" s="2">
        <v>10</v>
      </c>
      <c r="AK14">
        <v>100</v>
      </c>
      <c r="AL14" s="44">
        <v>10</v>
      </c>
      <c r="AM14">
        <v>48</v>
      </c>
      <c r="AN14">
        <v>7.5</v>
      </c>
      <c r="AO14">
        <v>10</v>
      </c>
      <c r="AP14">
        <v>48</v>
      </c>
      <c r="AS14" s="8" t="s">
        <v>72</v>
      </c>
    </row>
    <row r="15" spans="1:45" x14ac:dyDescent="0.2">
      <c r="A15" t="s">
        <v>443</v>
      </c>
      <c r="B15" t="s">
        <v>339</v>
      </c>
      <c r="D15" t="s">
        <v>339</v>
      </c>
      <c r="E15">
        <v>2024</v>
      </c>
      <c r="F15">
        <v>1</v>
      </c>
      <c r="G15" t="s">
        <v>340</v>
      </c>
      <c r="H15">
        <v>4897</v>
      </c>
      <c r="I15">
        <v>4875</v>
      </c>
      <c r="J15" s="1">
        <v>45474.501493055555</v>
      </c>
      <c r="K15" t="s">
        <v>444</v>
      </c>
      <c r="L15" t="s">
        <v>445</v>
      </c>
      <c r="O15" t="s">
        <v>341</v>
      </c>
      <c r="P15" t="s">
        <v>446</v>
      </c>
      <c r="Q15" t="s">
        <v>445</v>
      </c>
      <c r="R15" t="s">
        <v>449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>
        <v>24</v>
      </c>
      <c r="Y15" t="s">
        <v>362</v>
      </c>
      <c r="Z15">
        <v>3</v>
      </c>
      <c r="AA15">
        <v>3</v>
      </c>
      <c r="AB15">
        <v>3</v>
      </c>
      <c r="AC15">
        <v>3</v>
      </c>
      <c r="AD15">
        <v>4</v>
      </c>
      <c r="AE15">
        <v>0.75</v>
      </c>
      <c r="AF15">
        <v>2024</v>
      </c>
      <c r="AG15" t="s">
        <v>61</v>
      </c>
      <c r="AH15">
        <v>30</v>
      </c>
      <c r="AI15">
        <v>355</v>
      </c>
      <c r="AJ15">
        <v>10</v>
      </c>
      <c r="AK15">
        <v>100</v>
      </c>
      <c r="AL15">
        <v>10</v>
      </c>
      <c r="AM15">
        <v>48</v>
      </c>
      <c r="AN15">
        <v>7.5</v>
      </c>
      <c r="AO15">
        <v>10</v>
      </c>
      <c r="AP15">
        <v>48</v>
      </c>
      <c r="AS15" s="8" t="s">
        <v>73</v>
      </c>
    </row>
    <row r="16" spans="1:45" x14ac:dyDescent="0.2">
      <c r="A16" t="s">
        <v>443</v>
      </c>
      <c r="B16" t="s">
        <v>339</v>
      </c>
      <c r="D16" t="s">
        <v>339</v>
      </c>
      <c r="E16">
        <v>2024</v>
      </c>
      <c r="F16">
        <v>1</v>
      </c>
      <c r="G16" t="s">
        <v>340</v>
      </c>
      <c r="H16">
        <v>4897</v>
      </c>
      <c r="I16">
        <v>4875</v>
      </c>
      <c r="J16" s="1">
        <v>45474.501493055555</v>
      </c>
      <c r="K16" t="s">
        <v>444</v>
      </c>
      <c r="L16" t="s">
        <v>445</v>
      </c>
      <c r="O16" t="s">
        <v>341</v>
      </c>
      <c r="P16" t="s">
        <v>446</v>
      </c>
      <c r="Q16" t="s">
        <v>445</v>
      </c>
      <c r="R16" t="s">
        <v>449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>
        <v>25</v>
      </c>
      <c r="Y16" t="s">
        <v>363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1</v>
      </c>
      <c r="AF16">
        <v>2024</v>
      </c>
      <c r="AG16" t="s">
        <v>61</v>
      </c>
      <c r="AH16">
        <v>30</v>
      </c>
      <c r="AI16">
        <v>355</v>
      </c>
      <c r="AJ16">
        <v>10</v>
      </c>
      <c r="AK16">
        <v>100</v>
      </c>
      <c r="AL16">
        <v>10</v>
      </c>
      <c r="AM16">
        <v>48</v>
      </c>
      <c r="AN16">
        <v>10</v>
      </c>
      <c r="AO16">
        <v>10</v>
      </c>
      <c r="AP16">
        <v>48</v>
      </c>
    </row>
    <row r="17" spans="1:53" x14ac:dyDescent="0.2">
      <c r="A17" t="s">
        <v>443</v>
      </c>
      <c r="B17" t="s">
        <v>339</v>
      </c>
      <c r="D17" t="s">
        <v>339</v>
      </c>
      <c r="E17">
        <v>2024</v>
      </c>
      <c r="F17">
        <v>1</v>
      </c>
      <c r="G17" t="s">
        <v>340</v>
      </c>
      <c r="H17">
        <v>4897</v>
      </c>
      <c r="I17">
        <v>4875</v>
      </c>
      <c r="J17" s="1">
        <v>45474.501493055555</v>
      </c>
      <c r="K17" t="s">
        <v>444</v>
      </c>
      <c r="L17" t="s">
        <v>445</v>
      </c>
      <c r="O17" t="s">
        <v>341</v>
      </c>
      <c r="P17" t="s">
        <v>446</v>
      </c>
      <c r="Q17" t="s">
        <v>445</v>
      </c>
      <c r="R17" t="s">
        <v>449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>
        <v>47</v>
      </c>
      <c r="Y17" t="s">
        <v>342</v>
      </c>
      <c r="Z17" t="s">
        <v>31</v>
      </c>
      <c r="AA17" t="s">
        <v>31</v>
      </c>
      <c r="AB17" t="s">
        <v>31</v>
      </c>
      <c r="AC17" t="s">
        <v>31</v>
      </c>
      <c r="AD17">
        <v>4</v>
      </c>
      <c r="AE17" t="s">
        <v>31</v>
      </c>
      <c r="AF17">
        <v>2024</v>
      </c>
      <c r="AG17" t="s">
        <v>63</v>
      </c>
      <c r="AH17">
        <v>20</v>
      </c>
      <c r="AI17">
        <v>355</v>
      </c>
      <c r="AJ17">
        <v>3.3332999999999999</v>
      </c>
      <c r="AK17">
        <v>100</v>
      </c>
      <c r="AL17" t="s">
        <v>31</v>
      </c>
      <c r="AM17" t="s">
        <v>31</v>
      </c>
      <c r="AN17" t="s">
        <v>31</v>
      </c>
      <c r="AO17" t="s">
        <v>31</v>
      </c>
      <c r="AP17" t="s">
        <v>31</v>
      </c>
    </row>
    <row r="18" spans="1:53" x14ac:dyDescent="0.2">
      <c r="A18" t="s">
        <v>443</v>
      </c>
      <c r="B18" t="s">
        <v>339</v>
      </c>
      <c r="D18" t="s">
        <v>339</v>
      </c>
      <c r="E18">
        <v>2024</v>
      </c>
      <c r="F18">
        <v>1</v>
      </c>
      <c r="G18" t="s">
        <v>340</v>
      </c>
      <c r="H18">
        <v>4897</v>
      </c>
      <c r="I18">
        <v>4875</v>
      </c>
      <c r="J18" s="1">
        <v>45474.501493055555</v>
      </c>
      <c r="K18" t="s">
        <v>444</v>
      </c>
      <c r="L18" t="s">
        <v>445</v>
      </c>
      <c r="O18" t="s">
        <v>341</v>
      </c>
      <c r="P18" t="s">
        <v>446</v>
      </c>
      <c r="Q18" t="s">
        <v>445</v>
      </c>
      <c r="R18" t="s">
        <v>449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>
        <v>27</v>
      </c>
      <c r="Y18" t="s">
        <v>364</v>
      </c>
      <c r="Z18" t="s">
        <v>31</v>
      </c>
      <c r="AA18" t="s">
        <v>31</v>
      </c>
      <c r="AB18" t="s">
        <v>31</v>
      </c>
      <c r="AC18" t="s">
        <v>31</v>
      </c>
      <c r="AD18">
        <v>4</v>
      </c>
      <c r="AE18" t="s">
        <v>31</v>
      </c>
      <c r="AF18">
        <v>2024</v>
      </c>
      <c r="AG18" t="s">
        <v>63</v>
      </c>
      <c r="AH18">
        <v>20</v>
      </c>
      <c r="AI18">
        <v>355</v>
      </c>
      <c r="AJ18">
        <v>3.3332999999999999</v>
      </c>
      <c r="AK18">
        <v>100</v>
      </c>
      <c r="AL18" t="s">
        <v>31</v>
      </c>
      <c r="AM18" t="s">
        <v>31</v>
      </c>
      <c r="AN18" t="s">
        <v>31</v>
      </c>
      <c r="AO18" t="s">
        <v>31</v>
      </c>
      <c r="AP18" t="s">
        <v>31</v>
      </c>
    </row>
    <row r="19" spans="1:53" x14ac:dyDescent="0.2">
      <c r="A19" t="s">
        <v>443</v>
      </c>
      <c r="B19" t="s">
        <v>339</v>
      </c>
      <c r="D19" t="s">
        <v>339</v>
      </c>
      <c r="E19">
        <v>2024</v>
      </c>
      <c r="F19">
        <v>1</v>
      </c>
      <c r="G19" t="s">
        <v>340</v>
      </c>
      <c r="H19">
        <v>4897</v>
      </c>
      <c r="I19">
        <v>4875</v>
      </c>
      <c r="J19" s="1">
        <v>45474.501493055555</v>
      </c>
      <c r="K19" t="s">
        <v>444</v>
      </c>
      <c r="L19" t="s">
        <v>445</v>
      </c>
      <c r="O19" t="s">
        <v>341</v>
      </c>
      <c r="P19" t="s">
        <v>446</v>
      </c>
      <c r="Q19" t="s">
        <v>445</v>
      </c>
      <c r="R19" t="s">
        <v>449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>
        <v>28</v>
      </c>
      <c r="Y19" t="s">
        <v>365</v>
      </c>
      <c r="Z19" t="s">
        <v>31</v>
      </c>
      <c r="AA19" t="s">
        <v>31</v>
      </c>
      <c r="AB19" t="s">
        <v>31</v>
      </c>
      <c r="AC19" t="s">
        <v>31</v>
      </c>
      <c r="AD19">
        <v>4</v>
      </c>
      <c r="AE19" t="s">
        <v>31</v>
      </c>
      <c r="AF19">
        <v>2024</v>
      </c>
      <c r="AG19" t="s">
        <v>63</v>
      </c>
      <c r="AH19">
        <v>20</v>
      </c>
      <c r="AI19">
        <v>355</v>
      </c>
      <c r="AJ19">
        <v>3.3332999999999999</v>
      </c>
      <c r="AK19">
        <v>100</v>
      </c>
      <c r="AL19" t="s">
        <v>31</v>
      </c>
      <c r="AM19" t="s">
        <v>31</v>
      </c>
      <c r="AN19" t="s">
        <v>31</v>
      </c>
      <c r="AO19" t="s">
        <v>31</v>
      </c>
      <c r="AP19" t="s">
        <v>31</v>
      </c>
      <c r="AS19" s="2" t="s">
        <v>74</v>
      </c>
      <c r="AT19" t="s">
        <v>262</v>
      </c>
    </row>
    <row r="20" spans="1:53" x14ac:dyDescent="0.2">
      <c r="A20" t="s">
        <v>443</v>
      </c>
      <c r="B20" t="s">
        <v>339</v>
      </c>
      <c r="D20" t="s">
        <v>339</v>
      </c>
      <c r="E20">
        <v>2024</v>
      </c>
      <c r="F20">
        <v>1</v>
      </c>
      <c r="G20" t="s">
        <v>340</v>
      </c>
      <c r="H20">
        <v>4897</v>
      </c>
      <c r="I20">
        <v>4875</v>
      </c>
      <c r="J20" s="1">
        <v>45474.501493055555</v>
      </c>
      <c r="K20" t="s">
        <v>444</v>
      </c>
      <c r="L20" t="s">
        <v>445</v>
      </c>
      <c r="O20" t="s">
        <v>341</v>
      </c>
      <c r="P20" t="s">
        <v>446</v>
      </c>
      <c r="Q20" t="s">
        <v>445</v>
      </c>
      <c r="R20" t="s">
        <v>449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  <c r="X20">
        <v>29</v>
      </c>
      <c r="Y20" t="s">
        <v>366</v>
      </c>
      <c r="Z20" t="s">
        <v>31</v>
      </c>
      <c r="AA20" t="s">
        <v>31</v>
      </c>
      <c r="AB20" t="s">
        <v>31</v>
      </c>
      <c r="AC20" t="s">
        <v>31</v>
      </c>
      <c r="AD20">
        <v>4</v>
      </c>
      <c r="AE20" t="s">
        <v>31</v>
      </c>
      <c r="AF20">
        <v>2024</v>
      </c>
      <c r="AG20" t="s">
        <v>63</v>
      </c>
      <c r="AH20">
        <v>20</v>
      </c>
      <c r="AI20">
        <v>355</v>
      </c>
      <c r="AJ20">
        <v>3.3332999999999999</v>
      </c>
      <c r="AK20">
        <v>100</v>
      </c>
      <c r="AL20" t="s">
        <v>31</v>
      </c>
      <c r="AM20" t="s">
        <v>31</v>
      </c>
      <c r="AN20" t="s">
        <v>31</v>
      </c>
      <c r="AO20" t="s">
        <v>31</v>
      </c>
      <c r="AP20" t="s">
        <v>31</v>
      </c>
      <c r="AS20" s="6" t="s">
        <v>265</v>
      </c>
      <c r="AT20" s="7" t="s">
        <v>263</v>
      </c>
      <c r="BA20" t="s">
        <v>159</v>
      </c>
    </row>
    <row r="21" spans="1:53" x14ac:dyDescent="0.2">
      <c r="A21" t="s">
        <v>443</v>
      </c>
      <c r="B21" t="s">
        <v>339</v>
      </c>
      <c r="D21" t="s">
        <v>339</v>
      </c>
      <c r="E21">
        <v>2024</v>
      </c>
      <c r="F21">
        <v>1</v>
      </c>
      <c r="G21" t="s">
        <v>340</v>
      </c>
      <c r="H21">
        <v>4897</v>
      </c>
      <c r="I21">
        <v>4875</v>
      </c>
      <c r="J21" s="1">
        <v>45474.501493055555</v>
      </c>
      <c r="K21" t="s">
        <v>444</v>
      </c>
      <c r="L21" t="s">
        <v>445</v>
      </c>
      <c r="O21" t="s">
        <v>341</v>
      </c>
      <c r="P21" t="s">
        <v>446</v>
      </c>
      <c r="Q21" t="s">
        <v>445</v>
      </c>
      <c r="R21" t="s">
        <v>449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  <c r="X21">
        <v>30</v>
      </c>
      <c r="Y21" t="s">
        <v>377</v>
      </c>
      <c r="Z21" t="s">
        <v>31</v>
      </c>
      <c r="AA21" t="s">
        <v>31</v>
      </c>
      <c r="AB21" t="s">
        <v>31</v>
      </c>
      <c r="AC21" t="s">
        <v>31</v>
      </c>
      <c r="AD21">
        <v>4</v>
      </c>
      <c r="AE21" t="s">
        <v>31</v>
      </c>
      <c r="AF21">
        <v>2024</v>
      </c>
      <c r="AG21" t="s">
        <v>63</v>
      </c>
      <c r="AH21">
        <v>20</v>
      </c>
      <c r="AI21">
        <v>355</v>
      </c>
      <c r="AJ21">
        <v>3.3332999999999999</v>
      </c>
      <c r="AK21">
        <v>100</v>
      </c>
      <c r="AL21" t="s">
        <v>31</v>
      </c>
      <c r="AM21" t="s">
        <v>31</v>
      </c>
      <c r="AN21" t="s">
        <v>31</v>
      </c>
      <c r="AO21" t="s">
        <v>31</v>
      </c>
      <c r="AP21" t="s">
        <v>31</v>
      </c>
      <c r="BA21" t="s">
        <v>244</v>
      </c>
    </row>
    <row r="22" spans="1:53" x14ac:dyDescent="0.2">
      <c r="A22" t="s">
        <v>443</v>
      </c>
      <c r="B22" t="s">
        <v>339</v>
      </c>
      <c r="D22" t="s">
        <v>339</v>
      </c>
      <c r="E22">
        <v>2024</v>
      </c>
      <c r="F22">
        <v>1</v>
      </c>
      <c r="G22" t="s">
        <v>340</v>
      </c>
      <c r="H22">
        <v>4897</v>
      </c>
      <c r="I22">
        <v>4875</v>
      </c>
      <c r="J22" s="1">
        <v>45474.501493055555</v>
      </c>
      <c r="K22" t="s">
        <v>444</v>
      </c>
      <c r="L22" t="s">
        <v>445</v>
      </c>
      <c r="O22" t="s">
        <v>341</v>
      </c>
      <c r="P22" t="s">
        <v>446</v>
      </c>
      <c r="Q22" t="s">
        <v>445</v>
      </c>
      <c r="R22" t="s">
        <v>449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>
        <v>31</v>
      </c>
      <c r="Y22" t="s">
        <v>368</v>
      </c>
      <c r="Z22" t="s">
        <v>31</v>
      </c>
      <c r="AA22" t="s">
        <v>31</v>
      </c>
      <c r="AB22" t="s">
        <v>31</v>
      </c>
      <c r="AC22" t="s">
        <v>31</v>
      </c>
      <c r="AD22">
        <v>4</v>
      </c>
      <c r="AE22" t="s">
        <v>31</v>
      </c>
      <c r="AF22">
        <v>2024</v>
      </c>
      <c r="AG22" t="s">
        <v>63</v>
      </c>
      <c r="AH22">
        <v>20</v>
      </c>
      <c r="AI22">
        <v>355</v>
      </c>
      <c r="AJ22">
        <v>3.3332999999999999</v>
      </c>
      <c r="AK22">
        <v>100</v>
      </c>
      <c r="AL22" t="s">
        <v>31</v>
      </c>
      <c r="AM22" t="s">
        <v>31</v>
      </c>
      <c r="AN22" t="s">
        <v>31</v>
      </c>
      <c r="AO22" t="s">
        <v>31</v>
      </c>
      <c r="AP22" t="s">
        <v>31</v>
      </c>
      <c r="BA22" t="s">
        <v>243</v>
      </c>
    </row>
    <row r="23" spans="1:53" x14ac:dyDescent="0.2">
      <c r="A23" t="s">
        <v>443</v>
      </c>
      <c r="B23" t="s">
        <v>339</v>
      </c>
      <c r="D23" t="s">
        <v>339</v>
      </c>
      <c r="E23">
        <v>2024</v>
      </c>
      <c r="F23">
        <v>1</v>
      </c>
      <c r="G23" t="s">
        <v>340</v>
      </c>
      <c r="H23">
        <v>4897</v>
      </c>
      <c r="I23">
        <v>4875</v>
      </c>
      <c r="J23" s="1">
        <v>45474.501493055555</v>
      </c>
      <c r="K23" t="s">
        <v>444</v>
      </c>
      <c r="L23" t="s">
        <v>445</v>
      </c>
      <c r="O23" t="s">
        <v>341</v>
      </c>
      <c r="P23" t="s">
        <v>446</v>
      </c>
      <c r="Q23" t="s">
        <v>445</v>
      </c>
      <c r="R23" t="s">
        <v>449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  <c r="X23">
        <v>32</v>
      </c>
      <c r="Y23" t="s">
        <v>369</v>
      </c>
      <c r="Z23" t="s">
        <v>31</v>
      </c>
      <c r="AA23" t="s">
        <v>31</v>
      </c>
      <c r="AB23" t="s">
        <v>31</v>
      </c>
      <c r="AC23" t="s">
        <v>31</v>
      </c>
      <c r="AD23">
        <v>4</v>
      </c>
      <c r="AE23" t="s">
        <v>31</v>
      </c>
      <c r="AF23">
        <v>2024</v>
      </c>
      <c r="AG23" t="s">
        <v>62</v>
      </c>
      <c r="AH23">
        <v>20</v>
      </c>
      <c r="AI23">
        <v>355</v>
      </c>
      <c r="AJ23">
        <v>10</v>
      </c>
      <c r="AK23">
        <v>100</v>
      </c>
      <c r="AL23" t="s">
        <v>31</v>
      </c>
      <c r="AM23" t="s">
        <v>31</v>
      </c>
      <c r="AN23" t="s">
        <v>31</v>
      </c>
      <c r="AO23" t="s">
        <v>31</v>
      </c>
      <c r="AP23" t="s">
        <v>31</v>
      </c>
      <c r="BA23" t="s">
        <v>242</v>
      </c>
    </row>
    <row r="24" spans="1:53" x14ac:dyDescent="0.2">
      <c r="A24" t="s">
        <v>443</v>
      </c>
      <c r="B24" t="s">
        <v>339</v>
      </c>
      <c r="D24" t="s">
        <v>339</v>
      </c>
      <c r="E24">
        <v>2024</v>
      </c>
      <c r="F24">
        <v>1</v>
      </c>
      <c r="G24" t="s">
        <v>340</v>
      </c>
      <c r="H24">
        <v>4897</v>
      </c>
      <c r="I24">
        <v>4875</v>
      </c>
      <c r="J24" s="1">
        <v>45474.501493055555</v>
      </c>
      <c r="K24" t="s">
        <v>444</v>
      </c>
      <c r="L24" t="s">
        <v>445</v>
      </c>
      <c r="O24" t="s">
        <v>341</v>
      </c>
      <c r="P24" t="s">
        <v>446</v>
      </c>
      <c r="Q24" t="s">
        <v>445</v>
      </c>
      <c r="R24" t="s">
        <v>449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>
        <v>33</v>
      </c>
      <c r="Y24" t="s">
        <v>344</v>
      </c>
      <c r="Z24" t="s">
        <v>31</v>
      </c>
      <c r="AA24" t="s">
        <v>31</v>
      </c>
      <c r="AB24" t="s">
        <v>31</v>
      </c>
      <c r="AC24" t="s">
        <v>31</v>
      </c>
      <c r="AD24">
        <v>4</v>
      </c>
      <c r="AE24" t="s">
        <v>31</v>
      </c>
      <c r="AF24">
        <v>2024</v>
      </c>
      <c r="AG24" t="s">
        <v>62</v>
      </c>
      <c r="AH24">
        <v>20</v>
      </c>
      <c r="AI24">
        <v>355</v>
      </c>
      <c r="AJ24">
        <v>10</v>
      </c>
      <c r="AK24">
        <v>100</v>
      </c>
      <c r="AL24" t="s">
        <v>31</v>
      </c>
      <c r="AM24" t="s">
        <v>31</v>
      </c>
      <c r="AN24" t="s">
        <v>31</v>
      </c>
      <c r="AO24" t="s">
        <v>31</v>
      </c>
      <c r="AP24" t="s">
        <v>31</v>
      </c>
      <c r="AT24" s="7" t="s">
        <v>264</v>
      </c>
    </row>
    <row r="25" spans="1:53" x14ac:dyDescent="0.2">
      <c r="A25" t="s">
        <v>443</v>
      </c>
      <c r="B25" t="s">
        <v>339</v>
      </c>
      <c r="D25" t="s">
        <v>339</v>
      </c>
      <c r="E25">
        <v>2024</v>
      </c>
      <c r="F25">
        <v>1</v>
      </c>
      <c r="G25" t="s">
        <v>340</v>
      </c>
      <c r="H25">
        <v>4897</v>
      </c>
      <c r="I25">
        <v>4875</v>
      </c>
      <c r="J25" s="1">
        <v>45474.501493055555</v>
      </c>
      <c r="K25" t="s">
        <v>444</v>
      </c>
      <c r="L25" t="s">
        <v>445</v>
      </c>
      <c r="O25" t="s">
        <v>341</v>
      </c>
      <c r="P25" t="s">
        <v>446</v>
      </c>
      <c r="Q25" t="s">
        <v>445</v>
      </c>
      <c r="R25" t="s">
        <v>449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>
        <v>34</v>
      </c>
      <c r="Y25" t="s">
        <v>345</v>
      </c>
      <c r="Z25">
        <v>3</v>
      </c>
      <c r="AA25">
        <v>3</v>
      </c>
      <c r="AB25">
        <v>3</v>
      </c>
      <c r="AC25">
        <v>3</v>
      </c>
      <c r="AD25">
        <v>4</v>
      </c>
      <c r="AE25">
        <v>0.75</v>
      </c>
      <c r="AF25">
        <v>2024</v>
      </c>
      <c r="AG25" t="s">
        <v>64</v>
      </c>
      <c r="AH25">
        <v>15</v>
      </c>
      <c r="AI25">
        <v>355</v>
      </c>
      <c r="AJ25">
        <v>1.5</v>
      </c>
      <c r="AK25">
        <v>100</v>
      </c>
      <c r="AL25">
        <v>1.5</v>
      </c>
      <c r="AM25">
        <v>48</v>
      </c>
      <c r="AN25">
        <v>1.125</v>
      </c>
      <c r="AO25">
        <v>1.5</v>
      </c>
      <c r="AP25">
        <v>48</v>
      </c>
    </row>
    <row r="26" spans="1:53" x14ac:dyDescent="0.2">
      <c r="A26" t="s">
        <v>443</v>
      </c>
      <c r="B26" t="s">
        <v>339</v>
      </c>
      <c r="D26" t="s">
        <v>339</v>
      </c>
      <c r="E26">
        <v>2024</v>
      </c>
      <c r="F26">
        <v>1</v>
      </c>
      <c r="G26" t="s">
        <v>340</v>
      </c>
      <c r="H26">
        <v>4897</v>
      </c>
      <c r="I26">
        <v>4875</v>
      </c>
      <c r="J26" s="1">
        <v>45474.501493055555</v>
      </c>
      <c r="K26" t="s">
        <v>444</v>
      </c>
      <c r="L26" t="s">
        <v>445</v>
      </c>
      <c r="O26" t="s">
        <v>341</v>
      </c>
      <c r="P26" t="s">
        <v>446</v>
      </c>
      <c r="Q26" t="s">
        <v>445</v>
      </c>
      <c r="R26" t="s">
        <v>449</v>
      </c>
      <c r="S26" t="s">
        <v>31</v>
      </c>
      <c r="T26" t="s">
        <v>31</v>
      </c>
      <c r="U26" t="s">
        <v>31</v>
      </c>
      <c r="V26" t="s">
        <v>31</v>
      </c>
      <c r="W26" t="s">
        <v>31</v>
      </c>
      <c r="X26">
        <v>35</v>
      </c>
      <c r="Y26" t="s">
        <v>343</v>
      </c>
      <c r="Z26">
        <v>4</v>
      </c>
      <c r="AA26">
        <v>4</v>
      </c>
      <c r="AB26">
        <v>4</v>
      </c>
      <c r="AC26">
        <v>4</v>
      </c>
      <c r="AD26">
        <v>4</v>
      </c>
      <c r="AE26">
        <v>1</v>
      </c>
      <c r="AF26">
        <v>2024</v>
      </c>
      <c r="AG26" t="s">
        <v>64</v>
      </c>
      <c r="AH26">
        <v>15</v>
      </c>
      <c r="AI26">
        <v>355</v>
      </c>
      <c r="AJ26">
        <v>1.5</v>
      </c>
      <c r="AK26">
        <v>100</v>
      </c>
      <c r="AL26">
        <v>1.5</v>
      </c>
      <c r="AM26">
        <v>48</v>
      </c>
      <c r="AN26">
        <v>1.5</v>
      </c>
      <c r="AO26">
        <v>1.5</v>
      </c>
      <c r="AP26">
        <v>48</v>
      </c>
    </row>
    <row r="27" spans="1:53" x14ac:dyDescent="0.2">
      <c r="A27" t="s">
        <v>443</v>
      </c>
      <c r="B27" t="s">
        <v>339</v>
      </c>
      <c r="D27" t="s">
        <v>339</v>
      </c>
      <c r="E27">
        <v>2024</v>
      </c>
      <c r="F27">
        <v>1</v>
      </c>
      <c r="G27" t="s">
        <v>340</v>
      </c>
      <c r="H27">
        <v>4897</v>
      </c>
      <c r="I27">
        <v>4875</v>
      </c>
      <c r="J27" s="1">
        <v>45474.501493055555</v>
      </c>
      <c r="K27" t="s">
        <v>444</v>
      </c>
      <c r="L27" t="s">
        <v>445</v>
      </c>
      <c r="O27" t="s">
        <v>341</v>
      </c>
      <c r="P27" t="s">
        <v>446</v>
      </c>
      <c r="Q27" t="s">
        <v>445</v>
      </c>
      <c r="R27" t="s">
        <v>449</v>
      </c>
      <c r="S27" t="s">
        <v>31</v>
      </c>
      <c r="T27" t="s">
        <v>31</v>
      </c>
      <c r="U27" t="s">
        <v>31</v>
      </c>
      <c r="V27" t="s">
        <v>31</v>
      </c>
      <c r="W27" t="s">
        <v>31</v>
      </c>
      <c r="X27">
        <v>36</v>
      </c>
      <c r="Y27" t="s">
        <v>370</v>
      </c>
      <c r="Z27" t="s">
        <v>31</v>
      </c>
      <c r="AA27" t="s">
        <v>31</v>
      </c>
      <c r="AB27" t="s">
        <v>31</v>
      </c>
      <c r="AC27" t="s">
        <v>31</v>
      </c>
      <c r="AD27">
        <v>4</v>
      </c>
      <c r="AE27" t="s">
        <v>31</v>
      </c>
      <c r="AF27">
        <v>2024</v>
      </c>
      <c r="AG27" t="s">
        <v>64</v>
      </c>
      <c r="AH27">
        <v>15</v>
      </c>
      <c r="AI27">
        <v>355</v>
      </c>
      <c r="AJ27">
        <v>1.5</v>
      </c>
      <c r="AK27">
        <v>100</v>
      </c>
      <c r="AL27" t="s">
        <v>31</v>
      </c>
      <c r="AM27" t="s">
        <v>31</v>
      </c>
      <c r="AN27" t="s">
        <v>31</v>
      </c>
      <c r="AO27" t="s">
        <v>31</v>
      </c>
      <c r="AP27" t="s">
        <v>31</v>
      </c>
      <c r="AS27" s="14" t="s">
        <v>75</v>
      </c>
      <c r="AT27" t="s">
        <v>269</v>
      </c>
    </row>
    <row r="28" spans="1:53" x14ac:dyDescent="0.2">
      <c r="A28" t="s">
        <v>443</v>
      </c>
      <c r="B28" t="s">
        <v>339</v>
      </c>
      <c r="D28" t="s">
        <v>339</v>
      </c>
      <c r="E28">
        <v>2024</v>
      </c>
      <c r="F28">
        <v>1</v>
      </c>
      <c r="G28" t="s">
        <v>340</v>
      </c>
      <c r="H28">
        <v>4897</v>
      </c>
      <c r="I28">
        <v>4875</v>
      </c>
      <c r="J28" s="1">
        <v>45474.501493055555</v>
      </c>
      <c r="K28" t="s">
        <v>444</v>
      </c>
      <c r="L28" t="s">
        <v>445</v>
      </c>
      <c r="O28" t="s">
        <v>341</v>
      </c>
      <c r="P28" t="s">
        <v>446</v>
      </c>
      <c r="Q28" t="s">
        <v>445</v>
      </c>
      <c r="R28" t="s">
        <v>449</v>
      </c>
      <c r="S28" t="s">
        <v>31</v>
      </c>
      <c r="T28" t="s">
        <v>31</v>
      </c>
      <c r="U28" t="s">
        <v>31</v>
      </c>
      <c r="V28" t="s">
        <v>31</v>
      </c>
      <c r="W28" t="s">
        <v>31</v>
      </c>
      <c r="X28">
        <v>37</v>
      </c>
      <c r="Y28" t="s">
        <v>371</v>
      </c>
      <c r="Z28" t="s">
        <v>31</v>
      </c>
      <c r="AA28" t="s">
        <v>31</v>
      </c>
      <c r="AB28" t="s">
        <v>31</v>
      </c>
      <c r="AC28" t="s">
        <v>31</v>
      </c>
      <c r="AD28">
        <v>4</v>
      </c>
      <c r="AE28" t="s">
        <v>31</v>
      </c>
      <c r="AF28">
        <v>2024</v>
      </c>
      <c r="AG28" t="s">
        <v>64</v>
      </c>
      <c r="AH28">
        <v>15</v>
      </c>
      <c r="AI28">
        <v>355</v>
      </c>
      <c r="AJ28">
        <v>1.5</v>
      </c>
      <c r="AK28">
        <v>100</v>
      </c>
      <c r="AL28" t="s">
        <v>31</v>
      </c>
      <c r="AM28" t="s">
        <v>31</v>
      </c>
      <c r="AN28" t="s">
        <v>31</v>
      </c>
      <c r="AO28" t="s">
        <v>31</v>
      </c>
      <c r="AP28" t="s">
        <v>31</v>
      </c>
    </row>
    <row r="29" spans="1:53" x14ac:dyDescent="0.2">
      <c r="A29" t="s">
        <v>443</v>
      </c>
      <c r="B29" t="s">
        <v>339</v>
      </c>
      <c r="D29" t="s">
        <v>339</v>
      </c>
      <c r="E29">
        <v>2024</v>
      </c>
      <c r="F29">
        <v>1</v>
      </c>
      <c r="G29" t="s">
        <v>340</v>
      </c>
      <c r="H29">
        <v>4897</v>
      </c>
      <c r="I29">
        <v>4875</v>
      </c>
      <c r="J29" s="1">
        <v>45474.501493055555</v>
      </c>
      <c r="K29" t="s">
        <v>444</v>
      </c>
      <c r="L29" t="s">
        <v>445</v>
      </c>
      <c r="O29" t="s">
        <v>341</v>
      </c>
      <c r="P29" t="s">
        <v>446</v>
      </c>
      <c r="Q29" t="s">
        <v>445</v>
      </c>
      <c r="R29" t="s">
        <v>449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>
        <v>38</v>
      </c>
      <c r="Y29" t="s">
        <v>372</v>
      </c>
      <c r="Z29" t="s">
        <v>31</v>
      </c>
      <c r="AA29" t="s">
        <v>31</v>
      </c>
      <c r="AB29" t="s">
        <v>31</v>
      </c>
      <c r="AC29" t="s">
        <v>31</v>
      </c>
      <c r="AD29">
        <v>4</v>
      </c>
      <c r="AE29" t="s">
        <v>31</v>
      </c>
      <c r="AF29">
        <v>2024</v>
      </c>
      <c r="AG29" t="s">
        <v>64</v>
      </c>
      <c r="AH29">
        <v>15</v>
      </c>
      <c r="AI29">
        <v>355</v>
      </c>
      <c r="AJ29">
        <v>1.5</v>
      </c>
      <c r="AK29">
        <v>100</v>
      </c>
      <c r="AL29" t="s">
        <v>31</v>
      </c>
      <c r="AM29" t="s">
        <v>31</v>
      </c>
      <c r="AN29" t="s">
        <v>31</v>
      </c>
      <c r="AO29" t="s">
        <v>31</v>
      </c>
      <c r="AP29" t="s">
        <v>31</v>
      </c>
    </row>
    <row r="30" spans="1:53" x14ac:dyDescent="0.2">
      <c r="A30" t="s">
        <v>443</v>
      </c>
      <c r="B30" t="s">
        <v>339</v>
      </c>
      <c r="D30" t="s">
        <v>339</v>
      </c>
      <c r="E30">
        <v>2024</v>
      </c>
      <c r="F30">
        <v>1</v>
      </c>
      <c r="G30" t="s">
        <v>340</v>
      </c>
      <c r="H30">
        <v>4897</v>
      </c>
      <c r="I30">
        <v>4875</v>
      </c>
      <c r="J30" s="1">
        <v>45474.501493055555</v>
      </c>
      <c r="K30" t="s">
        <v>444</v>
      </c>
      <c r="L30" t="s">
        <v>445</v>
      </c>
      <c r="O30" t="s">
        <v>341</v>
      </c>
      <c r="P30" t="s">
        <v>446</v>
      </c>
      <c r="Q30" t="s">
        <v>445</v>
      </c>
      <c r="R30" t="s">
        <v>449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  <c r="X30">
        <v>39</v>
      </c>
      <c r="Y30" t="s">
        <v>373</v>
      </c>
      <c r="Z30" t="s">
        <v>31</v>
      </c>
      <c r="AA30" t="s">
        <v>31</v>
      </c>
      <c r="AB30" t="s">
        <v>31</v>
      </c>
      <c r="AC30" t="s">
        <v>31</v>
      </c>
      <c r="AD30">
        <v>4</v>
      </c>
      <c r="AE30" t="s">
        <v>31</v>
      </c>
      <c r="AF30">
        <v>2024</v>
      </c>
      <c r="AG30" t="s">
        <v>64</v>
      </c>
      <c r="AH30">
        <v>15</v>
      </c>
      <c r="AI30">
        <v>355</v>
      </c>
      <c r="AJ30">
        <v>1.5</v>
      </c>
      <c r="AK30">
        <v>100</v>
      </c>
      <c r="AL30" t="s">
        <v>31</v>
      </c>
      <c r="AM30" t="s">
        <v>31</v>
      </c>
      <c r="AN30" t="s">
        <v>31</v>
      </c>
      <c r="AO30" t="s">
        <v>31</v>
      </c>
      <c r="AP30" t="s">
        <v>31</v>
      </c>
    </row>
    <row r="31" spans="1:53" x14ac:dyDescent="0.2">
      <c r="A31" t="s">
        <v>443</v>
      </c>
      <c r="B31" t="s">
        <v>339</v>
      </c>
      <c r="D31" t="s">
        <v>339</v>
      </c>
      <c r="E31">
        <v>2024</v>
      </c>
      <c r="F31">
        <v>1</v>
      </c>
      <c r="G31" t="s">
        <v>340</v>
      </c>
      <c r="H31">
        <v>4897</v>
      </c>
      <c r="I31">
        <v>4875</v>
      </c>
      <c r="J31" s="1">
        <v>45474.501493055555</v>
      </c>
      <c r="K31" t="s">
        <v>444</v>
      </c>
      <c r="L31" t="s">
        <v>445</v>
      </c>
      <c r="O31" t="s">
        <v>341</v>
      </c>
      <c r="P31" t="s">
        <v>446</v>
      </c>
      <c r="Q31" t="s">
        <v>445</v>
      </c>
      <c r="R31" t="s">
        <v>449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>
        <v>40</v>
      </c>
      <c r="Y31" t="s">
        <v>374</v>
      </c>
      <c r="Z31">
        <v>4</v>
      </c>
      <c r="AA31">
        <v>4</v>
      </c>
      <c r="AB31">
        <v>4</v>
      </c>
      <c r="AC31">
        <v>4</v>
      </c>
      <c r="AD31">
        <v>4</v>
      </c>
      <c r="AE31">
        <v>1</v>
      </c>
      <c r="AF31">
        <v>2024</v>
      </c>
      <c r="AG31" t="s">
        <v>376</v>
      </c>
      <c r="AH31">
        <v>15</v>
      </c>
      <c r="AI31">
        <v>355</v>
      </c>
      <c r="AJ31">
        <v>15</v>
      </c>
      <c r="AK31">
        <v>100</v>
      </c>
      <c r="AL31">
        <v>15</v>
      </c>
      <c r="AM31">
        <v>48</v>
      </c>
      <c r="AN31">
        <v>15</v>
      </c>
      <c r="AO31">
        <v>15</v>
      </c>
      <c r="AP31">
        <v>48</v>
      </c>
    </row>
    <row r="32" spans="1:53" x14ac:dyDescent="0.2">
      <c r="J32" s="1"/>
      <c r="AS32" s="13" t="s">
        <v>76</v>
      </c>
      <c r="AT32" t="s">
        <v>266</v>
      </c>
    </row>
    <row r="33" spans="1:46" x14ac:dyDescent="0.2">
      <c r="J33" s="1"/>
      <c r="AT33" t="s">
        <v>267</v>
      </c>
    </row>
    <row r="34" spans="1:46" x14ac:dyDescent="0.2">
      <c r="J34" s="1"/>
      <c r="AN34" s="7" t="s">
        <v>423</v>
      </c>
      <c r="AO34" s="7" t="s">
        <v>425</v>
      </c>
      <c r="AT34" t="s">
        <v>268</v>
      </c>
    </row>
    <row r="35" spans="1:46" x14ac:dyDescent="0.2">
      <c r="J35" s="1"/>
      <c r="AN35" s="7" t="s">
        <v>424</v>
      </c>
    </row>
    <row r="40" spans="1:46" x14ac:dyDescent="0.2">
      <c r="A40" t="s">
        <v>2</v>
      </c>
      <c r="B40" t="s">
        <v>0</v>
      </c>
      <c r="C40" t="s">
        <v>1</v>
      </c>
      <c r="D40" t="s">
        <v>41</v>
      </c>
      <c r="E40" t="s">
        <v>3</v>
      </c>
      <c r="F40" t="s">
        <v>4</v>
      </c>
      <c r="G40" t="s">
        <v>5</v>
      </c>
      <c r="H40" t="s">
        <v>6</v>
      </c>
      <c r="I40" t="s">
        <v>7</v>
      </c>
      <c r="J40" t="s">
        <v>8</v>
      </c>
      <c r="K40" t="s">
        <v>9</v>
      </c>
      <c r="L40" t="s">
        <v>10</v>
      </c>
      <c r="M40" t="s">
        <v>11</v>
      </c>
      <c r="N40" t="s">
        <v>12</v>
      </c>
      <c r="O40" t="s">
        <v>13</v>
      </c>
      <c r="P40" t="s">
        <v>14</v>
      </c>
      <c r="Q40" t="s">
        <v>15</v>
      </c>
      <c r="R40" t="s">
        <v>16</v>
      </c>
      <c r="S40" t="s">
        <v>17</v>
      </c>
      <c r="T40" t="s">
        <v>18</v>
      </c>
      <c r="U40" t="s">
        <v>19</v>
      </c>
      <c r="V40" t="s">
        <v>20</v>
      </c>
      <c r="W40" t="s">
        <v>21</v>
      </c>
      <c r="X40" t="s">
        <v>22</v>
      </c>
      <c r="Y40" t="s">
        <v>23</v>
      </c>
      <c r="Z40" s="8" t="s">
        <v>24</v>
      </c>
      <c r="AA40" s="8" t="s">
        <v>25</v>
      </c>
      <c r="AB40" s="8" t="s">
        <v>42</v>
      </c>
      <c r="AC40" s="8" t="s">
        <v>43</v>
      </c>
      <c r="AD40" s="8" t="s">
        <v>44</v>
      </c>
      <c r="AE40" s="8" t="s">
        <v>65</v>
      </c>
      <c r="AF40" s="8" t="s">
        <v>66</v>
      </c>
      <c r="AG40" s="8" t="s">
        <v>67</v>
      </c>
      <c r="AH40" s="8" t="s">
        <v>68</v>
      </c>
      <c r="AI40" s="8" t="s">
        <v>69</v>
      </c>
      <c r="AJ40" s="8" t="s">
        <v>70</v>
      </c>
      <c r="AK40" s="8" t="s">
        <v>71</v>
      </c>
      <c r="AL40" s="8" t="s">
        <v>72</v>
      </c>
      <c r="AM40" s="8" t="s">
        <v>73</v>
      </c>
      <c r="AN40" s="2" t="s">
        <v>74</v>
      </c>
      <c r="AO40" s="14" t="s">
        <v>75</v>
      </c>
      <c r="AP40" s="13" t="s">
        <v>76</v>
      </c>
    </row>
    <row r="41" spans="1:46" x14ac:dyDescent="0.2">
      <c r="A41" t="s">
        <v>378</v>
      </c>
      <c r="B41" t="s">
        <v>379</v>
      </c>
      <c r="D41" t="s">
        <v>379</v>
      </c>
      <c r="E41">
        <v>1999</v>
      </c>
      <c r="F41">
        <v>1</v>
      </c>
      <c r="G41" t="s">
        <v>380</v>
      </c>
      <c r="H41">
        <v>6</v>
      </c>
      <c r="I41">
        <v>156</v>
      </c>
      <c r="J41" s="1">
        <v>45646.45208333333</v>
      </c>
      <c r="K41" t="s">
        <v>381</v>
      </c>
      <c r="L41" t="s">
        <v>382</v>
      </c>
      <c r="P41" t="s">
        <v>31</v>
      </c>
      <c r="Q41" t="s">
        <v>31</v>
      </c>
      <c r="R41" t="s">
        <v>383</v>
      </c>
      <c r="S41" t="s">
        <v>384</v>
      </c>
      <c r="T41" t="s">
        <v>31</v>
      </c>
      <c r="U41" t="s">
        <v>31</v>
      </c>
      <c r="V41" t="s">
        <v>31</v>
      </c>
      <c r="W41" t="s">
        <v>31</v>
      </c>
      <c r="X41">
        <v>17</v>
      </c>
      <c r="Y41" t="s">
        <v>385</v>
      </c>
      <c r="Z41">
        <v>4</v>
      </c>
      <c r="AA41" s="2">
        <v>4</v>
      </c>
      <c r="AB41">
        <v>4</v>
      </c>
      <c r="AC41">
        <v>4</v>
      </c>
      <c r="AD41" s="2">
        <v>4</v>
      </c>
      <c r="AE41">
        <v>1</v>
      </c>
      <c r="AF41">
        <v>1999</v>
      </c>
      <c r="AG41" t="s">
        <v>61</v>
      </c>
      <c r="AH41">
        <v>10</v>
      </c>
      <c r="AI41">
        <v>100</v>
      </c>
      <c r="AJ41" s="2">
        <v>10</v>
      </c>
      <c r="AK41">
        <v>100</v>
      </c>
      <c r="AL41">
        <v>10</v>
      </c>
      <c r="AM41">
        <v>70</v>
      </c>
      <c r="AN41">
        <v>10</v>
      </c>
      <c r="AO41">
        <v>10</v>
      </c>
      <c r="AP41">
        <v>70</v>
      </c>
    </row>
    <row r="42" spans="1:46" x14ac:dyDescent="0.2">
      <c r="A42" t="s">
        <v>378</v>
      </c>
      <c r="B42" t="s">
        <v>379</v>
      </c>
      <c r="D42" t="s">
        <v>379</v>
      </c>
      <c r="E42">
        <v>1999</v>
      </c>
      <c r="F42">
        <v>1</v>
      </c>
      <c r="G42" t="s">
        <v>380</v>
      </c>
      <c r="H42">
        <v>6</v>
      </c>
      <c r="I42">
        <v>156</v>
      </c>
      <c r="J42" s="1">
        <v>45646.45208333333</v>
      </c>
      <c r="K42" t="s">
        <v>381</v>
      </c>
      <c r="L42" t="s">
        <v>382</v>
      </c>
      <c r="P42" t="s">
        <v>31</v>
      </c>
      <c r="Q42" t="s">
        <v>31</v>
      </c>
      <c r="R42" t="s">
        <v>383</v>
      </c>
      <c r="S42" t="s">
        <v>384</v>
      </c>
      <c r="T42" t="s">
        <v>31</v>
      </c>
      <c r="U42" t="s">
        <v>31</v>
      </c>
      <c r="V42" t="s">
        <v>31</v>
      </c>
      <c r="W42" t="s">
        <v>31</v>
      </c>
      <c r="X42">
        <v>18</v>
      </c>
      <c r="Y42" t="s">
        <v>390</v>
      </c>
      <c r="Z42">
        <v>4</v>
      </c>
      <c r="AA42">
        <v>4</v>
      </c>
      <c r="AB42">
        <v>4</v>
      </c>
      <c r="AC42">
        <v>4</v>
      </c>
      <c r="AD42">
        <v>4</v>
      </c>
      <c r="AE42">
        <v>1</v>
      </c>
      <c r="AF42">
        <v>1999</v>
      </c>
      <c r="AG42" t="s">
        <v>61</v>
      </c>
      <c r="AH42">
        <v>10</v>
      </c>
      <c r="AI42">
        <v>100</v>
      </c>
      <c r="AJ42">
        <v>10</v>
      </c>
      <c r="AK42">
        <v>100</v>
      </c>
      <c r="AL42" s="14">
        <v>10</v>
      </c>
      <c r="AM42">
        <v>70</v>
      </c>
      <c r="AN42">
        <v>10</v>
      </c>
      <c r="AO42">
        <v>10</v>
      </c>
      <c r="AP42">
        <v>70</v>
      </c>
    </row>
    <row r="43" spans="1:46" x14ac:dyDescent="0.2">
      <c r="A43" t="s">
        <v>378</v>
      </c>
      <c r="B43" t="s">
        <v>379</v>
      </c>
      <c r="D43" t="s">
        <v>379</v>
      </c>
      <c r="E43">
        <v>1999</v>
      </c>
      <c r="F43">
        <v>1</v>
      </c>
      <c r="G43" t="s">
        <v>380</v>
      </c>
      <c r="H43">
        <v>6</v>
      </c>
      <c r="I43">
        <v>156</v>
      </c>
      <c r="J43" s="1">
        <v>45646.45208333333</v>
      </c>
      <c r="K43" t="s">
        <v>381</v>
      </c>
      <c r="L43" t="s">
        <v>382</v>
      </c>
      <c r="P43" t="s">
        <v>31</v>
      </c>
      <c r="Q43" t="s">
        <v>31</v>
      </c>
      <c r="R43" t="s">
        <v>383</v>
      </c>
      <c r="S43" t="s">
        <v>384</v>
      </c>
      <c r="T43" t="s">
        <v>31</v>
      </c>
      <c r="U43" t="s">
        <v>31</v>
      </c>
      <c r="V43" t="s">
        <v>31</v>
      </c>
      <c r="W43" t="s">
        <v>31</v>
      </c>
      <c r="X43">
        <v>19</v>
      </c>
      <c r="Y43" t="s">
        <v>388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1</v>
      </c>
      <c r="AF43">
        <v>1999</v>
      </c>
      <c r="AG43" t="s">
        <v>61</v>
      </c>
      <c r="AH43">
        <v>10</v>
      </c>
      <c r="AI43">
        <v>100</v>
      </c>
      <c r="AJ43">
        <v>10</v>
      </c>
      <c r="AK43">
        <v>100</v>
      </c>
      <c r="AL43">
        <v>10</v>
      </c>
      <c r="AM43">
        <v>70</v>
      </c>
      <c r="AN43">
        <v>10</v>
      </c>
      <c r="AO43">
        <v>10</v>
      </c>
      <c r="AP43">
        <v>70</v>
      </c>
    </row>
    <row r="44" spans="1:46" x14ac:dyDescent="0.2">
      <c r="A44" t="s">
        <v>378</v>
      </c>
      <c r="B44" t="s">
        <v>379</v>
      </c>
      <c r="D44" t="s">
        <v>379</v>
      </c>
      <c r="E44">
        <v>1999</v>
      </c>
      <c r="F44">
        <v>1</v>
      </c>
      <c r="G44" t="s">
        <v>380</v>
      </c>
      <c r="H44">
        <v>6</v>
      </c>
      <c r="I44">
        <v>156</v>
      </c>
      <c r="J44" s="1">
        <v>45646.45208333333</v>
      </c>
      <c r="K44" t="s">
        <v>381</v>
      </c>
      <c r="L44" t="s">
        <v>382</v>
      </c>
      <c r="P44" t="s">
        <v>31</v>
      </c>
      <c r="Q44" t="s">
        <v>31</v>
      </c>
      <c r="R44" t="s">
        <v>383</v>
      </c>
      <c r="S44" t="s">
        <v>384</v>
      </c>
      <c r="T44" t="s">
        <v>31</v>
      </c>
      <c r="U44" t="s">
        <v>31</v>
      </c>
      <c r="V44" t="s">
        <v>31</v>
      </c>
      <c r="W44" t="s">
        <v>31</v>
      </c>
      <c r="X44">
        <v>20</v>
      </c>
      <c r="Y44" t="s">
        <v>387</v>
      </c>
      <c r="Z44">
        <v>4</v>
      </c>
      <c r="AA44">
        <v>4</v>
      </c>
      <c r="AB44">
        <v>4</v>
      </c>
      <c r="AC44">
        <v>4</v>
      </c>
      <c r="AD44">
        <v>4</v>
      </c>
      <c r="AE44">
        <v>1</v>
      </c>
      <c r="AF44">
        <v>1999</v>
      </c>
      <c r="AG44" t="s">
        <v>63</v>
      </c>
      <c r="AH44">
        <v>10</v>
      </c>
      <c r="AI44">
        <v>100</v>
      </c>
      <c r="AJ44">
        <v>10</v>
      </c>
      <c r="AK44">
        <v>100</v>
      </c>
      <c r="AL44">
        <v>10</v>
      </c>
      <c r="AM44">
        <v>70</v>
      </c>
      <c r="AN44">
        <v>10</v>
      </c>
      <c r="AO44">
        <v>10</v>
      </c>
      <c r="AP44">
        <v>70</v>
      </c>
    </row>
    <row r="45" spans="1:46" x14ac:dyDescent="0.2">
      <c r="A45" t="s">
        <v>378</v>
      </c>
      <c r="B45" t="s">
        <v>379</v>
      </c>
      <c r="D45" t="s">
        <v>379</v>
      </c>
      <c r="E45">
        <v>1999</v>
      </c>
      <c r="F45">
        <v>1</v>
      </c>
      <c r="G45" t="s">
        <v>380</v>
      </c>
      <c r="H45">
        <v>6</v>
      </c>
      <c r="I45">
        <v>156</v>
      </c>
      <c r="J45" s="1">
        <v>45646.45208333333</v>
      </c>
      <c r="K45" t="s">
        <v>381</v>
      </c>
      <c r="L45" t="s">
        <v>382</v>
      </c>
      <c r="P45" t="s">
        <v>31</v>
      </c>
      <c r="Q45" t="s">
        <v>31</v>
      </c>
      <c r="R45" t="s">
        <v>383</v>
      </c>
      <c r="S45" t="s">
        <v>384</v>
      </c>
      <c r="T45" t="s">
        <v>31</v>
      </c>
      <c r="U45" t="s">
        <v>31</v>
      </c>
      <c r="V45" t="s">
        <v>31</v>
      </c>
      <c r="W45" t="s">
        <v>31</v>
      </c>
      <c r="X45">
        <v>21</v>
      </c>
      <c r="Y45" t="s">
        <v>392</v>
      </c>
      <c r="Z45">
        <v>4</v>
      </c>
      <c r="AA45">
        <v>4</v>
      </c>
      <c r="AB45">
        <v>4</v>
      </c>
      <c r="AC45">
        <v>4</v>
      </c>
      <c r="AD45">
        <v>4</v>
      </c>
      <c r="AE45">
        <v>1</v>
      </c>
      <c r="AF45">
        <v>1999</v>
      </c>
      <c r="AG45" t="s">
        <v>63</v>
      </c>
      <c r="AH45">
        <v>15</v>
      </c>
      <c r="AI45">
        <v>100</v>
      </c>
      <c r="AJ45">
        <v>15</v>
      </c>
      <c r="AK45">
        <v>100</v>
      </c>
      <c r="AL45">
        <v>15</v>
      </c>
      <c r="AM45">
        <v>70</v>
      </c>
      <c r="AN45">
        <v>15</v>
      </c>
      <c r="AO45">
        <v>15</v>
      </c>
      <c r="AP45">
        <v>70</v>
      </c>
    </row>
    <row r="46" spans="1:46" x14ac:dyDescent="0.2">
      <c r="A46" t="s">
        <v>378</v>
      </c>
      <c r="B46" t="s">
        <v>379</v>
      </c>
      <c r="D46" t="s">
        <v>379</v>
      </c>
      <c r="E46">
        <v>1999</v>
      </c>
      <c r="F46">
        <v>1</v>
      </c>
      <c r="G46" t="s">
        <v>380</v>
      </c>
      <c r="H46">
        <v>6</v>
      </c>
      <c r="I46">
        <v>156</v>
      </c>
      <c r="J46" s="1">
        <v>45646.45208333333</v>
      </c>
      <c r="K46" t="s">
        <v>381</v>
      </c>
      <c r="L46" t="s">
        <v>382</v>
      </c>
      <c r="P46" t="s">
        <v>31</v>
      </c>
      <c r="Q46" t="s">
        <v>31</v>
      </c>
      <c r="R46" t="s">
        <v>383</v>
      </c>
      <c r="S46" t="s">
        <v>384</v>
      </c>
      <c r="T46" t="s">
        <v>31</v>
      </c>
      <c r="U46" t="s">
        <v>31</v>
      </c>
      <c r="V46" t="s">
        <v>31</v>
      </c>
      <c r="W46" t="s">
        <v>31</v>
      </c>
      <c r="X46">
        <v>22</v>
      </c>
      <c r="Y46" t="s">
        <v>393</v>
      </c>
      <c r="Z46" t="s">
        <v>31</v>
      </c>
      <c r="AA46" t="s">
        <v>31</v>
      </c>
      <c r="AB46" t="s">
        <v>31</v>
      </c>
      <c r="AC46" t="s">
        <v>31</v>
      </c>
      <c r="AD46">
        <v>4</v>
      </c>
      <c r="AE46" t="s">
        <v>31</v>
      </c>
      <c r="AF46">
        <v>1999</v>
      </c>
      <c r="AG46" t="s">
        <v>63</v>
      </c>
      <c r="AH46">
        <v>15</v>
      </c>
      <c r="AI46">
        <v>100</v>
      </c>
      <c r="AJ46">
        <v>15</v>
      </c>
      <c r="AK46">
        <v>100</v>
      </c>
      <c r="AL46" t="s">
        <v>31</v>
      </c>
      <c r="AM46" t="s">
        <v>31</v>
      </c>
      <c r="AN46" t="s">
        <v>31</v>
      </c>
      <c r="AO46" t="s">
        <v>31</v>
      </c>
      <c r="AP46" t="s">
        <v>31</v>
      </c>
    </row>
    <row r="47" spans="1:46" x14ac:dyDescent="0.2">
      <c r="A47" t="s">
        <v>378</v>
      </c>
      <c r="B47" t="s">
        <v>379</v>
      </c>
      <c r="D47" t="s">
        <v>379</v>
      </c>
      <c r="E47">
        <v>1999</v>
      </c>
      <c r="F47">
        <v>1</v>
      </c>
      <c r="G47" t="s">
        <v>380</v>
      </c>
      <c r="H47">
        <v>6</v>
      </c>
      <c r="I47">
        <v>156</v>
      </c>
      <c r="J47" s="1">
        <v>45646.45208333333</v>
      </c>
      <c r="K47" t="s">
        <v>381</v>
      </c>
      <c r="L47" t="s">
        <v>382</v>
      </c>
      <c r="P47" t="s">
        <v>31</v>
      </c>
      <c r="Q47" t="s">
        <v>31</v>
      </c>
      <c r="R47" t="s">
        <v>383</v>
      </c>
      <c r="S47" t="s">
        <v>384</v>
      </c>
      <c r="T47" t="s">
        <v>31</v>
      </c>
      <c r="U47" t="s">
        <v>31</v>
      </c>
      <c r="V47" t="s">
        <v>31</v>
      </c>
      <c r="W47" t="s">
        <v>31</v>
      </c>
      <c r="X47">
        <v>23</v>
      </c>
      <c r="Y47" t="s">
        <v>394</v>
      </c>
      <c r="Z47">
        <v>4</v>
      </c>
      <c r="AA47">
        <v>4</v>
      </c>
      <c r="AB47">
        <v>4</v>
      </c>
      <c r="AC47">
        <v>4</v>
      </c>
      <c r="AD47">
        <v>4</v>
      </c>
      <c r="AE47">
        <v>1</v>
      </c>
      <c r="AF47">
        <v>1999</v>
      </c>
      <c r="AG47" t="s">
        <v>62</v>
      </c>
      <c r="AH47">
        <v>10</v>
      </c>
      <c r="AI47">
        <v>100</v>
      </c>
      <c r="AJ47">
        <v>10</v>
      </c>
      <c r="AK47">
        <v>100</v>
      </c>
      <c r="AL47">
        <v>10</v>
      </c>
      <c r="AM47">
        <v>70</v>
      </c>
      <c r="AN47">
        <v>10</v>
      </c>
      <c r="AO47">
        <v>10</v>
      </c>
      <c r="AP47">
        <v>70</v>
      </c>
    </row>
    <row r="48" spans="1:46" x14ac:dyDescent="0.2">
      <c r="A48" t="s">
        <v>378</v>
      </c>
      <c r="B48" t="s">
        <v>379</v>
      </c>
      <c r="D48" t="s">
        <v>379</v>
      </c>
      <c r="E48">
        <v>1999</v>
      </c>
      <c r="F48">
        <v>1</v>
      </c>
      <c r="G48" t="s">
        <v>380</v>
      </c>
      <c r="H48">
        <v>6</v>
      </c>
      <c r="I48">
        <v>156</v>
      </c>
      <c r="J48" s="1">
        <v>45646.45208333333</v>
      </c>
      <c r="K48" t="s">
        <v>381</v>
      </c>
      <c r="L48" t="s">
        <v>382</v>
      </c>
      <c r="P48" t="s">
        <v>31</v>
      </c>
      <c r="Q48" t="s">
        <v>31</v>
      </c>
      <c r="R48" t="s">
        <v>383</v>
      </c>
      <c r="S48" t="s">
        <v>384</v>
      </c>
      <c r="T48" t="s">
        <v>31</v>
      </c>
      <c r="U48" t="s">
        <v>31</v>
      </c>
      <c r="V48" t="s">
        <v>31</v>
      </c>
      <c r="W48" t="s">
        <v>31</v>
      </c>
      <c r="X48">
        <v>24</v>
      </c>
      <c r="Y48" t="s">
        <v>391</v>
      </c>
      <c r="Z48" t="s">
        <v>31</v>
      </c>
      <c r="AA48" t="s">
        <v>31</v>
      </c>
      <c r="AB48" t="s">
        <v>31</v>
      </c>
      <c r="AC48" t="s">
        <v>31</v>
      </c>
      <c r="AD48">
        <v>4</v>
      </c>
      <c r="AE48" t="s">
        <v>31</v>
      </c>
      <c r="AF48">
        <v>1999</v>
      </c>
      <c r="AG48" t="s">
        <v>64</v>
      </c>
      <c r="AH48">
        <v>10</v>
      </c>
      <c r="AI48">
        <v>100</v>
      </c>
      <c r="AJ48">
        <v>10</v>
      </c>
      <c r="AK48">
        <v>100</v>
      </c>
      <c r="AL48" t="s">
        <v>31</v>
      </c>
      <c r="AM48" t="s">
        <v>31</v>
      </c>
      <c r="AN48" t="s">
        <v>31</v>
      </c>
      <c r="AO48" t="s">
        <v>31</v>
      </c>
      <c r="AP48" t="s">
        <v>31</v>
      </c>
      <c r="AS48" s="4" t="s">
        <v>55</v>
      </c>
      <c r="AT48" t="s">
        <v>159</v>
      </c>
    </row>
    <row r="49" spans="1:46" x14ac:dyDescent="0.2">
      <c r="A49" t="s">
        <v>378</v>
      </c>
      <c r="B49" t="s">
        <v>379</v>
      </c>
      <c r="D49" t="s">
        <v>379</v>
      </c>
      <c r="E49">
        <v>1999</v>
      </c>
      <c r="F49">
        <v>1</v>
      </c>
      <c r="G49" t="s">
        <v>380</v>
      </c>
      <c r="H49">
        <v>6</v>
      </c>
      <c r="I49">
        <v>156</v>
      </c>
      <c r="J49" s="1">
        <v>45646.45208333333</v>
      </c>
      <c r="K49" t="s">
        <v>381</v>
      </c>
      <c r="L49" t="s">
        <v>382</v>
      </c>
      <c r="P49" t="s">
        <v>31</v>
      </c>
      <c r="Q49" t="s">
        <v>31</v>
      </c>
      <c r="R49" t="s">
        <v>383</v>
      </c>
      <c r="S49" t="s">
        <v>384</v>
      </c>
      <c r="T49" t="s">
        <v>31</v>
      </c>
      <c r="U49" t="s">
        <v>31</v>
      </c>
      <c r="V49" t="s">
        <v>31</v>
      </c>
      <c r="W49" t="s">
        <v>31</v>
      </c>
      <c r="X49">
        <v>25</v>
      </c>
      <c r="Y49" t="s">
        <v>386</v>
      </c>
      <c r="Z49">
        <v>4</v>
      </c>
      <c r="AA49">
        <v>4</v>
      </c>
      <c r="AB49">
        <v>4</v>
      </c>
      <c r="AC49">
        <v>4</v>
      </c>
      <c r="AD49">
        <v>4</v>
      </c>
      <c r="AE49">
        <v>1</v>
      </c>
      <c r="AF49">
        <v>1999</v>
      </c>
      <c r="AG49" t="s">
        <v>64</v>
      </c>
      <c r="AH49">
        <v>5</v>
      </c>
      <c r="AI49">
        <v>100</v>
      </c>
      <c r="AJ49">
        <v>5</v>
      </c>
      <c r="AK49">
        <v>100</v>
      </c>
      <c r="AL49">
        <v>5</v>
      </c>
      <c r="AM49">
        <v>70</v>
      </c>
      <c r="AN49">
        <v>5</v>
      </c>
      <c r="AO49">
        <v>5</v>
      </c>
      <c r="AP49">
        <v>70</v>
      </c>
      <c r="AT49" t="s">
        <v>192</v>
      </c>
    </row>
    <row r="50" spans="1:46" x14ac:dyDescent="0.2">
      <c r="A50" t="s">
        <v>378</v>
      </c>
      <c r="B50" t="s">
        <v>379</v>
      </c>
      <c r="D50" t="s">
        <v>379</v>
      </c>
      <c r="E50">
        <v>1999</v>
      </c>
      <c r="F50">
        <v>1</v>
      </c>
      <c r="G50" t="s">
        <v>380</v>
      </c>
      <c r="H50">
        <v>6</v>
      </c>
      <c r="I50">
        <v>156</v>
      </c>
      <c r="J50" s="1">
        <v>45646.45208333333</v>
      </c>
      <c r="K50" t="s">
        <v>381</v>
      </c>
      <c r="L50" t="s">
        <v>382</v>
      </c>
      <c r="P50" t="s">
        <v>31</v>
      </c>
      <c r="Q50" t="s">
        <v>31</v>
      </c>
      <c r="R50" t="s">
        <v>383</v>
      </c>
      <c r="S50" t="s">
        <v>384</v>
      </c>
      <c r="T50" t="s">
        <v>31</v>
      </c>
      <c r="U50" t="s">
        <v>31</v>
      </c>
      <c r="V50" t="s">
        <v>31</v>
      </c>
      <c r="W50" t="s">
        <v>31</v>
      </c>
      <c r="X50">
        <v>26</v>
      </c>
      <c r="Y50" t="s">
        <v>389</v>
      </c>
      <c r="Z50" t="s">
        <v>31</v>
      </c>
      <c r="AA50" t="s">
        <v>31</v>
      </c>
      <c r="AB50" t="s">
        <v>31</v>
      </c>
      <c r="AC50" t="s">
        <v>31</v>
      </c>
      <c r="AD50">
        <v>4</v>
      </c>
      <c r="AE50" t="s">
        <v>31</v>
      </c>
      <c r="AF50">
        <v>1999</v>
      </c>
      <c r="AG50" t="s">
        <v>64</v>
      </c>
      <c r="AH50">
        <v>5</v>
      </c>
      <c r="AI50">
        <v>100</v>
      </c>
      <c r="AJ50">
        <v>5</v>
      </c>
      <c r="AK50">
        <v>100</v>
      </c>
      <c r="AL50" t="s">
        <v>31</v>
      </c>
      <c r="AM50" t="s">
        <v>31</v>
      </c>
      <c r="AN50" t="s">
        <v>31</v>
      </c>
      <c r="AO50" t="s">
        <v>31</v>
      </c>
      <c r="AP50" t="s">
        <v>31</v>
      </c>
      <c r="AS50" s="6" t="s">
        <v>225</v>
      </c>
      <c r="AT50" s="7" t="s">
        <v>203</v>
      </c>
    </row>
    <row r="51" spans="1:46" x14ac:dyDescent="0.2">
      <c r="AS51" t="s">
        <v>226</v>
      </c>
      <c r="AT51" t="s">
        <v>161</v>
      </c>
    </row>
    <row r="52" spans="1:46" x14ac:dyDescent="0.2">
      <c r="AS52" s="6" t="s">
        <v>227</v>
      </c>
    </row>
    <row r="53" spans="1:46" x14ac:dyDescent="0.2">
      <c r="AL53" s="13" t="s">
        <v>72</v>
      </c>
      <c r="AM53" t="s">
        <v>159</v>
      </c>
      <c r="AS53" s="7" t="s">
        <v>228</v>
      </c>
    </row>
    <row r="54" spans="1:46" x14ac:dyDescent="0.2">
      <c r="AL54" s="6" t="s">
        <v>255</v>
      </c>
      <c r="AM54" t="s">
        <v>244</v>
      </c>
    </row>
    <row r="55" spans="1:46" x14ac:dyDescent="0.2">
      <c r="J55" s="1"/>
      <c r="AL55" s="7" t="s">
        <v>256</v>
      </c>
      <c r="AM55" t="s">
        <v>243</v>
      </c>
    </row>
    <row r="56" spans="1:46" x14ac:dyDescent="0.2">
      <c r="J56" s="1"/>
      <c r="AL56" s="6" t="s">
        <v>257</v>
      </c>
      <c r="AM56" t="s">
        <v>242</v>
      </c>
      <c r="AS56" s="6" t="s">
        <v>223</v>
      </c>
      <c r="AT56" s="7" t="s">
        <v>204</v>
      </c>
    </row>
    <row r="57" spans="1:46" x14ac:dyDescent="0.2">
      <c r="J57" s="1"/>
      <c r="AL57" s="7" t="s">
        <v>258</v>
      </c>
      <c r="AS57" t="s">
        <v>224</v>
      </c>
      <c r="AT57" t="s">
        <v>170</v>
      </c>
    </row>
    <row r="58" spans="1:46" x14ac:dyDescent="0.2">
      <c r="AS58" t="s">
        <v>229</v>
      </c>
      <c r="AT58" t="s">
        <v>196</v>
      </c>
    </row>
    <row r="59" spans="1:46" x14ac:dyDescent="0.2">
      <c r="AT59" s="11" t="s">
        <v>197</v>
      </c>
    </row>
    <row r="60" spans="1:46" x14ac:dyDescent="0.2">
      <c r="AT60" s="11" t="s">
        <v>198</v>
      </c>
    </row>
    <row r="61" spans="1:46" x14ac:dyDescent="0.2">
      <c r="AT61" s="11" t="s">
        <v>199</v>
      </c>
    </row>
    <row r="62" spans="1:46" x14ac:dyDescent="0.2">
      <c r="AT62" s="11" t="s">
        <v>200</v>
      </c>
    </row>
    <row r="63" spans="1:46" x14ac:dyDescent="0.2">
      <c r="AT63" t="s">
        <v>201</v>
      </c>
    </row>
    <row r="64" spans="1:46" x14ac:dyDescent="0.2">
      <c r="AT64" t="s">
        <v>174</v>
      </c>
    </row>
    <row r="65" spans="10:46" x14ac:dyDescent="0.2">
      <c r="AT65" t="s">
        <v>202</v>
      </c>
    </row>
    <row r="68" spans="10:46" x14ac:dyDescent="0.2">
      <c r="J68" s="1"/>
    </row>
    <row r="69" spans="10:46" x14ac:dyDescent="0.2">
      <c r="J69" s="1"/>
    </row>
    <row r="70" spans="10:46" x14ac:dyDescent="0.2">
      <c r="J70" s="1"/>
    </row>
    <row r="71" spans="10:46" x14ac:dyDescent="0.2">
      <c r="J71" s="1"/>
    </row>
    <row r="72" spans="10:46" x14ac:dyDescent="0.2">
      <c r="J72" s="1"/>
    </row>
    <row r="73" spans="10:46" x14ac:dyDescent="0.2">
      <c r="J73" s="1"/>
    </row>
    <row r="74" spans="10:46" x14ac:dyDescent="0.2">
      <c r="J74" s="1"/>
    </row>
    <row r="75" spans="10:46" x14ac:dyDescent="0.2">
      <c r="J75" s="1"/>
    </row>
    <row r="76" spans="10:46" x14ac:dyDescent="0.2">
      <c r="J76" s="1"/>
    </row>
    <row r="77" spans="10:46" x14ac:dyDescent="0.2">
      <c r="J77" s="1"/>
    </row>
    <row r="78" spans="10:46" x14ac:dyDescent="0.2">
      <c r="J78" s="1"/>
    </row>
    <row r="79" spans="10:46" x14ac:dyDescent="0.2">
      <c r="J79" s="1"/>
    </row>
    <row r="80" spans="10:46" x14ac:dyDescent="0.2">
      <c r="J80" s="1"/>
    </row>
    <row r="81" spans="10:10" x14ac:dyDescent="0.2">
      <c r="J81" s="1"/>
    </row>
    <row r="82" spans="10:10" x14ac:dyDescent="0.2">
      <c r="J82" s="1"/>
    </row>
    <row r="83" spans="10:10" x14ac:dyDescent="0.2">
      <c r="J83" s="1"/>
    </row>
  </sheetData>
  <pageMargins left="0.7" right="0.7" top="0.75" bottom="0.75" header="0.3" footer="0.3"/>
  <pageSetup orientation="portrait" r:id="rId1"/>
  <headerFooter>
    <oddFooter>&amp;C_x000D_&amp;1#&amp;"Calibri"&amp;9&amp;K000000 Classified - Internal Use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955DF-8901-4BEB-9DA9-FD81B0C9BE89}">
  <dimension ref="A1:BZ91"/>
  <sheetViews>
    <sheetView topLeftCell="AR67" zoomScale="70" zoomScaleNormal="70" workbookViewId="0">
      <selection activeCell="BA46" sqref="BA46:BA51"/>
    </sheetView>
  </sheetViews>
  <sheetFormatPr defaultRowHeight="15" x14ac:dyDescent="0.2"/>
  <cols>
    <col min="4" max="4" width="12.64453125" bestFit="1" customWidth="1"/>
    <col min="32" max="32" width="12.9140625" bestFit="1" customWidth="1"/>
    <col min="33" max="33" width="13.85546875" bestFit="1" customWidth="1"/>
    <col min="34" max="34" width="13.046875" bestFit="1" customWidth="1"/>
    <col min="35" max="35" width="17.08203125" bestFit="1" customWidth="1"/>
    <col min="36" max="36" width="10.35546875" bestFit="1" customWidth="1"/>
    <col min="37" max="37" width="14.66015625" bestFit="1" customWidth="1"/>
    <col min="38" max="38" width="17.890625" bestFit="1" customWidth="1"/>
    <col min="39" max="39" width="22.05859375" bestFit="1" customWidth="1"/>
    <col min="40" max="40" width="5.78125" bestFit="1" customWidth="1"/>
    <col min="41" max="41" width="6.45703125" bestFit="1" customWidth="1"/>
    <col min="42" max="42" width="10.625" bestFit="1" customWidth="1"/>
    <col min="43" max="43" width="5.37890625" bestFit="1" customWidth="1"/>
    <col min="44" max="44" width="13.85546875" bestFit="1" customWidth="1"/>
    <col min="45" max="45" width="14.9296875" bestFit="1" customWidth="1"/>
    <col min="46" max="46" width="19.1015625" bestFit="1" customWidth="1"/>
    <col min="47" max="47" width="27.84375" bestFit="1" customWidth="1"/>
    <col min="48" max="48" width="27.0390625" bestFit="1" customWidth="1"/>
    <col min="49" max="49" width="25.55859375" bestFit="1" customWidth="1"/>
    <col min="50" max="51" width="24.48046875" bestFit="1" customWidth="1"/>
    <col min="52" max="52" width="11.97265625" bestFit="1" customWidth="1"/>
    <col min="53" max="53" width="11.02734375" bestFit="1" customWidth="1"/>
    <col min="54" max="54" width="9.55078125" bestFit="1" customWidth="1"/>
    <col min="55" max="55" width="38.7421875" bestFit="1" customWidth="1"/>
    <col min="56" max="56" width="10.22265625" bestFit="1" customWidth="1"/>
    <col min="57" max="57" width="9.01171875" bestFit="1" customWidth="1"/>
    <col min="58" max="58" width="15.73828125" bestFit="1" customWidth="1"/>
    <col min="59" max="59" width="11.296875" bestFit="1" customWidth="1"/>
    <col min="60" max="60" width="9.953125" bestFit="1" customWidth="1"/>
    <col min="61" max="61" width="16.6796875" bestFit="1" customWidth="1"/>
    <col min="68" max="68" width="27.98046875" customWidth="1"/>
  </cols>
  <sheetData>
    <row r="1" spans="1:68" x14ac:dyDescent="0.2">
      <c r="A1" t="s">
        <v>2</v>
      </c>
      <c r="B1" t="s">
        <v>0</v>
      </c>
      <c r="C1" t="s">
        <v>1</v>
      </c>
      <c r="D1" t="s">
        <v>41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s="8" t="s">
        <v>24</v>
      </c>
      <c r="AA1" s="8" t="s">
        <v>25</v>
      </c>
      <c r="AB1" s="8" t="s">
        <v>42</v>
      </c>
      <c r="AC1" s="8" t="s">
        <v>43</v>
      </c>
      <c r="AD1" s="8" t="s">
        <v>44</v>
      </c>
      <c r="AE1" s="8" t="s">
        <v>65</v>
      </c>
      <c r="AF1" s="8" t="s">
        <v>66</v>
      </c>
      <c r="AG1" s="8" t="s">
        <v>67</v>
      </c>
      <c r="AH1" s="8" t="s">
        <v>68</v>
      </c>
      <c r="AI1" s="8" t="s">
        <v>69</v>
      </c>
      <c r="AJ1" s="8" t="s">
        <v>70</v>
      </c>
      <c r="AK1" s="8" t="s">
        <v>71</v>
      </c>
      <c r="AL1" s="8" t="s">
        <v>72</v>
      </c>
      <c r="AM1" s="8" t="s">
        <v>73</v>
      </c>
      <c r="AN1" s="8" t="s">
        <v>74</v>
      </c>
      <c r="AO1" s="8" t="s">
        <v>75</v>
      </c>
      <c r="AP1" s="8" t="s">
        <v>76</v>
      </c>
      <c r="AQ1" s="9" t="s">
        <v>77</v>
      </c>
      <c r="AR1" s="13" t="s">
        <v>78</v>
      </c>
      <c r="AS1" s="14" t="s">
        <v>79</v>
      </c>
      <c r="AT1" s="15" t="s">
        <v>80</v>
      </c>
      <c r="AU1" s="4" t="s">
        <v>81</v>
      </c>
      <c r="AV1" s="16" t="s">
        <v>82</v>
      </c>
      <c r="AW1" s="17" t="s">
        <v>83</v>
      </c>
      <c r="AX1" s="2" t="s">
        <v>84</v>
      </c>
      <c r="AY1" t="s">
        <v>85</v>
      </c>
      <c r="AZ1" t="s">
        <v>86</v>
      </c>
      <c r="BA1" s="18" t="s">
        <v>87</v>
      </c>
      <c r="BB1" s="19" t="s">
        <v>88</v>
      </c>
      <c r="BC1" t="s">
        <v>89</v>
      </c>
      <c r="BD1" s="20" t="s">
        <v>90</v>
      </c>
      <c r="BE1" s="21" t="s">
        <v>91</v>
      </c>
      <c r="BF1" t="s">
        <v>92</v>
      </c>
      <c r="BG1" s="22" t="s">
        <v>93</v>
      </c>
      <c r="BH1" s="23" t="s">
        <v>94</v>
      </c>
      <c r="BI1" t="s">
        <v>95</v>
      </c>
      <c r="BP1" t="s">
        <v>270</v>
      </c>
    </row>
    <row r="2" spans="1:68" x14ac:dyDescent="0.2">
      <c r="A2" t="s">
        <v>27</v>
      </c>
      <c r="B2" t="s">
        <v>26</v>
      </c>
      <c r="D2" t="s">
        <v>26</v>
      </c>
      <c r="E2">
        <v>2021</v>
      </c>
      <c r="F2">
        <v>1</v>
      </c>
      <c r="G2" t="s">
        <v>28</v>
      </c>
      <c r="H2">
        <v>123</v>
      </c>
      <c r="I2">
        <v>123</v>
      </c>
      <c r="J2" s="1">
        <v>44414.390844907408</v>
      </c>
      <c r="K2" t="s">
        <v>29</v>
      </c>
      <c r="L2" t="s">
        <v>26</v>
      </c>
      <c r="M2" t="s">
        <v>30</v>
      </c>
      <c r="P2" t="s">
        <v>31</v>
      </c>
      <c r="Q2" t="s">
        <v>31</v>
      </c>
      <c r="R2" t="s">
        <v>32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>
        <v>25</v>
      </c>
      <c r="Y2" t="s">
        <v>36</v>
      </c>
      <c r="Z2" s="6">
        <v>4</v>
      </c>
      <c r="AA2" s="6">
        <v>4</v>
      </c>
      <c r="AB2" s="6">
        <v>4</v>
      </c>
      <c r="AC2" s="6">
        <v>4</v>
      </c>
      <c r="AD2" s="6">
        <v>4</v>
      </c>
      <c r="AE2" s="6">
        <v>1</v>
      </c>
      <c r="AF2" s="6">
        <v>2021</v>
      </c>
      <c r="AG2" s="6" t="s">
        <v>64</v>
      </c>
      <c r="AH2" s="6">
        <v>5</v>
      </c>
      <c r="AI2" s="6">
        <v>100</v>
      </c>
      <c r="AJ2" s="6">
        <v>5</v>
      </c>
      <c r="AK2" s="6">
        <v>100</v>
      </c>
      <c r="AL2" s="6">
        <v>5</v>
      </c>
      <c r="AM2" s="6">
        <v>100</v>
      </c>
      <c r="AN2" s="6">
        <v>5</v>
      </c>
      <c r="AO2" s="38">
        <v>5</v>
      </c>
      <c r="AP2">
        <v>100</v>
      </c>
      <c r="AQ2" s="6">
        <v>1</v>
      </c>
      <c r="AR2" s="6">
        <v>5</v>
      </c>
      <c r="AS2" s="6">
        <v>5</v>
      </c>
      <c r="AT2" s="6">
        <v>100</v>
      </c>
      <c r="AU2" s="6">
        <v>65</v>
      </c>
      <c r="AV2" s="6">
        <v>40</v>
      </c>
      <c r="AW2" s="6">
        <v>20</v>
      </c>
      <c r="AX2" s="6">
        <v>4</v>
      </c>
      <c r="AY2" s="6" t="s">
        <v>31</v>
      </c>
      <c r="AZ2" s="6" t="s">
        <v>31</v>
      </c>
      <c r="BA2" s="6">
        <v>5</v>
      </c>
      <c r="BB2" s="6">
        <v>5</v>
      </c>
      <c r="BC2" s="6" t="s">
        <v>99</v>
      </c>
      <c r="BD2" s="6" t="s">
        <v>31</v>
      </c>
      <c r="BE2" s="6" t="s">
        <v>31</v>
      </c>
      <c r="BF2" s="6" t="s">
        <v>31</v>
      </c>
      <c r="BG2" s="6" t="s">
        <v>31</v>
      </c>
      <c r="BH2" s="6" t="s">
        <v>31</v>
      </c>
      <c r="BI2" s="6" t="s">
        <v>31</v>
      </c>
      <c r="BP2" s="8" t="s">
        <v>24</v>
      </c>
    </row>
    <row r="3" spans="1:68" x14ac:dyDescent="0.2">
      <c r="A3" t="s">
        <v>27</v>
      </c>
      <c r="B3" t="s">
        <v>26</v>
      </c>
      <c r="D3" t="s">
        <v>26</v>
      </c>
      <c r="E3">
        <v>2021</v>
      </c>
      <c r="F3">
        <v>1</v>
      </c>
      <c r="G3" t="s">
        <v>28</v>
      </c>
      <c r="H3">
        <v>123</v>
      </c>
      <c r="I3">
        <v>123</v>
      </c>
      <c r="J3" s="1">
        <v>44414.390844907408</v>
      </c>
      <c r="K3" t="s">
        <v>29</v>
      </c>
      <c r="L3" t="s">
        <v>26</v>
      </c>
      <c r="M3" t="s">
        <v>30</v>
      </c>
      <c r="P3" t="s">
        <v>31</v>
      </c>
      <c r="Q3" t="s">
        <v>31</v>
      </c>
      <c r="R3" t="s">
        <v>32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>
        <v>22</v>
      </c>
      <c r="Y3" t="s">
        <v>33</v>
      </c>
      <c r="Z3">
        <v>4</v>
      </c>
      <c r="AA3">
        <v>4</v>
      </c>
      <c r="AB3">
        <v>4</v>
      </c>
      <c r="AC3">
        <v>4</v>
      </c>
      <c r="AD3">
        <v>4</v>
      </c>
      <c r="AE3" s="19">
        <v>1</v>
      </c>
      <c r="AF3">
        <v>2021</v>
      </c>
      <c r="AG3" t="s">
        <v>61</v>
      </c>
      <c r="AH3">
        <v>15</v>
      </c>
      <c r="AI3">
        <v>100</v>
      </c>
      <c r="AJ3">
        <v>15</v>
      </c>
      <c r="AK3">
        <v>100</v>
      </c>
      <c r="AL3">
        <v>15</v>
      </c>
      <c r="AM3">
        <v>100</v>
      </c>
      <c r="AN3">
        <v>15</v>
      </c>
      <c r="AO3" s="19">
        <v>15</v>
      </c>
      <c r="AP3" s="39">
        <v>100</v>
      </c>
      <c r="AQ3">
        <v>1</v>
      </c>
      <c r="AR3">
        <v>15</v>
      </c>
      <c r="AS3">
        <v>15</v>
      </c>
      <c r="AT3">
        <v>100</v>
      </c>
      <c r="AU3">
        <v>65</v>
      </c>
      <c r="AV3">
        <v>120</v>
      </c>
      <c r="AW3">
        <v>60</v>
      </c>
      <c r="AX3">
        <v>4</v>
      </c>
      <c r="AY3" t="s">
        <v>31</v>
      </c>
      <c r="AZ3" t="s">
        <v>31</v>
      </c>
      <c r="BA3">
        <v>15</v>
      </c>
      <c r="BB3">
        <v>15</v>
      </c>
      <c r="BC3" t="s">
        <v>96</v>
      </c>
      <c r="BD3" t="s">
        <v>31</v>
      </c>
      <c r="BE3" t="s">
        <v>31</v>
      </c>
      <c r="BF3" t="s">
        <v>31</v>
      </c>
      <c r="BG3" t="s">
        <v>31</v>
      </c>
      <c r="BH3" t="s">
        <v>31</v>
      </c>
      <c r="BI3" t="s">
        <v>31</v>
      </c>
      <c r="BP3" s="8" t="s">
        <v>25</v>
      </c>
    </row>
    <row r="4" spans="1:68" x14ac:dyDescent="0.2">
      <c r="A4" t="s">
        <v>27</v>
      </c>
      <c r="B4" t="s">
        <v>26</v>
      </c>
      <c r="D4" t="s">
        <v>26</v>
      </c>
      <c r="E4">
        <v>2021</v>
      </c>
      <c r="F4">
        <v>1</v>
      </c>
      <c r="G4" t="s">
        <v>28</v>
      </c>
      <c r="H4">
        <v>123</v>
      </c>
      <c r="I4">
        <v>123</v>
      </c>
      <c r="J4" s="1">
        <v>44414.390844907408</v>
      </c>
      <c r="K4" t="s">
        <v>29</v>
      </c>
      <c r="L4" t="s">
        <v>26</v>
      </c>
      <c r="M4" t="s">
        <v>30</v>
      </c>
      <c r="P4" t="s">
        <v>31</v>
      </c>
      <c r="Q4" t="s">
        <v>31</v>
      </c>
      <c r="R4" t="s">
        <v>32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>
        <v>24</v>
      </c>
      <c r="Y4" t="s">
        <v>35</v>
      </c>
      <c r="Z4">
        <v>3</v>
      </c>
      <c r="AA4">
        <v>3</v>
      </c>
      <c r="AB4">
        <v>3</v>
      </c>
      <c r="AC4">
        <v>3</v>
      </c>
      <c r="AD4">
        <v>4</v>
      </c>
      <c r="AE4">
        <v>0.75</v>
      </c>
      <c r="AF4">
        <v>2021</v>
      </c>
      <c r="AG4" t="s">
        <v>63</v>
      </c>
      <c r="AH4">
        <v>30</v>
      </c>
      <c r="AI4">
        <v>100</v>
      </c>
      <c r="AJ4">
        <v>30</v>
      </c>
      <c r="AK4">
        <v>100</v>
      </c>
      <c r="AL4">
        <v>30</v>
      </c>
      <c r="AM4">
        <v>100</v>
      </c>
      <c r="AN4">
        <v>22.5</v>
      </c>
      <c r="AO4">
        <v>30</v>
      </c>
      <c r="AP4">
        <v>100</v>
      </c>
      <c r="AQ4">
        <v>0.75</v>
      </c>
      <c r="AR4">
        <v>22.5</v>
      </c>
      <c r="AS4">
        <v>30</v>
      </c>
      <c r="AT4">
        <v>100</v>
      </c>
      <c r="AU4">
        <v>65</v>
      </c>
      <c r="AV4">
        <v>120</v>
      </c>
      <c r="AW4">
        <v>120</v>
      </c>
      <c r="AX4">
        <v>4</v>
      </c>
      <c r="AY4" t="s">
        <v>31</v>
      </c>
      <c r="AZ4" t="s">
        <v>31</v>
      </c>
      <c r="BA4">
        <v>30</v>
      </c>
      <c r="BB4">
        <v>22.5</v>
      </c>
      <c r="BC4" t="s">
        <v>97</v>
      </c>
      <c r="BD4" t="s">
        <v>31</v>
      </c>
      <c r="BE4" t="s">
        <v>31</v>
      </c>
      <c r="BF4" t="s">
        <v>31</v>
      </c>
      <c r="BG4" t="s">
        <v>31</v>
      </c>
      <c r="BH4" t="s">
        <v>31</v>
      </c>
      <c r="BI4" t="s">
        <v>31</v>
      </c>
      <c r="BP4" s="8" t="s">
        <v>42</v>
      </c>
    </row>
    <row r="5" spans="1:68" x14ac:dyDescent="0.2">
      <c r="A5" t="s">
        <v>27</v>
      </c>
      <c r="B5" t="s">
        <v>26</v>
      </c>
      <c r="D5" t="s">
        <v>26</v>
      </c>
      <c r="E5">
        <v>2021</v>
      </c>
      <c r="F5">
        <v>1</v>
      </c>
      <c r="G5" t="s">
        <v>28</v>
      </c>
      <c r="H5">
        <v>123</v>
      </c>
      <c r="I5">
        <v>123</v>
      </c>
      <c r="J5" s="1">
        <v>44414.390844907408</v>
      </c>
      <c r="K5" t="s">
        <v>29</v>
      </c>
      <c r="L5" t="s">
        <v>26</v>
      </c>
      <c r="M5" t="s">
        <v>30</v>
      </c>
      <c r="P5" t="s">
        <v>31</v>
      </c>
      <c r="Q5" t="s">
        <v>31</v>
      </c>
      <c r="R5" t="s">
        <v>32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>
        <v>26</v>
      </c>
      <c r="Y5" t="s">
        <v>37</v>
      </c>
      <c r="Z5">
        <v>3</v>
      </c>
      <c r="AA5">
        <v>3</v>
      </c>
      <c r="AB5">
        <v>3</v>
      </c>
      <c r="AC5">
        <v>3</v>
      </c>
      <c r="AD5">
        <v>4</v>
      </c>
      <c r="AE5">
        <v>0.75</v>
      </c>
      <c r="AF5">
        <v>2021</v>
      </c>
      <c r="AG5" t="s">
        <v>64</v>
      </c>
      <c r="AH5">
        <v>5</v>
      </c>
      <c r="AI5">
        <v>100</v>
      </c>
      <c r="AJ5">
        <v>5</v>
      </c>
      <c r="AK5">
        <v>100</v>
      </c>
      <c r="AL5">
        <v>5</v>
      </c>
      <c r="AM5">
        <v>100</v>
      </c>
      <c r="AN5">
        <v>3.75</v>
      </c>
      <c r="AO5">
        <v>5</v>
      </c>
      <c r="AP5">
        <v>100</v>
      </c>
      <c r="AQ5">
        <v>0.75</v>
      </c>
      <c r="AR5">
        <v>3.75</v>
      </c>
      <c r="AS5">
        <v>5</v>
      </c>
      <c r="AT5">
        <v>100</v>
      </c>
      <c r="AU5">
        <v>65</v>
      </c>
      <c r="AV5">
        <v>40</v>
      </c>
      <c r="AW5">
        <v>20</v>
      </c>
      <c r="AX5">
        <v>4</v>
      </c>
      <c r="AY5" t="s">
        <v>31</v>
      </c>
      <c r="AZ5" t="s">
        <v>31</v>
      </c>
      <c r="BA5">
        <v>5</v>
      </c>
      <c r="BB5">
        <v>3.75</v>
      </c>
      <c r="BC5" t="s">
        <v>98</v>
      </c>
      <c r="BD5" t="s">
        <v>31</v>
      </c>
      <c r="BE5" t="s">
        <v>31</v>
      </c>
      <c r="BF5" t="s">
        <v>31</v>
      </c>
      <c r="BG5" t="s">
        <v>31</v>
      </c>
      <c r="BH5" t="s">
        <v>31</v>
      </c>
      <c r="BI5" t="s">
        <v>31</v>
      </c>
      <c r="BP5" s="8" t="s">
        <v>43</v>
      </c>
    </row>
    <row r="6" spans="1:68" x14ac:dyDescent="0.2">
      <c r="A6" t="s">
        <v>27</v>
      </c>
      <c r="B6" t="s">
        <v>26</v>
      </c>
      <c r="D6" t="s">
        <v>26</v>
      </c>
      <c r="E6">
        <v>2021</v>
      </c>
      <c r="F6">
        <v>1</v>
      </c>
      <c r="G6" t="s">
        <v>28</v>
      </c>
      <c r="H6">
        <v>123</v>
      </c>
      <c r="I6">
        <v>123</v>
      </c>
      <c r="J6" s="1">
        <v>44414.390844907408</v>
      </c>
      <c r="K6" t="s">
        <v>29</v>
      </c>
      <c r="L6" t="s">
        <v>26</v>
      </c>
      <c r="M6" t="s">
        <v>30</v>
      </c>
      <c r="P6" t="s">
        <v>31</v>
      </c>
      <c r="Q6" t="s">
        <v>31</v>
      </c>
      <c r="R6" t="s">
        <v>32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>
        <v>23</v>
      </c>
      <c r="Y6" t="s">
        <v>34</v>
      </c>
      <c r="Z6">
        <v>3</v>
      </c>
      <c r="AA6">
        <v>3</v>
      </c>
      <c r="AB6">
        <v>3</v>
      </c>
      <c r="AC6">
        <v>3</v>
      </c>
      <c r="AD6">
        <v>4</v>
      </c>
      <c r="AE6">
        <v>0.75</v>
      </c>
      <c r="AF6">
        <v>2021</v>
      </c>
      <c r="AG6" t="s">
        <v>61</v>
      </c>
      <c r="AH6">
        <v>15</v>
      </c>
      <c r="AI6">
        <v>100</v>
      </c>
      <c r="AJ6">
        <v>15</v>
      </c>
      <c r="AK6">
        <v>100</v>
      </c>
      <c r="AL6">
        <v>15</v>
      </c>
      <c r="AM6">
        <v>100</v>
      </c>
      <c r="AN6">
        <v>11.25</v>
      </c>
      <c r="AO6">
        <v>15</v>
      </c>
      <c r="AP6">
        <v>100</v>
      </c>
      <c r="AQ6">
        <v>0.75</v>
      </c>
      <c r="AR6">
        <v>11.25</v>
      </c>
      <c r="AS6">
        <v>15</v>
      </c>
      <c r="AT6">
        <v>100</v>
      </c>
      <c r="AU6">
        <v>65</v>
      </c>
      <c r="AV6">
        <v>120</v>
      </c>
      <c r="AW6">
        <v>60</v>
      </c>
      <c r="AX6">
        <v>4</v>
      </c>
      <c r="AY6" t="s">
        <v>31</v>
      </c>
      <c r="AZ6" t="s">
        <v>31</v>
      </c>
      <c r="BA6">
        <v>15</v>
      </c>
      <c r="BB6">
        <v>11.25</v>
      </c>
      <c r="BC6" t="s">
        <v>100</v>
      </c>
      <c r="BD6" t="s">
        <v>31</v>
      </c>
      <c r="BE6" t="s">
        <v>31</v>
      </c>
      <c r="BF6" t="s">
        <v>31</v>
      </c>
      <c r="BG6" t="s">
        <v>31</v>
      </c>
      <c r="BH6" t="s">
        <v>31</v>
      </c>
      <c r="BI6" t="s">
        <v>31</v>
      </c>
      <c r="BP6" s="8" t="s">
        <v>44</v>
      </c>
    </row>
    <row r="7" spans="1:68" x14ac:dyDescent="0.2">
      <c r="A7" t="s">
        <v>27</v>
      </c>
      <c r="B7" t="s">
        <v>26</v>
      </c>
      <c r="D7" t="s">
        <v>26</v>
      </c>
      <c r="E7">
        <v>2021</v>
      </c>
      <c r="F7">
        <v>1</v>
      </c>
      <c r="G7" t="s">
        <v>28</v>
      </c>
      <c r="H7">
        <v>123</v>
      </c>
      <c r="I7">
        <v>123</v>
      </c>
      <c r="J7" s="1">
        <v>44414.390844907408</v>
      </c>
      <c r="K7" t="s">
        <v>29</v>
      </c>
      <c r="L7" t="s">
        <v>26</v>
      </c>
      <c r="M7" t="s">
        <v>30</v>
      </c>
      <c r="P7" t="s">
        <v>31</v>
      </c>
      <c r="Q7" t="s">
        <v>31</v>
      </c>
      <c r="R7" t="s">
        <v>32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>
        <v>30</v>
      </c>
      <c r="Y7" t="s">
        <v>38</v>
      </c>
      <c r="Z7">
        <v>4</v>
      </c>
      <c r="AA7">
        <v>4</v>
      </c>
      <c r="AB7">
        <v>4</v>
      </c>
      <c r="AC7">
        <v>4</v>
      </c>
      <c r="AD7">
        <v>4</v>
      </c>
      <c r="AE7">
        <v>1</v>
      </c>
      <c r="AF7">
        <v>2021</v>
      </c>
      <c r="AG7" t="s">
        <v>62</v>
      </c>
      <c r="AH7">
        <v>15</v>
      </c>
      <c r="AI7">
        <v>100</v>
      </c>
      <c r="AJ7">
        <v>15</v>
      </c>
      <c r="AK7">
        <v>100</v>
      </c>
      <c r="AL7">
        <v>15</v>
      </c>
      <c r="AM7">
        <v>100</v>
      </c>
      <c r="AN7">
        <v>15</v>
      </c>
      <c r="AO7">
        <v>15</v>
      </c>
      <c r="AP7">
        <v>100</v>
      </c>
      <c r="AQ7">
        <v>1</v>
      </c>
      <c r="AR7">
        <v>15</v>
      </c>
      <c r="AS7">
        <v>15</v>
      </c>
      <c r="AT7">
        <v>100</v>
      </c>
      <c r="AU7">
        <v>65</v>
      </c>
      <c r="AV7">
        <v>120</v>
      </c>
      <c r="AW7">
        <v>60</v>
      </c>
      <c r="AX7">
        <v>4</v>
      </c>
      <c r="AY7" t="s">
        <v>31</v>
      </c>
      <c r="AZ7" t="s">
        <v>31</v>
      </c>
      <c r="BA7">
        <v>15</v>
      </c>
      <c r="BB7">
        <v>15</v>
      </c>
      <c r="BC7" t="s">
        <v>96</v>
      </c>
      <c r="BD7" t="s">
        <v>31</v>
      </c>
      <c r="BE7" t="s">
        <v>31</v>
      </c>
      <c r="BF7" t="s">
        <v>31</v>
      </c>
      <c r="BG7" t="s">
        <v>31</v>
      </c>
      <c r="BH7" t="s">
        <v>31</v>
      </c>
      <c r="BI7" t="s">
        <v>31</v>
      </c>
      <c r="BP7" s="8" t="s">
        <v>65</v>
      </c>
    </row>
    <row r="8" spans="1:68" x14ac:dyDescent="0.2">
      <c r="A8" t="s">
        <v>27</v>
      </c>
      <c r="B8" t="s">
        <v>26</v>
      </c>
      <c r="D8" t="s">
        <v>26</v>
      </c>
      <c r="E8">
        <v>2021</v>
      </c>
      <c r="F8">
        <v>1</v>
      </c>
      <c r="G8" t="s">
        <v>28</v>
      </c>
      <c r="H8">
        <v>123</v>
      </c>
      <c r="I8">
        <v>123</v>
      </c>
      <c r="J8" s="1">
        <v>44414.390844907408</v>
      </c>
      <c r="K8" t="s">
        <v>29</v>
      </c>
      <c r="L8" t="s">
        <v>26</v>
      </c>
      <c r="M8" t="s">
        <v>30</v>
      </c>
      <c r="P8" t="s">
        <v>31</v>
      </c>
      <c r="Q8" t="s">
        <v>31</v>
      </c>
      <c r="R8" t="s">
        <v>32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>
        <v>31</v>
      </c>
      <c r="Y8" t="s">
        <v>39</v>
      </c>
      <c r="Z8">
        <v>4</v>
      </c>
      <c r="AA8">
        <v>4</v>
      </c>
      <c r="AB8">
        <v>4</v>
      </c>
      <c r="AC8">
        <v>4</v>
      </c>
      <c r="AD8">
        <v>4</v>
      </c>
      <c r="AE8">
        <v>1</v>
      </c>
      <c r="AF8">
        <v>2021</v>
      </c>
      <c r="AG8" t="s">
        <v>62</v>
      </c>
      <c r="AH8">
        <v>15</v>
      </c>
      <c r="AI8">
        <v>100</v>
      </c>
      <c r="AJ8">
        <v>15</v>
      </c>
      <c r="AK8">
        <v>100</v>
      </c>
      <c r="AL8">
        <v>15</v>
      </c>
      <c r="AM8">
        <v>100</v>
      </c>
      <c r="AN8">
        <v>15</v>
      </c>
      <c r="AO8">
        <v>15</v>
      </c>
      <c r="AP8">
        <v>100</v>
      </c>
      <c r="AQ8">
        <v>1</v>
      </c>
      <c r="AR8">
        <v>15</v>
      </c>
      <c r="AS8">
        <v>15</v>
      </c>
      <c r="AT8">
        <v>100</v>
      </c>
      <c r="AU8">
        <v>65</v>
      </c>
      <c r="AV8">
        <v>120</v>
      </c>
      <c r="AW8">
        <v>60</v>
      </c>
      <c r="AX8">
        <v>4</v>
      </c>
      <c r="AY8" t="s">
        <v>31</v>
      </c>
      <c r="AZ8" t="s">
        <v>31</v>
      </c>
      <c r="BA8">
        <v>15</v>
      </c>
      <c r="BB8">
        <v>15</v>
      </c>
      <c r="BC8" t="s">
        <v>96</v>
      </c>
      <c r="BD8" t="s">
        <v>31</v>
      </c>
      <c r="BE8" t="s">
        <v>31</v>
      </c>
      <c r="BF8" t="s">
        <v>31</v>
      </c>
      <c r="BG8" t="s">
        <v>31</v>
      </c>
      <c r="BH8" t="s">
        <v>31</v>
      </c>
      <c r="BI8" t="s">
        <v>31</v>
      </c>
      <c r="BP8" s="8" t="s">
        <v>66</v>
      </c>
    </row>
    <row r="9" spans="1:68" x14ac:dyDescent="0.2">
      <c r="BP9" s="8" t="s">
        <v>67</v>
      </c>
    </row>
    <row r="10" spans="1:68" x14ac:dyDescent="0.2">
      <c r="AQ10" s="7" t="s">
        <v>426</v>
      </c>
      <c r="AR10" s="7" t="s">
        <v>427</v>
      </c>
      <c r="AS10" s="7" t="s">
        <v>273</v>
      </c>
      <c r="AT10" s="7" t="s">
        <v>275</v>
      </c>
      <c r="BA10" s="7" t="s">
        <v>273</v>
      </c>
      <c r="BB10" s="7" t="s">
        <v>428</v>
      </c>
      <c r="BP10" s="8" t="s">
        <v>68</v>
      </c>
    </row>
    <row r="11" spans="1:68" x14ac:dyDescent="0.2">
      <c r="BP11" s="8" t="s">
        <v>69</v>
      </c>
    </row>
    <row r="12" spans="1:68" x14ac:dyDescent="0.2">
      <c r="AZ12" s="8" t="s">
        <v>75</v>
      </c>
      <c r="BA12" s="38" t="s">
        <v>87</v>
      </c>
      <c r="BP12" s="8" t="s">
        <v>70</v>
      </c>
    </row>
    <row r="13" spans="1:68" x14ac:dyDescent="0.2">
      <c r="AZ13" s="38">
        <v>5</v>
      </c>
      <c r="BA13" s="11">
        <f>AO2*(100/AP2)</f>
        <v>5</v>
      </c>
      <c r="BP13" s="8" t="s">
        <v>71</v>
      </c>
    </row>
    <row r="14" spans="1:68" x14ac:dyDescent="0.2">
      <c r="AZ14" s="19">
        <v>15</v>
      </c>
      <c r="BA14" s="11">
        <f t="shared" ref="BA14:BA19" si="0">AO3*(100/AP3)</f>
        <v>15</v>
      </c>
      <c r="BP14" s="8" t="s">
        <v>72</v>
      </c>
    </row>
    <row r="15" spans="1:68" x14ac:dyDescent="0.2">
      <c r="AT15" t="s">
        <v>118</v>
      </c>
      <c r="AU15" t="s">
        <v>2</v>
      </c>
      <c r="AV15" t="s">
        <v>67</v>
      </c>
      <c r="AW15" t="s">
        <v>68</v>
      </c>
      <c r="AZ15">
        <v>30</v>
      </c>
      <c r="BA15" s="11">
        <f t="shared" si="0"/>
        <v>30</v>
      </c>
      <c r="BP15" s="8" t="s">
        <v>73</v>
      </c>
    </row>
    <row r="16" spans="1:68" x14ac:dyDescent="0.2">
      <c r="AU16" t="s">
        <v>27</v>
      </c>
      <c r="AV16" t="s">
        <v>63</v>
      </c>
      <c r="AW16">
        <v>30</v>
      </c>
      <c r="AZ16">
        <v>5</v>
      </c>
      <c r="BA16" s="11">
        <f t="shared" si="0"/>
        <v>5</v>
      </c>
      <c r="BP16" s="8" t="s">
        <v>74</v>
      </c>
    </row>
    <row r="17" spans="46:69" x14ac:dyDescent="0.2">
      <c r="AU17" t="s">
        <v>27</v>
      </c>
      <c r="AV17" t="s">
        <v>62</v>
      </c>
      <c r="AW17">
        <v>15</v>
      </c>
      <c r="AZ17">
        <v>15</v>
      </c>
      <c r="BA17" s="11">
        <f t="shared" si="0"/>
        <v>15</v>
      </c>
      <c r="BP17" s="8" t="s">
        <v>75</v>
      </c>
    </row>
    <row r="18" spans="46:69" x14ac:dyDescent="0.2">
      <c r="AU18" t="s">
        <v>27</v>
      </c>
      <c r="AV18" t="s">
        <v>61</v>
      </c>
      <c r="AW18">
        <v>15</v>
      </c>
      <c r="AZ18">
        <v>15</v>
      </c>
      <c r="BA18" s="11">
        <f t="shared" si="0"/>
        <v>15</v>
      </c>
      <c r="BP18" s="8" t="s">
        <v>76</v>
      </c>
    </row>
    <row r="19" spans="46:69" x14ac:dyDescent="0.2">
      <c r="AU19" t="s">
        <v>27</v>
      </c>
      <c r="AV19" t="s">
        <v>64</v>
      </c>
      <c r="AW19">
        <v>5</v>
      </c>
      <c r="AZ19">
        <v>15</v>
      </c>
      <c r="BA19" s="11">
        <f t="shared" si="0"/>
        <v>15</v>
      </c>
    </row>
    <row r="21" spans="46:69" x14ac:dyDescent="0.2">
      <c r="BP21" s="9" t="s">
        <v>77</v>
      </c>
      <c r="BQ21" t="s">
        <v>271</v>
      </c>
    </row>
    <row r="22" spans="46:69" x14ac:dyDescent="0.2">
      <c r="AT22" t="s">
        <v>288</v>
      </c>
      <c r="AU22" t="s">
        <v>2</v>
      </c>
      <c r="AV22" s="4" t="s">
        <v>81</v>
      </c>
    </row>
    <row r="23" spans="46:69" x14ac:dyDescent="0.2">
      <c r="AU23" t="s">
        <v>27</v>
      </c>
      <c r="AV23" s="4">
        <v>65</v>
      </c>
      <c r="BP23" s="13" t="s">
        <v>78</v>
      </c>
      <c r="BQ23" t="s">
        <v>272</v>
      </c>
    </row>
    <row r="24" spans="46:69" x14ac:dyDescent="0.2">
      <c r="AY24" t="s">
        <v>482</v>
      </c>
      <c r="AZ24" s="8" t="s">
        <v>24</v>
      </c>
      <c r="BA24" s="8" t="s">
        <v>44</v>
      </c>
      <c r="BB24" s="8" t="s">
        <v>65</v>
      </c>
      <c r="BC24" s="8" t="s">
        <v>75</v>
      </c>
      <c r="BD24" s="8" t="s">
        <v>76</v>
      </c>
      <c r="BE24" s="19" t="s">
        <v>88</v>
      </c>
    </row>
    <row r="25" spans="46:69" x14ac:dyDescent="0.2">
      <c r="AZ25">
        <v>4</v>
      </c>
      <c r="BA25">
        <v>4</v>
      </c>
      <c r="BB25">
        <f>AZ25/BA25</f>
        <v>1</v>
      </c>
      <c r="BC25" s="38">
        <v>5</v>
      </c>
      <c r="BD25">
        <v>100</v>
      </c>
      <c r="BE25">
        <f>BB25*BC25*(100/BD25)</f>
        <v>5</v>
      </c>
      <c r="BP25" s="14" t="s">
        <v>79</v>
      </c>
      <c r="BQ25" t="s">
        <v>274</v>
      </c>
    </row>
    <row r="26" spans="46:69" x14ac:dyDescent="0.2">
      <c r="AZ26">
        <v>4</v>
      </c>
      <c r="BA26">
        <v>4</v>
      </c>
      <c r="BB26">
        <f t="shared" ref="BB26:BB30" si="1">AZ26/BA26</f>
        <v>1</v>
      </c>
      <c r="BC26" s="19">
        <v>15</v>
      </c>
      <c r="BD26" s="39">
        <v>100</v>
      </c>
      <c r="BE26">
        <f t="shared" ref="BE26:BE31" si="2">BB26*BC26*(100/BD26)</f>
        <v>15</v>
      </c>
    </row>
    <row r="27" spans="46:69" x14ac:dyDescent="0.2">
      <c r="AZ27">
        <v>4</v>
      </c>
      <c r="BA27">
        <v>4</v>
      </c>
      <c r="BB27">
        <f t="shared" si="1"/>
        <v>1</v>
      </c>
      <c r="BC27">
        <v>30</v>
      </c>
      <c r="BD27">
        <v>100</v>
      </c>
      <c r="BE27">
        <f t="shared" si="2"/>
        <v>30</v>
      </c>
      <c r="BP27" s="15" t="s">
        <v>80</v>
      </c>
      <c r="BQ27" t="s">
        <v>276</v>
      </c>
    </row>
    <row r="28" spans="46:69" x14ac:dyDescent="0.2">
      <c r="AZ28">
        <v>4</v>
      </c>
      <c r="BA28">
        <v>4</v>
      </c>
      <c r="BB28">
        <f t="shared" si="1"/>
        <v>1</v>
      </c>
      <c r="BC28">
        <v>5</v>
      </c>
      <c r="BD28">
        <v>100</v>
      </c>
      <c r="BE28">
        <f t="shared" si="2"/>
        <v>5</v>
      </c>
    </row>
    <row r="29" spans="46:69" x14ac:dyDescent="0.2">
      <c r="AZ29">
        <v>4</v>
      </c>
      <c r="BA29">
        <v>4</v>
      </c>
      <c r="BB29">
        <f t="shared" si="1"/>
        <v>1</v>
      </c>
      <c r="BC29">
        <v>15</v>
      </c>
      <c r="BD29">
        <v>100</v>
      </c>
      <c r="BE29">
        <f t="shared" si="2"/>
        <v>15</v>
      </c>
    </row>
    <row r="30" spans="46:69" x14ac:dyDescent="0.2">
      <c r="AZ30">
        <v>4</v>
      </c>
      <c r="BA30">
        <v>4</v>
      </c>
      <c r="BB30">
        <f t="shared" si="1"/>
        <v>1</v>
      </c>
      <c r="BC30">
        <v>15</v>
      </c>
      <c r="BD30">
        <v>100</v>
      </c>
      <c r="BE30">
        <f t="shared" si="2"/>
        <v>15</v>
      </c>
    </row>
    <row r="31" spans="46:69" x14ac:dyDescent="0.2">
      <c r="AZ31">
        <v>4</v>
      </c>
      <c r="BA31">
        <v>4</v>
      </c>
      <c r="BB31">
        <f t="shared" ref="BB31" si="3">AZ31/BA31</f>
        <v>1</v>
      </c>
      <c r="BC31">
        <v>15</v>
      </c>
      <c r="BD31">
        <v>100</v>
      </c>
      <c r="BE31">
        <f t="shared" si="2"/>
        <v>15</v>
      </c>
      <c r="BP31" s="4" t="s">
        <v>81</v>
      </c>
      <c r="BQ31" t="s">
        <v>277</v>
      </c>
    </row>
    <row r="32" spans="46:69" x14ac:dyDescent="0.2">
      <c r="BQ32" t="s">
        <v>286</v>
      </c>
    </row>
    <row r="33" spans="1:78" x14ac:dyDescent="0.2">
      <c r="BQ33" t="s">
        <v>278</v>
      </c>
    </row>
    <row r="34" spans="1:78" x14ac:dyDescent="0.2">
      <c r="BQ34" t="s">
        <v>279</v>
      </c>
    </row>
    <row r="35" spans="1:78" x14ac:dyDescent="0.2">
      <c r="BQ35" t="s">
        <v>280</v>
      </c>
      <c r="BX35" t="s">
        <v>118</v>
      </c>
      <c r="BY35" t="s">
        <v>2</v>
      </c>
      <c r="BZ35" t="s">
        <v>67</v>
      </c>
    </row>
    <row r="36" spans="1:78" x14ac:dyDescent="0.2">
      <c r="BQ36" t="s">
        <v>287</v>
      </c>
      <c r="BY36" t="s">
        <v>27</v>
      </c>
      <c r="BZ36" t="s">
        <v>63</v>
      </c>
    </row>
    <row r="37" spans="1:78" x14ac:dyDescent="0.2">
      <c r="BQ37" t="s">
        <v>282</v>
      </c>
      <c r="BY37" t="s">
        <v>27</v>
      </c>
      <c r="BZ37" t="s">
        <v>62</v>
      </c>
    </row>
    <row r="38" spans="1:78" x14ac:dyDescent="0.2">
      <c r="BQ38" t="s">
        <v>283</v>
      </c>
      <c r="BY38" t="s">
        <v>27</v>
      </c>
      <c r="BZ38" t="s">
        <v>61</v>
      </c>
    </row>
    <row r="39" spans="1:78" x14ac:dyDescent="0.2">
      <c r="BQ39" t="s">
        <v>281</v>
      </c>
      <c r="BY39" t="s">
        <v>27</v>
      </c>
      <c r="BZ39" t="s">
        <v>64</v>
      </c>
    </row>
    <row r="40" spans="1:78" x14ac:dyDescent="0.2">
      <c r="BQ40" t="s">
        <v>284</v>
      </c>
    </row>
    <row r="41" spans="1:78" x14ac:dyDescent="0.2">
      <c r="BQ41" t="s">
        <v>285</v>
      </c>
    </row>
    <row r="42" spans="1:78" x14ac:dyDescent="0.2">
      <c r="BX42" t="s">
        <v>288</v>
      </c>
      <c r="BY42" t="s">
        <v>2</v>
      </c>
      <c r="BZ42" t="s">
        <v>81</v>
      </c>
    </row>
    <row r="43" spans="1:78" x14ac:dyDescent="0.2">
      <c r="BY43" t="s">
        <v>27</v>
      </c>
      <c r="BZ43">
        <v>65</v>
      </c>
    </row>
    <row r="45" spans="1:78" x14ac:dyDescent="0.2">
      <c r="A45" t="s">
        <v>2</v>
      </c>
      <c r="B45" t="s">
        <v>0</v>
      </c>
      <c r="C45" t="s">
        <v>1</v>
      </c>
      <c r="D45" t="s">
        <v>41</v>
      </c>
      <c r="E45" t="s">
        <v>3</v>
      </c>
      <c r="F45" t="s">
        <v>4</v>
      </c>
      <c r="G45" t="s">
        <v>5</v>
      </c>
      <c r="H45" t="s">
        <v>6</v>
      </c>
      <c r="I45" t="s">
        <v>7</v>
      </c>
      <c r="J45" t="s">
        <v>8</v>
      </c>
      <c r="K45" t="s">
        <v>9</v>
      </c>
      <c r="L45" t="s">
        <v>10</v>
      </c>
      <c r="M45" t="s">
        <v>11</v>
      </c>
      <c r="N45" t="s">
        <v>12</v>
      </c>
      <c r="O45" t="s">
        <v>13</v>
      </c>
      <c r="P45" t="s">
        <v>14</v>
      </c>
      <c r="Q45" t="s">
        <v>15</v>
      </c>
      <c r="R45" t="s">
        <v>16</v>
      </c>
      <c r="S45" t="s">
        <v>17</v>
      </c>
      <c r="T45" t="s">
        <v>18</v>
      </c>
      <c r="U45" t="s">
        <v>19</v>
      </c>
      <c r="V45" t="s">
        <v>20</v>
      </c>
      <c r="W45" t="s">
        <v>21</v>
      </c>
      <c r="X45" t="s">
        <v>22</v>
      </c>
      <c r="Y45" t="s">
        <v>23</v>
      </c>
      <c r="Z45" s="8" t="s">
        <v>24</v>
      </c>
      <c r="AA45" s="8" t="s">
        <v>25</v>
      </c>
      <c r="AB45" s="8" t="s">
        <v>42</v>
      </c>
      <c r="AC45" s="8" t="s">
        <v>43</v>
      </c>
      <c r="AD45" s="8" t="s">
        <v>44</v>
      </c>
      <c r="AE45" s="8" t="s">
        <v>65</v>
      </c>
      <c r="AF45" s="8" t="s">
        <v>66</v>
      </c>
      <c r="AG45" s="8" t="s">
        <v>67</v>
      </c>
      <c r="AH45" s="8" t="s">
        <v>68</v>
      </c>
      <c r="AI45" s="8" t="s">
        <v>69</v>
      </c>
      <c r="AJ45" s="8" t="s">
        <v>70</v>
      </c>
      <c r="AK45" s="8" t="s">
        <v>71</v>
      </c>
      <c r="AL45" s="8" t="s">
        <v>72</v>
      </c>
      <c r="AM45" s="8" t="s">
        <v>73</v>
      </c>
      <c r="AN45" s="8" t="s">
        <v>74</v>
      </c>
      <c r="AO45" s="8" t="s">
        <v>75</v>
      </c>
      <c r="AP45" s="8" t="s">
        <v>76</v>
      </c>
      <c r="AQ45" s="9" t="s">
        <v>77</v>
      </c>
      <c r="AR45" s="13" t="s">
        <v>78</v>
      </c>
      <c r="AS45" s="14" t="s">
        <v>79</v>
      </c>
      <c r="AT45" s="15" t="s">
        <v>80</v>
      </c>
      <c r="AU45" s="4" t="s">
        <v>81</v>
      </c>
      <c r="AV45" s="16" t="s">
        <v>82</v>
      </c>
      <c r="AW45" s="17" t="s">
        <v>83</v>
      </c>
      <c r="AX45" s="2" t="s">
        <v>84</v>
      </c>
      <c r="AY45" t="s">
        <v>85</v>
      </c>
      <c r="AZ45" t="s">
        <v>86</v>
      </c>
      <c r="BA45" s="38" t="s">
        <v>87</v>
      </c>
      <c r="BB45" s="19" t="s">
        <v>88</v>
      </c>
      <c r="BC45" t="s">
        <v>89</v>
      </c>
      <c r="BD45" s="20" t="s">
        <v>90</v>
      </c>
      <c r="BE45" s="21" t="s">
        <v>91</v>
      </c>
      <c r="BF45" t="s">
        <v>92</v>
      </c>
      <c r="BG45" s="22" t="s">
        <v>93</v>
      </c>
      <c r="BH45" s="23" t="s">
        <v>94</v>
      </c>
      <c r="BI45" t="s">
        <v>95</v>
      </c>
    </row>
    <row r="46" spans="1:78" x14ac:dyDescent="0.2">
      <c r="A46" t="s">
        <v>443</v>
      </c>
      <c r="B46" t="s">
        <v>339</v>
      </c>
      <c r="D46" t="s">
        <v>339</v>
      </c>
      <c r="E46">
        <v>2024</v>
      </c>
      <c r="F46">
        <v>1</v>
      </c>
      <c r="G46" t="s">
        <v>340</v>
      </c>
      <c r="H46">
        <v>4897</v>
      </c>
      <c r="I46">
        <v>4875</v>
      </c>
      <c r="J46" s="1">
        <v>45474.501493055555</v>
      </c>
      <c r="K46" t="s">
        <v>444</v>
      </c>
      <c r="L46" t="s">
        <v>445</v>
      </c>
      <c r="O46" t="s">
        <v>341</v>
      </c>
      <c r="P46" t="s">
        <v>446</v>
      </c>
      <c r="Q46" t="s">
        <v>445</v>
      </c>
      <c r="R46" t="s">
        <v>449</v>
      </c>
      <c r="S46" t="s">
        <v>31</v>
      </c>
      <c r="T46" t="s">
        <v>31</v>
      </c>
      <c r="U46" t="s">
        <v>31</v>
      </c>
      <c r="V46" t="s">
        <v>31</v>
      </c>
      <c r="W46" t="s">
        <v>31</v>
      </c>
      <c r="X46">
        <v>23</v>
      </c>
      <c r="Y46" t="s">
        <v>346</v>
      </c>
      <c r="Z46">
        <v>3</v>
      </c>
      <c r="AA46">
        <v>3</v>
      </c>
      <c r="AB46">
        <v>3</v>
      </c>
      <c r="AC46">
        <v>3</v>
      </c>
      <c r="AD46">
        <v>4</v>
      </c>
      <c r="AE46">
        <v>0.75</v>
      </c>
      <c r="AF46">
        <v>2024</v>
      </c>
      <c r="AG46" t="s">
        <v>61</v>
      </c>
      <c r="AH46">
        <v>30</v>
      </c>
      <c r="AI46">
        <v>355</v>
      </c>
      <c r="AJ46">
        <v>10</v>
      </c>
      <c r="AK46">
        <v>100</v>
      </c>
      <c r="AL46">
        <v>10</v>
      </c>
      <c r="AM46">
        <v>48</v>
      </c>
      <c r="AN46" s="6">
        <v>7.5</v>
      </c>
      <c r="AO46" s="38">
        <v>10</v>
      </c>
      <c r="AP46">
        <v>48</v>
      </c>
      <c r="AQ46">
        <v>0.75</v>
      </c>
      <c r="AR46">
        <v>7.5</v>
      </c>
      <c r="AS46">
        <v>10</v>
      </c>
      <c r="AT46">
        <v>48</v>
      </c>
      <c r="AU46">
        <v>60</v>
      </c>
      <c r="AV46">
        <v>60</v>
      </c>
      <c r="AW46">
        <v>20</v>
      </c>
      <c r="AX46">
        <v>2</v>
      </c>
      <c r="AY46">
        <v>100</v>
      </c>
      <c r="AZ46" t="s">
        <v>31</v>
      </c>
      <c r="BA46" s="11">
        <v>10</v>
      </c>
      <c r="BB46" s="6">
        <v>15.625</v>
      </c>
      <c r="BC46" t="s">
        <v>413</v>
      </c>
      <c r="BD46">
        <v>5</v>
      </c>
      <c r="BE46">
        <v>3.75</v>
      </c>
      <c r="BF46" t="s">
        <v>414</v>
      </c>
      <c r="BG46" t="s">
        <v>31</v>
      </c>
      <c r="BH46" t="s">
        <v>31</v>
      </c>
      <c r="BI46" t="s">
        <v>31</v>
      </c>
      <c r="BP46" s="16" t="s">
        <v>82</v>
      </c>
      <c r="BQ46" t="s">
        <v>289</v>
      </c>
    </row>
    <row r="47" spans="1:78" x14ac:dyDescent="0.2">
      <c r="A47" t="s">
        <v>443</v>
      </c>
      <c r="B47" t="s">
        <v>339</v>
      </c>
      <c r="D47" t="s">
        <v>339</v>
      </c>
      <c r="E47">
        <v>2024</v>
      </c>
      <c r="F47">
        <v>1</v>
      </c>
      <c r="G47" t="s">
        <v>340</v>
      </c>
      <c r="H47">
        <v>4897</v>
      </c>
      <c r="I47">
        <v>4875</v>
      </c>
      <c r="J47" s="1">
        <v>45474.501493055555</v>
      </c>
      <c r="K47" t="s">
        <v>444</v>
      </c>
      <c r="L47" t="s">
        <v>445</v>
      </c>
      <c r="O47" t="s">
        <v>341</v>
      </c>
      <c r="P47" t="s">
        <v>446</v>
      </c>
      <c r="Q47" t="s">
        <v>445</v>
      </c>
      <c r="R47" t="s">
        <v>449</v>
      </c>
      <c r="S47" t="s">
        <v>31</v>
      </c>
      <c r="T47" t="s">
        <v>31</v>
      </c>
      <c r="U47" t="s">
        <v>31</v>
      </c>
      <c r="V47" t="s">
        <v>31</v>
      </c>
      <c r="W47" t="s">
        <v>31</v>
      </c>
      <c r="X47">
        <v>24</v>
      </c>
      <c r="Y47" t="s">
        <v>362</v>
      </c>
      <c r="Z47">
        <v>3</v>
      </c>
      <c r="AA47">
        <v>3</v>
      </c>
      <c r="AB47">
        <v>3</v>
      </c>
      <c r="AC47">
        <v>3</v>
      </c>
      <c r="AD47">
        <v>4</v>
      </c>
      <c r="AE47" s="19">
        <v>0.75</v>
      </c>
      <c r="AF47">
        <v>2024</v>
      </c>
      <c r="AG47" t="s">
        <v>61</v>
      </c>
      <c r="AH47">
        <v>30</v>
      </c>
      <c r="AI47">
        <v>355</v>
      </c>
      <c r="AJ47">
        <v>10</v>
      </c>
      <c r="AK47" s="24">
        <v>100</v>
      </c>
      <c r="AL47">
        <v>10</v>
      </c>
      <c r="AM47">
        <v>48</v>
      </c>
      <c r="AN47" s="6">
        <v>7.5</v>
      </c>
      <c r="AO47" s="19">
        <v>10</v>
      </c>
      <c r="AP47" s="39">
        <v>48</v>
      </c>
      <c r="AQ47">
        <v>0.75</v>
      </c>
      <c r="AR47">
        <v>7.5</v>
      </c>
      <c r="AS47">
        <v>10</v>
      </c>
      <c r="AT47">
        <v>48</v>
      </c>
      <c r="AU47">
        <v>60</v>
      </c>
      <c r="AV47">
        <v>60</v>
      </c>
      <c r="AW47">
        <v>20</v>
      </c>
      <c r="AX47">
        <v>2</v>
      </c>
      <c r="AY47">
        <v>100</v>
      </c>
      <c r="AZ47" t="s">
        <v>31</v>
      </c>
      <c r="BA47" s="11">
        <v>10</v>
      </c>
      <c r="BB47" s="6">
        <v>15.625</v>
      </c>
      <c r="BC47" t="s">
        <v>413</v>
      </c>
      <c r="BD47">
        <v>5</v>
      </c>
      <c r="BE47">
        <v>3.75</v>
      </c>
      <c r="BF47" t="s">
        <v>414</v>
      </c>
      <c r="BG47" t="s">
        <v>31</v>
      </c>
      <c r="BH47" t="s">
        <v>31</v>
      </c>
      <c r="BI47" t="s">
        <v>31</v>
      </c>
    </row>
    <row r="48" spans="1:78" x14ac:dyDescent="0.2">
      <c r="A48" t="s">
        <v>443</v>
      </c>
      <c r="B48" t="s">
        <v>339</v>
      </c>
      <c r="D48" t="s">
        <v>339</v>
      </c>
      <c r="E48">
        <v>2024</v>
      </c>
      <c r="F48">
        <v>1</v>
      </c>
      <c r="G48" t="s">
        <v>340</v>
      </c>
      <c r="H48">
        <v>4897</v>
      </c>
      <c r="I48">
        <v>4875</v>
      </c>
      <c r="J48" s="1">
        <v>45474.501493055555</v>
      </c>
      <c r="K48" t="s">
        <v>444</v>
      </c>
      <c r="L48" t="s">
        <v>445</v>
      </c>
      <c r="O48" t="s">
        <v>341</v>
      </c>
      <c r="P48" t="s">
        <v>446</v>
      </c>
      <c r="Q48" t="s">
        <v>445</v>
      </c>
      <c r="R48" t="s">
        <v>449</v>
      </c>
      <c r="S48" t="s">
        <v>31</v>
      </c>
      <c r="T48" t="s">
        <v>31</v>
      </c>
      <c r="U48" t="s">
        <v>31</v>
      </c>
      <c r="V48" t="s">
        <v>31</v>
      </c>
      <c r="W48" t="s">
        <v>31</v>
      </c>
      <c r="X48">
        <v>25</v>
      </c>
      <c r="Y48" t="s">
        <v>363</v>
      </c>
      <c r="Z48">
        <v>4</v>
      </c>
      <c r="AA48">
        <v>4</v>
      </c>
      <c r="AB48">
        <v>4</v>
      </c>
      <c r="AC48">
        <v>4</v>
      </c>
      <c r="AD48">
        <v>4</v>
      </c>
      <c r="AE48" s="21">
        <v>1</v>
      </c>
      <c r="AF48">
        <v>2024</v>
      </c>
      <c r="AG48" t="s">
        <v>61</v>
      </c>
      <c r="AH48" s="21">
        <v>30</v>
      </c>
      <c r="AI48">
        <v>355</v>
      </c>
      <c r="AJ48">
        <v>10</v>
      </c>
      <c r="AK48">
        <v>100</v>
      </c>
      <c r="AL48">
        <v>10</v>
      </c>
      <c r="AM48">
        <v>48</v>
      </c>
      <c r="AN48" s="6">
        <v>10</v>
      </c>
      <c r="AO48" s="21">
        <v>10</v>
      </c>
      <c r="AP48">
        <v>48</v>
      </c>
      <c r="AQ48">
        <v>1</v>
      </c>
      <c r="AR48">
        <v>10</v>
      </c>
      <c r="AS48">
        <v>10</v>
      </c>
      <c r="AT48">
        <v>48</v>
      </c>
      <c r="AU48">
        <v>60</v>
      </c>
      <c r="AV48" s="21">
        <v>60</v>
      </c>
      <c r="AW48">
        <v>20</v>
      </c>
      <c r="AX48">
        <v>2</v>
      </c>
      <c r="AY48" s="21">
        <v>100</v>
      </c>
      <c r="AZ48" t="s">
        <v>31</v>
      </c>
      <c r="BA48" s="11">
        <v>10</v>
      </c>
      <c r="BB48" s="6">
        <v>20.833300000000001</v>
      </c>
      <c r="BC48" t="s">
        <v>415</v>
      </c>
      <c r="BD48">
        <v>5</v>
      </c>
      <c r="BE48">
        <v>5</v>
      </c>
      <c r="BF48" t="s">
        <v>416</v>
      </c>
      <c r="BG48" t="s">
        <v>31</v>
      </c>
      <c r="BH48" t="s">
        <v>31</v>
      </c>
      <c r="BI48" t="s">
        <v>31</v>
      </c>
    </row>
    <row r="49" spans="1:69" x14ac:dyDescent="0.2">
      <c r="A49" t="s">
        <v>443</v>
      </c>
      <c r="B49" t="s">
        <v>339</v>
      </c>
      <c r="D49" t="s">
        <v>339</v>
      </c>
      <c r="E49">
        <v>2024</v>
      </c>
      <c r="F49">
        <v>1</v>
      </c>
      <c r="G49" t="s">
        <v>340</v>
      </c>
      <c r="H49">
        <v>4897</v>
      </c>
      <c r="I49">
        <v>4875</v>
      </c>
      <c r="J49" s="1">
        <v>45474.501493055555</v>
      </c>
      <c r="K49" t="s">
        <v>444</v>
      </c>
      <c r="L49" t="s">
        <v>445</v>
      </c>
      <c r="O49" t="s">
        <v>341</v>
      </c>
      <c r="P49" t="s">
        <v>446</v>
      </c>
      <c r="Q49" t="s">
        <v>445</v>
      </c>
      <c r="R49" t="s">
        <v>449</v>
      </c>
      <c r="S49" t="s">
        <v>31</v>
      </c>
      <c r="T49" t="s">
        <v>31</v>
      </c>
      <c r="U49" t="s">
        <v>31</v>
      </c>
      <c r="V49" t="s">
        <v>31</v>
      </c>
      <c r="W49" t="s">
        <v>31</v>
      </c>
      <c r="X49">
        <v>34</v>
      </c>
      <c r="Y49" t="s">
        <v>345</v>
      </c>
      <c r="Z49">
        <v>3</v>
      </c>
      <c r="AA49">
        <v>3</v>
      </c>
      <c r="AB49">
        <v>3</v>
      </c>
      <c r="AC49">
        <v>3</v>
      </c>
      <c r="AD49">
        <v>4</v>
      </c>
      <c r="AE49">
        <v>0.75</v>
      </c>
      <c r="AF49">
        <v>2024</v>
      </c>
      <c r="AG49" t="s">
        <v>64</v>
      </c>
      <c r="AH49">
        <v>15</v>
      </c>
      <c r="AI49">
        <v>355</v>
      </c>
      <c r="AJ49">
        <v>1.5</v>
      </c>
      <c r="AK49">
        <v>100</v>
      </c>
      <c r="AL49">
        <v>1.5</v>
      </c>
      <c r="AM49">
        <v>48</v>
      </c>
      <c r="AN49" s="6">
        <v>1.125</v>
      </c>
      <c r="AO49">
        <v>1.5</v>
      </c>
      <c r="AP49">
        <v>48</v>
      </c>
      <c r="AQ49">
        <v>0.75</v>
      </c>
      <c r="AR49">
        <v>1.125</v>
      </c>
      <c r="AS49">
        <v>1.5</v>
      </c>
      <c r="AT49">
        <v>48</v>
      </c>
      <c r="AU49">
        <v>60</v>
      </c>
      <c r="AV49">
        <v>27</v>
      </c>
      <c r="AW49">
        <v>1.5</v>
      </c>
      <c r="AX49">
        <v>1</v>
      </c>
      <c r="AY49">
        <v>100</v>
      </c>
      <c r="AZ49" t="s">
        <v>31</v>
      </c>
      <c r="BA49" s="11">
        <v>1.5</v>
      </c>
      <c r="BB49" s="6">
        <v>2.3437999999999999</v>
      </c>
      <c r="BC49" t="s">
        <v>411</v>
      </c>
      <c r="BD49">
        <v>0.83330000000000004</v>
      </c>
      <c r="BE49">
        <v>0.625</v>
      </c>
      <c r="BF49" t="s">
        <v>450</v>
      </c>
      <c r="BG49" t="s">
        <v>31</v>
      </c>
      <c r="BH49" t="s">
        <v>31</v>
      </c>
      <c r="BI49" t="s">
        <v>31</v>
      </c>
      <c r="BP49" s="17" t="s">
        <v>83</v>
      </c>
      <c r="BQ49" t="s">
        <v>290</v>
      </c>
    </row>
    <row r="50" spans="1:69" x14ac:dyDescent="0.2">
      <c r="A50" t="s">
        <v>443</v>
      </c>
      <c r="B50" t="s">
        <v>339</v>
      </c>
      <c r="D50" t="s">
        <v>339</v>
      </c>
      <c r="E50">
        <v>2024</v>
      </c>
      <c r="F50">
        <v>1</v>
      </c>
      <c r="G50" t="s">
        <v>340</v>
      </c>
      <c r="H50">
        <v>4897</v>
      </c>
      <c r="I50">
        <v>4875</v>
      </c>
      <c r="J50" s="1">
        <v>45474.501493055555</v>
      </c>
      <c r="K50" t="s">
        <v>444</v>
      </c>
      <c r="L50" t="s">
        <v>445</v>
      </c>
      <c r="O50" t="s">
        <v>341</v>
      </c>
      <c r="P50" t="s">
        <v>446</v>
      </c>
      <c r="Q50" t="s">
        <v>445</v>
      </c>
      <c r="R50" t="s">
        <v>449</v>
      </c>
      <c r="S50" t="s">
        <v>31</v>
      </c>
      <c r="T50" t="s">
        <v>31</v>
      </c>
      <c r="U50" t="s">
        <v>31</v>
      </c>
      <c r="V50" t="s">
        <v>31</v>
      </c>
      <c r="W50" t="s">
        <v>31</v>
      </c>
      <c r="X50">
        <v>35</v>
      </c>
      <c r="Y50" t="s">
        <v>343</v>
      </c>
      <c r="Z50">
        <v>4</v>
      </c>
      <c r="AA50">
        <v>4</v>
      </c>
      <c r="AB50">
        <v>4</v>
      </c>
      <c r="AC50">
        <v>4</v>
      </c>
      <c r="AD50">
        <v>4</v>
      </c>
      <c r="AE50">
        <v>1</v>
      </c>
      <c r="AF50">
        <v>2024</v>
      </c>
      <c r="AG50" t="s">
        <v>64</v>
      </c>
      <c r="AH50">
        <v>15</v>
      </c>
      <c r="AI50">
        <v>355</v>
      </c>
      <c r="AJ50">
        <v>1.5</v>
      </c>
      <c r="AK50">
        <v>100</v>
      </c>
      <c r="AL50">
        <v>1.5</v>
      </c>
      <c r="AM50">
        <v>48</v>
      </c>
      <c r="AN50" s="6">
        <v>1.5</v>
      </c>
      <c r="AO50">
        <v>1.5</v>
      </c>
      <c r="AP50">
        <v>48</v>
      </c>
      <c r="AQ50">
        <v>1</v>
      </c>
      <c r="AR50">
        <v>1.5</v>
      </c>
      <c r="AS50">
        <v>1.5</v>
      </c>
      <c r="AT50">
        <v>48</v>
      </c>
      <c r="AU50">
        <v>60</v>
      </c>
      <c r="AV50">
        <v>27</v>
      </c>
      <c r="AW50">
        <v>1.5</v>
      </c>
      <c r="AX50">
        <v>1</v>
      </c>
      <c r="AY50">
        <v>100</v>
      </c>
      <c r="AZ50" t="s">
        <v>31</v>
      </c>
      <c r="BA50" s="11">
        <v>1.5</v>
      </c>
      <c r="BB50" s="6">
        <v>3.125</v>
      </c>
      <c r="BC50" t="s">
        <v>451</v>
      </c>
      <c r="BD50">
        <v>0.83330000000000004</v>
      </c>
      <c r="BE50">
        <v>0.83330000000000004</v>
      </c>
      <c r="BF50" t="s">
        <v>452</v>
      </c>
      <c r="BG50" t="s">
        <v>31</v>
      </c>
      <c r="BH50" t="s">
        <v>31</v>
      </c>
      <c r="BI50" t="s">
        <v>31</v>
      </c>
    </row>
    <row r="51" spans="1:69" x14ac:dyDescent="0.2">
      <c r="A51" t="s">
        <v>443</v>
      </c>
      <c r="B51" t="s">
        <v>339</v>
      </c>
      <c r="D51" t="s">
        <v>339</v>
      </c>
      <c r="E51">
        <v>2024</v>
      </c>
      <c r="F51">
        <v>1</v>
      </c>
      <c r="G51" t="s">
        <v>340</v>
      </c>
      <c r="H51">
        <v>4897</v>
      </c>
      <c r="I51">
        <v>4875</v>
      </c>
      <c r="J51" s="1">
        <v>45474.501493055555</v>
      </c>
      <c r="K51" t="s">
        <v>444</v>
      </c>
      <c r="L51" t="s">
        <v>445</v>
      </c>
      <c r="O51" t="s">
        <v>341</v>
      </c>
      <c r="P51" t="s">
        <v>446</v>
      </c>
      <c r="Q51" t="s">
        <v>445</v>
      </c>
      <c r="R51" t="s">
        <v>449</v>
      </c>
      <c r="S51" t="s">
        <v>31</v>
      </c>
      <c r="T51" t="s">
        <v>31</v>
      </c>
      <c r="U51" t="s">
        <v>31</v>
      </c>
      <c r="V51" t="s">
        <v>31</v>
      </c>
      <c r="W51" t="s">
        <v>31</v>
      </c>
      <c r="X51">
        <v>40</v>
      </c>
      <c r="Y51" t="s">
        <v>374</v>
      </c>
      <c r="Z51">
        <v>4</v>
      </c>
      <c r="AA51">
        <v>4</v>
      </c>
      <c r="AB51">
        <v>4</v>
      </c>
      <c r="AC51">
        <v>4</v>
      </c>
      <c r="AD51">
        <v>4</v>
      </c>
      <c r="AE51">
        <v>1</v>
      </c>
      <c r="AF51">
        <v>2024</v>
      </c>
      <c r="AG51" t="s">
        <v>376</v>
      </c>
      <c r="AH51">
        <v>15</v>
      </c>
      <c r="AI51">
        <v>355</v>
      </c>
      <c r="AJ51">
        <v>15</v>
      </c>
      <c r="AK51">
        <v>100</v>
      </c>
      <c r="AL51">
        <v>15</v>
      </c>
      <c r="AM51">
        <v>48</v>
      </c>
      <c r="AN51" s="6">
        <v>15</v>
      </c>
      <c r="AO51">
        <v>15</v>
      </c>
      <c r="AP51">
        <v>48</v>
      </c>
      <c r="AQ51">
        <v>1</v>
      </c>
      <c r="AR51">
        <v>15</v>
      </c>
      <c r="AS51">
        <v>15</v>
      </c>
      <c r="AT51">
        <v>48</v>
      </c>
      <c r="AU51">
        <v>60</v>
      </c>
      <c r="AV51">
        <v>30</v>
      </c>
      <c r="AW51">
        <v>30</v>
      </c>
      <c r="AX51">
        <v>2</v>
      </c>
      <c r="AY51">
        <v>100</v>
      </c>
      <c r="AZ51" t="s">
        <v>31</v>
      </c>
      <c r="BA51" s="11">
        <v>15</v>
      </c>
      <c r="BB51" s="6">
        <v>31.25</v>
      </c>
      <c r="BC51" t="s">
        <v>417</v>
      </c>
      <c r="BD51">
        <v>7.5</v>
      </c>
      <c r="BE51">
        <v>7.5</v>
      </c>
      <c r="BF51" t="s">
        <v>418</v>
      </c>
      <c r="BG51" t="s">
        <v>31</v>
      </c>
      <c r="BH51" t="s">
        <v>31</v>
      </c>
      <c r="BI51" t="s">
        <v>31</v>
      </c>
    </row>
    <row r="52" spans="1:69" x14ac:dyDescent="0.2">
      <c r="J52" s="1"/>
      <c r="AN52" s="6"/>
      <c r="BA52" s="11"/>
      <c r="BB52" s="6"/>
      <c r="BP52" s="2" t="s">
        <v>84</v>
      </c>
      <c r="BQ52" t="s">
        <v>291</v>
      </c>
    </row>
    <row r="53" spans="1:69" x14ac:dyDescent="0.2">
      <c r="J53" s="1"/>
      <c r="BE53" t="s">
        <v>296</v>
      </c>
    </row>
    <row r="54" spans="1:69" x14ac:dyDescent="0.2">
      <c r="J54" s="1"/>
    </row>
    <row r="55" spans="1:69" x14ac:dyDescent="0.2">
      <c r="J55" s="1"/>
      <c r="BA55" s="7" t="s">
        <v>273</v>
      </c>
      <c r="BB55" s="7" t="s">
        <v>428</v>
      </c>
    </row>
    <row r="56" spans="1:69" x14ac:dyDescent="0.2">
      <c r="BP56" s="18" t="s">
        <v>87</v>
      </c>
      <c r="BQ56" t="s">
        <v>292</v>
      </c>
    </row>
    <row r="57" spans="1:69" x14ac:dyDescent="0.2">
      <c r="BB57" t="s">
        <v>293</v>
      </c>
    </row>
    <row r="58" spans="1:69" x14ac:dyDescent="0.2">
      <c r="BP58" s="19" t="s">
        <v>88</v>
      </c>
      <c r="BQ58" t="s">
        <v>293</v>
      </c>
    </row>
    <row r="59" spans="1:69" x14ac:dyDescent="0.2">
      <c r="AH59" s="24"/>
      <c r="AI59" s="24"/>
      <c r="AZ59" s="8" t="s">
        <v>75</v>
      </c>
      <c r="BA59" s="38" t="s">
        <v>87</v>
      </c>
      <c r="BQ59" s="7" t="s">
        <v>264</v>
      </c>
    </row>
    <row r="60" spans="1:69" x14ac:dyDescent="0.2">
      <c r="AZ60" s="38">
        <v>10</v>
      </c>
      <c r="BA60" s="11">
        <f>AO46*(100/AP46)</f>
        <v>20.833333333333336</v>
      </c>
      <c r="BQ60" s="7" t="s">
        <v>294</v>
      </c>
    </row>
    <row r="61" spans="1:69" x14ac:dyDescent="0.2">
      <c r="AZ61" s="19">
        <v>10</v>
      </c>
      <c r="BA61" s="11">
        <f t="shared" ref="BA61:BA65" si="4">AO47*(100/AP47)</f>
        <v>20.833333333333336</v>
      </c>
    </row>
    <row r="62" spans="1:69" x14ac:dyDescent="0.2">
      <c r="AZ62" s="21">
        <v>10</v>
      </c>
      <c r="BA62" s="11">
        <f t="shared" si="4"/>
        <v>20.833333333333336</v>
      </c>
    </row>
    <row r="63" spans="1:69" x14ac:dyDescent="0.2">
      <c r="AZ63">
        <v>1.5</v>
      </c>
      <c r="BA63" s="11">
        <f t="shared" si="4"/>
        <v>3.125</v>
      </c>
      <c r="BP63" s="20" t="s">
        <v>90</v>
      </c>
      <c r="BQ63" t="s">
        <v>295</v>
      </c>
    </row>
    <row r="64" spans="1:69" x14ac:dyDescent="0.2">
      <c r="AZ64">
        <v>1.5</v>
      </c>
      <c r="BA64" s="11">
        <f t="shared" si="4"/>
        <v>3.125</v>
      </c>
    </row>
    <row r="65" spans="51:69" x14ac:dyDescent="0.2">
      <c r="AZ65">
        <v>15</v>
      </c>
      <c r="BA65" s="11">
        <f t="shared" si="4"/>
        <v>31.250000000000004</v>
      </c>
      <c r="BP65" s="21" t="s">
        <v>91</v>
      </c>
      <c r="BQ65" t="s">
        <v>296</v>
      </c>
    </row>
    <row r="66" spans="51:69" x14ac:dyDescent="0.2">
      <c r="BA66" s="11"/>
    </row>
    <row r="68" spans="51:69" x14ac:dyDescent="0.2">
      <c r="BP68" s="22" t="s">
        <v>93</v>
      </c>
      <c r="BQ68" t="s">
        <v>297</v>
      </c>
    </row>
    <row r="69" spans="51:69" x14ac:dyDescent="0.2">
      <c r="AY69" t="s">
        <v>482</v>
      </c>
      <c r="AZ69" s="8" t="s">
        <v>24</v>
      </c>
      <c r="BA69" s="8" t="s">
        <v>44</v>
      </c>
      <c r="BB69" s="8" t="s">
        <v>65</v>
      </c>
      <c r="BC69" s="8" t="s">
        <v>75</v>
      </c>
      <c r="BD69" s="8" t="s">
        <v>76</v>
      </c>
      <c r="BE69" s="19" t="s">
        <v>88</v>
      </c>
    </row>
    <row r="70" spans="51:69" x14ac:dyDescent="0.2">
      <c r="AZ70">
        <v>4</v>
      </c>
      <c r="BA70">
        <v>4</v>
      </c>
      <c r="BB70">
        <f>AZ70/BA70</f>
        <v>1</v>
      </c>
      <c r="BC70" s="38">
        <v>10</v>
      </c>
      <c r="BD70">
        <v>48</v>
      </c>
      <c r="BE70">
        <f>BB70*BC70*(100/BD70)</f>
        <v>20.833333333333336</v>
      </c>
      <c r="BP70" s="23" t="s">
        <v>94</v>
      </c>
      <c r="BQ70" t="s">
        <v>298</v>
      </c>
    </row>
    <row r="71" spans="51:69" x14ac:dyDescent="0.2">
      <c r="AZ71">
        <v>4</v>
      </c>
      <c r="BA71">
        <v>4</v>
      </c>
      <c r="BB71">
        <f t="shared" ref="BB71:BB75" si="5">AZ71/BA71</f>
        <v>1</v>
      </c>
      <c r="BC71" s="19">
        <v>10</v>
      </c>
      <c r="BD71" s="39">
        <v>48</v>
      </c>
      <c r="BE71">
        <f t="shared" ref="BE71:BE75" si="6">BB71*BC71*(100/BD71)</f>
        <v>20.833333333333336</v>
      </c>
    </row>
    <row r="72" spans="51:69" x14ac:dyDescent="0.2">
      <c r="AZ72">
        <v>4</v>
      </c>
      <c r="BA72">
        <v>4</v>
      </c>
      <c r="BB72">
        <f t="shared" si="5"/>
        <v>1</v>
      </c>
      <c r="BC72">
        <v>10</v>
      </c>
      <c r="BD72">
        <v>48</v>
      </c>
      <c r="BE72">
        <f t="shared" si="6"/>
        <v>20.833333333333336</v>
      </c>
    </row>
    <row r="73" spans="51:69" x14ac:dyDescent="0.2">
      <c r="AZ73">
        <v>4</v>
      </c>
      <c r="BA73">
        <v>4</v>
      </c>
      <c r="BB73">
        <f t="shared" si="5"/>
        <v>1</v>
      </c>
      <c r="BC73">
        <v>1.5</v>
      </c>
      <c r="BD73">
        <v>48</v>
      </c>
      <c r="BE73">
        <f t="shared" si="6"/>
        <v>3.125</v>
      </c>
    </row>
    <row r="74" spans="51:69" x14ac:dyDescent="0.2">
      <c r="AZ74">
        <v>4</v>
      </c>
      <c r="BA74">
        <v>4</v>
      </c>
      <c r="BB74">
        <f t="shared" si="5"/>
        <v>1</v>
      </c>
      <c r="BC74">
        <v>1.5</v>
      </c>
      <c r="BD74">
        <v>48</v>
      </c>
      <c r="BE74">
        <f t="shared" si="6"/>
        <v>3.125</v>
      </c>
    </row>
    <row r="75" spans="51:69" x14ac:dyDescent="0.2">
      <c r="AZ75">
        <v>4</v>
      </c>
      <c r="BA75">
        <v>4</v>
      </c>
      <c r="BB75">
        <f t="shared" si="5"/>
        <v>1</v>
      </c>
      <c r="BC75">
        <v>15</v>
      </c>
      <c r="BD75">
        <v>48</v>
      </c>
      <c r="BE75">
        <f t="shared" si="6"/>
        <v>31.250000000000004</v>
      </c>
    </row>
    <row r="84" spans="1:61" x14ac:dyDescent="0.2">
      <c r="A84" t="s">
        <v>2</v>
      </c>
      <c r="B84" t="s">
        <v>0</v>
      </c>
      <c r="C84" t="s">
        <v>1</v>
      </c>
      <c r="D84" t="s">
        <v>41</v>
      </c>
      <c r="E84" t="s">
        <v>3</v>
      </c>
      <c r="F84" t="s">
        <v>4</v>
      </c>
      <c r="G84" t="s">
        <v>5</v>
      </c>
      <c r="H84" t="s">
        <v>6</v>
      </c>
      <c r="I84" t="s">
        <v>7</v>
      </c>
      <c r="J84" t="s">
        <v>8</v>
      </c>
      <c r="K84" t="s">
        <v>9</v>
      </c>
      <c r="L84" t="s">
        <v>10</v>
      </c>
      <c r="M84" t="s">
        <v>11</v>
      </c>
      <c r="N84" t="s">
        <v>12</v>
      </c>
      <c r="O84" t="s">
        <v>13</v>
      </c>
      <c r="P84" t="s">
        <v>14</v>
      </c>
      <c r="Q84" t="s">
        <v>15</v>
      </c>
      <c r="R84" t="s">
        <v>16</v>
      </c>
      <c r="S84" t="s">
        <v>17</v>
      </c>
      <c r="T84" t="s">
        <v>18</v>
      </c>
      <c r="U84" t="s">
        <v>19</v>
      </c>
      <c r="V84" t="s">
        <v>20</v>
      </c>
      <c r="W84" t="s">
        <v>21</v>
      </c>
      <c r="X84" t="s">
        <v>22</v>
      </c>
      <c r="Y84" t="s">
        <v>23</v>
      </c>
      <c r="Z84" s="8" t="s">
        <v>24</v>
      </c>
      <c r="AA84" s="8" t="s">
        <v>25</v>
      </c>
      <c r="AB84" s="8" t="s">
        <v>42</v>
      </c>
      <c r="AC84" s="8" t="s">
        <v>43</v>
      </c>
      <c r="AD84" s="8" t="s">
        <v>44</v>
      </c>
      <c r="AE84" s="8" t="s">
        <v>65</v>
      </c>
      <c r="AF84" s="8" t="s">
        <v>66</v>
      </c>
      <c r="AG84" s="8" t="s">
        <v>67</v>
      </c>
      <c r="AH84" s="8" t="s">
        <v>68</v>
      </c>
      <c r="AI84" s="8" t="s">
        <v>69</v>
      </c>
      <c r="AJ84" s="8" t="s">
        <v>70</v>
      </c>
      <c r="AK84" s="8" t="s">
        <v>71</v>
      </c>
      <c r="AL84" s="8" t="s">
        <v>72</v>
      </c>
      <c r="AM84" s="8" t="s">
        <v>73</v>
      </c>
      <c r="AN84" s="8" t="s">
        <v>74</v>
      </c>
      <c r="AO84" s="8" t="s">
        <v>75</v>
      </c>
      <c r="AP84" s="8" t="s">
        <v>76</v>
      </c>
      <c r="AQ84" s="9" t="s">
        <v>77</v>
      </c>
      <c r="AR84" s="13" t="s">
        <v>78</v>
      </c>
      <c r="AS84" s="14" t="s">
        <v>79</v>
      </c>
      <c r="AT84" s="15" t="s">
        <v>80</v>
      </c>
      <c r="AU84" s="4" t="s">
        <v>81</v>
      </c>
      <c r="AV84" s="16" t="s">
        <v>82</v>
      </c>
      <c r="AW84" s="17" t="s">
        <v>83</v>
      </c>
      <c r="AX84" s="2" t="s">
        <v>84</v>
      </c>
      <c r="AY84" t="s">
        <v>85</v>
      </c>
      <c r="AZ84" t="s">
        <v>86</v>
      </c>
      <c r="BA84" s="38" t="s">
        <v>87</v>
      </c>
      <c r="BB84" s="19" t="s">
        <v>88</v>
      </c>
      <c r="BC84" t="s">
        <v>89</v>
      </c>
      <c r="BD84" s="20" t="s">
        <v>90</v>
      </c>
      <c r="BE84" s="21" t="s">
        <v>91</v>
      </c>
      <c r="BF84" t="s">
        <v>92</v>
      </c>
      <c r="BG84" s="22" t="s">
        <v>93</v>
      </c>
      <c r="BH84" s="23" t="s">
        <v>94</v>
      </c>
      <c r="BI84" t="s">
        <v>95</v>
      </c>
    </row>
    <row r="85" spans="1:61" x14ac:dyDescent="0.2">
      <c r="A85" t="s">
        <v>378</v>
      </c>
      <c r="B85" t="s">
        <v>379</v>
      </c>
      <c r="D85" t="s">
        <v>379</v>
      </c>
      <c r="E85">
        <v>1999</v>
      </c>
      <c r="F85">
        <v>1</v>
      </c>
      <c r="G85" t="s">
        <v>380</v>
      </c>
      <c r="H85">
        <v>6</v>
      </c>
      <c r="I85">
        <v>156</v>
      </c>
      <c r="J85" s="1">
        <v>45646.45208333333</v>
      </c>
      <c r="K85" t="s">
        <v>381</v>
      </c>
      <c r="L85" t="s">
        <v>382</v>
      </c>
      <c r="P85" t="s">
        <v>31</v>
      </c>
      <c r="Q85" t="s">
        <v>31</v>
      </c>
      <c r="R85" t="s">
        <v>383</v>
      </c>
      <c r="S85" t="s">
        <v>384</v>
      </c>
      <c r="T85" t="s">
        <v>31</v>
      </c>
      <c r="U85" t="s">
        <v>31</v>
      </c>
      <c r="V85" t="s">
        <v>31</v>
      </c>
      <c r="W85" t="s">
        <v>31</v>
      </c>
      <c r="X85">
        <v>17</v>
      </c>
      <c r="Y85" t="s">
        <v>385</v>
      </c>
      <c r="Z85">
        <v>4</v>
      </c>
      <c r="AA85">
        <v>4</v>
      </c>
      <c r="AB85">
        <v>4</v>
      </c>
      <c r="AC85">
        <v>4</v>
      </c>
      <c r="AD85">
        <v>4</v>
      </c>
      <c r="AE85">
        <v>1</v>
      </c>
      <c r="AF85">
        <v>1999</v>
      </c>
      <c r="AG85" t="s">
        <v>61</v>
      </c>
      <c r="AH85">
        <v>10</v>
      </c>
      <c r="AI85">
        <v>100</v>
      </c>
      <c r="AJ85">
        <v>10</v>
      </c>
      <c r="AK85">
        <v>100</v>
      </c>
      <c r="AL85">
        <v>10</v>
      </c>
      <c r="AM85">
        <v>70</v>
      </c>
      <c r="AN85" s="6">
        <v>10</v>
      </c>
      <c r="AO85" s="38">
        <v>10</v>
      </c>
      <c r="AP85">
        <v>70</v>
      </c>
      <c r="AQ85">
        <v>1</v>
      </c>
      <c r="AR85">
        <v>10</v>
      </c>
      <c r="AS85">
        <v>10</v>
      </c>
      <c r="AT85">
        <v>70</v>
      </c>
      <c r="AU85">
        <v>50</v>
      </c>
      <c r="AV85">
        <v>30</v>
      </c>
      <c r="AW85">
        <v>10</v>
      </c>
      <c r="AX85">
        <v>1</v>
      </c>
      <c r="AY85" t="s">
        <v>31</v>
      </c>
      <c r="AZ85" t="s">
        <v>31</v>
      </c>
      <c r="BA85" s="11">
        <v>10</v>
      </c>
      <c r="BB85" s="6">
        <v>14.2857</v>
      </c>
      <c r="BC85" t="s">
        <v>395</v>
      </c>
      <c r="BD85" t="s">
        <v>31</v>
      </c>
      <c r="BE85" t="s">
        <v>31</v>
      </c>
      <c r="BF85" t="s">
        <v>31</v>
      </c>
      <c r="BG85" t="s">
        <v>31</v>
      </c>
      <c r="BH85" t="s">
        <v>31</v>
      </c>
      <c r="BI85" t="s">
        <v>31</v>
      </c>
    </row>
    <row r="86" spans="1:61" x14ac:dyDescent="0.2">
      <c r="A86" t="s">
        <v>378</v>
      </c>
      <c r="B86" t="s">
        <v>379</v>
      </c>
      <c r="D86" t="s">
        <v>379</v>
      </c>
      <c r="E86">
        <v>1999</v>
      </c>
      <c r="F86">
        <v>1</v>
      </c>
      <c r="G86" t="s">
        <v>380</v>
      </c>
      <c r="H86">
        <v>6</v>
      </c>
      <c r="I86">
        <v>156</v>
      </c>
      <c r="J86" s="1">
        <v>45646.45208333333</v>
      </c>
      <c r="K86" t="s">
        <v>381</v>
      </c>
      <c r="L86" t="s">
        <v>382</v>
      </c>
      <c r="P86" t="s">
        <v>31</v>
      </c>
      <c r="Q86" t="s">
        <v>31</v>
      </c>
      <c r="R86" t="s">
        <v>383</v>
      </c>
      <c r="S86" t="s">
        <v>384</v>
      </c>
      <c r="T86" t="s">
        <v>31</v>
      </c>
      <c r="U86" t="s">
        <v>31</v>
      </c>
      <c r="V86" t="s">
        <v>31</v>
      </c>
      <c r="W86" t="s">
        <v>31</v>
      </c>
      <c r="X86">
        <v>18</v>
      </c>
      <c r="Y86" t="s">
        <v>390</v>
      </c>
      <c r="Z86">
        <v>4</v>
      </c>
      <c r="AA86">
        <v>4</v>
      </c>
      <c r="AB86">
        <v>4</v>
      </c>
      <c r="AC86">
        <v>4</v>
      </c>
      <c r="AD86">
        <v>4</v>
      </c>
      <c r="AE86">
        <v>1</v>
      </c>
      <c r="AF86">
        <v>1999</v>
      </c>
      <c r="AG86" t="s">
        <v>61</v>
      </c>
      <c r="AH86">
        <v>10</v>
      </c>
      <c r="AI86">
        <v>100</v>
      </c>
      <c r="AJ86">
        <v>10</v>
      </c>
      <c r="AK86">
        <v>100</v>
      </c>
      <c r="AL86">
        <v>10</v>
      </c>
      <c r="AM86">
        <v>70</v>
      </c>
      <c r="AN86">
        <v>10</v>
      </c>
      <c r="AO86">
        <v>10</v>
      </c>
      <c r="AP86">
        <v>70</v>
      </c>
      <c r="AQ86">
        <v>1</v>
      </c>
      <c r="AR86">
        <v>10</v>
      </c>
      <c r="AS86">
        <v>10</v>
      </c>
      <c r="AT86">
        <v>70</v>
      </c>
      <c r="AU86">
        <v>50</v>
      </c>
      <c r="AV86">
        <v>30</v>
      </c>
      <c r="AW86">
        <v>10</v>
      </c>
      <c r="AX86">
        <v>1</v>
      </c>
      <c r="AY86" t="s">
        <v>31</v>
      </c>
      <c r="AZ86" t="s">
        <v>31</v>
      </c>
      <c r="BA86">
        <v>10</v>
      </c>
      <c r="BB86">
        <v>14.2857</v>
      </c>
      <c r="BC86" t="s">
        <v>395</v>
      </c>
      <c r="BD86" t="s">
        <v>31</v>
      </c>
      <c r="BE86" t="s">
        <v>31</v>
      </c>
      <c r="BF86" t="s">
        <v>31</v>
      </c>
      <c r="BG86" t="s">
        <v>31</v>
      </c>
      <c r="BH86" t="s">
        <v>31</v>
      </c>
      <c r="BI86" t="s">
        <v>31</v>
      </c>
    </row>
    <row r="87" spans="1:61" x14ac:dyDescent="0.2">
      <c r="A87" t="s">
        <v>378</v>
      </c>
      <c r="B87" t="s">
        <v>379</v>
      </c>
      <c r="D87" t="s">
        <v>379</v>
      </c>
      <c r="E87">
        <v>1999</v>
      </c>
      <c r="F87">
        <v>1</v>
      </c>
      <c r="G87" t="s">
        <v>380</v>
      </c>
      <c r="H87">
        <v>6</v>
      </c>
      <c r="I87">
        <v>156</v>
      </c>
      <c r="J87" s="1">
        <v>45646.45208333333</v>
      </c>
      <c r="K87" t="s">
        <v>381</v>
      </c>
      <c r="L87" t="s">
        <v>382</v>
      </c>
      <c r="P87" t="s">
        <v>31</v>
      </c>
      <c r="Q87" t="s">
        <v>31</v>
      </c>
      <c r="R87" t="s">
        <v>383</v>
      </c>
      <c r="S87" t="s">
        <v>384</v>
      </c>
      <c r="T87" t="s">
        <v>31</v>
      </c>
      <c r="U87" t="s">
        <v>31</v>
      </c>
      <c r="V87" t="s">
        <v>31</v>
      </c>
      <c r="W87" t="s">
        <v>31</v>
      </c>
      <c r="X87">
        <v>19</v>
      </c>
      <c r="Y87" t="s">
        <v>388</v>
      </c>
      <c r="Z87">
        <v>4</v>
      </c>
      <c r="AA87">
        <v>4</v>
      </c>
      <c r="AB87">
        <v>4</v>
      </c>
      <c r="AC87">
        <v>4</v>
      </c>
      <c r="AD87">
        <v>4</v>
      </c>
      <c r="AE87">
        <v>1</v>
      </c>
      <c r="AF87">
        <v>1999</v>
      </c>
      <c r="AG87" t="s">
        <v>61</v>
      </c>
      <c r="AH87">
        <v>10</v>
      </c>
      <c r="AI87">
        <v>100</v>
      </c>
      <c r="AJ87">
        <v>10</v>
      </c>
      <c r="AK87">
        <v>100</v>
      </c>
      <c r="AL87">
        <v>10</v>
      </c>
      <c r="AM87">
        <v>70</v>
      </c>
      <c r="AN87">
        <v>10</v>
      </c>
      <c r="AO87">
        <v>10</v>
      </c>
      <c r="AP87">
        <v>70</v>
      </c>
      <c r="AQ87">
        <v>1</v>
      </c>
      <c r="AR87">
        <v>10</v>
      </c>
      <c r="AS87">
        <v>10</v>
      </c>
      <c r="AT87">
        <v>70</v>
      </c>
      <c r="AU87">
        <v>50</v>
      </c>
      <c r="AV87">
        <v>30</v>
      </c>
      <c r="AW87">
        <v>10</v>
      </c>
      <c r="AX87">
        <v>1</v>
      </c>
      <c r="AY87" t="s">
        <v>31</v>
      </c>
      <c r="AZ87" t="s">
        <v>31</v>
      </c>
      <c r="BA87">
        <v>10</v>
      </c>
      <c r="BB87">
        <v>14.2857</v>
      </c>
      <c r="BC87" t="s">
        <v>395</v>
      </c>
      <c r="BD87" t="s">
        <v>31</v>
      </c>
      <c r="BE87" t="s">
        <v>31</v>
      </c>
      <c r="BF87" t="s">
        <v>31</v>
      </c>
      <c r="BG87" t="s">
        <v>31</v>
      </c>
      <c r="BH87" t="s">
        <v>31</v>
      </c>
      <c r="BI87" t="s">
        <v>31</v>
      </c>
    </row>
    <row r="88" spans="1:61" x14ac:dyDescent="0.2">
      <c r="A88" t="s">
        <v>378</v>
      </c>
      <c r="B88" t="s">
        <v>379</v>
      </c>
      <c r="D88" t="s">
        <v>379</v>
      </c>
      <c r="E88">
        <v>1999</v>
      </c>
      <c r="F88">
        <v>1</v>
      </c>
      <c r="G88" t="s">
        <v>380</v>
      </c>
      <c r="H88">
        <v>6</v>
      </c>
      <c r="I88">
        <v>156</v>
      </c>
      <c r="J88" s="1">
        <v>45646.45208333333</v>
      </c>
      <c r="K88" t="s">
        <v>381</v>
      </c>
      <c r="L88" t="s">
        <v>382</v>
      </c>
      <c r="P88" t="s">
        <v>31</v>
      </c>
      <c r="Q88" t="s">
        <v>31</v>
      </c>
      <c r="R88" t="s">
        <v>383</v>
      </c>
      <c r="S88" t="s">
        <v>384</v>
      </c>
      <c r="T88" t="s">
        <v>31</v>
      </c>
      <c r="U88" t="s">
        <v>31</v>
      </c>
      <c r="V88" t="s">
        <v>31</v>
      </c>
      <c r="W88" t="s">
        <v>31</v>
      </c>
      <c r="X88">
        <v>20</v>
      </c>
      <c r="Y88" t="s">
        <v>387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1</v>
      </c>
      <c r="AF88">
        <v>1999</v>
      </c>
      <c r="AG88" t="s">
        <v>63</v>
      </c>
      <c r="AH88">
        <v>10</v>
      </c>
      <c r="AI88">
        <v>100</v>
      </c>
      <c r="AJ88">
        <v>10</v>
      </c>
      <c r="AK88">
        <v>100</v>
      </c>
      <c r="AL88">
        <v>10</v>
      </c>
      <c r="AM88">
        <v>70</v>
      </c>
      <c r="AN88">
        <v>10</v>
      </c>
      <c r="AO88">
        <v>10</v>
      </c>
      <c r="AP88">
        <v>70</v>
      </c>
      <c r="AQ88">
        <v>1</v>
      </c>
      <c r="AR88">
        <v>10</v>
      </c>
      <c r="AS88">
        <v>10</v>
      </c>
      <c r="AT88">
        <v>70</v>
      </c>
      <c r="AU88">
        <v>50</v>
      </c>
      <c r="AV88">
        <v>25</v>
      </c>
      <c r="AW88">
        <v>10</v>
      </c>
      <c r="AX88">
        <v>1</v>
      </c>
      <c r="AY88" t="s">
        <v>31</v>
      </c>
      <c r="AZ88" t="s">
        <v>31</v>
      </c>
      <c r="BA88">
        <v>10</v>
      </c>
      <c r="BB88">
        <v>14.2857</v>
      </c>
      <c r="BC88" t="s">
        <v>395</v>
      </c>
      <c r="BD88" t="s">
        <v>31</v>
      </c>
      <c r="BE88" t="s">
        <v>31</v>
      </c>
      <c r="BF88" t="s">
        <v>31</v>
      </c>
      <c r="BG88" t="s">
        <v>31</v>
      </c>
      <c r="BH88" t="s">
        <v>31</v>
      </c>
      <c r="BI88" t="s">
        <v>31</v>
      </c>
    </row>
    <row r="89" spans="1:61" x14ac:dyDescent="0.2">
      <c r="A89" t="s">
        <v>378</v>
      </c>
      <c r="B89" t="s">
        <v>379</v>
      </c>
      <c r="D89" t="s">
        <v>379</v>
      </c>
      <c r="E89">
        <v>1999</v>
      </c>
      <c r="F89">
        <v>1</v>
      </c>
      <c r="G89" t="s">
        <v>380</v>
      </c>
      <c r="H89">
        <v>6</v>
      </c>
      <c r="I89">
        <v>156</v>
      </c>
      <c r="J89" s="1">
        <v>45646.45208333333</v>
      </c>
      <c r="K89" t="s">
        <v>381</v>
      </c>
      <c r="L89" t="s">
        <v>382</v>
      </c>
      <c r="P89" t="s">
        <v>31</v>
      </c>
      <c r="Q89" t="s">
        <v>31</v>
      </c>
      <c r="R89" t="s">
        <v>383</v>
      </c>
      <c r="S89" t="s">
        <v>384</v>
      </c>
      <c r="T89" t="s">
        <v>31</v>
      </c>
      <c r="U89" t="s">
        <v>31</v>
      </c>
      <c r="V89" t="s">
        <v>31</v>
      </c>
      <c r="W89" t="s">
        <v>31</v>
      </c>
      <c r="X89">
        <v>21</v>
      </c>
      <c r="Y89" t="s">
        <v>392</v>
      </c>
      <c r="Z89">
        <v>4</v>
      </c>
      <c r="AA89">
        <v>4</v>
      </c>
      <c r="AB89">
        <v>4</v>
      </c>
      <c r="AC89">
        <v>4</v>
      </c>
      <c r="AD89">
        <v>4</v>
      </c>
      <c r="AE89">
        <v>1</v>
      </c>
      <c r="AF89">
        <v>1999</v>
      </c>
      <c r="AG89" t="s">
        <v>63</v>
      </c>
      <c r="AH89">
        <v>15</v>
      </c>
      <c r="AI89">
        <v>100</v>
      </c>
      <c r="AJ89">
        <v>15</v>
      </c>
      <c r="AK89">
        <v>100</v>
      </c>
      <c r="AL89">
        <v>15</v>
      </c>
      <c r="AM89">
        <v>70</v>
      </c>
      <c r="AN89">
        <v>15</v>
      </c>
      <c r="AO89">
        <v>15</v>
      </c>
      <c r="AP89">
        <v>70</v>
      </c>
      <c r="AQ89">
        <v>1</v>
      </c>
      <c r="AR89">
        <v>15</v>
      </c>
      <c r="AS89">
        <v>15</v>
      </c>
      <c r="AT89">
        <v>70</v>
      </c>
      <c r="AU89">
        <v>50</v>
      </c>
      <c r="AV89">
        <v>25</v>
      </c>
      <c r="AW89">
        <v>15</v>
      </c>
      <c r="AX89">
        <v>1</v>
      </c>
      <c r="AY89" t="s">
        <v>31</v>
      </c>
      <c r="AZ89" t="s">
        <v>31</v>
      </c>
      <c r="BA89">
        <v>15</v>
      </c>
      <c r="BB89">
        <v>21.428599999999999</v>
      </c>
      <c r="BC89" t="s">
        <v>396</v>
      </c>
      <c r="BD89" t="s">
        <v>31</v>
      </c>
      <c r="BE89" t="s">
        <v>31</v>
      </c>
      <c r="BF89" t="s">
        <v>31</v>
      </c>
      <c r="BG89" t="s">
        <v>31</v>
      </c>
      <c r="BH89" t="s">
        <v>31</v>
      </c>
      <c r="BI89" t="s">
        <v>31</v>
      </c>
    </row>
    <row r="90" spans="1:61" x14ac:dyDescent="0.2">
      <c r="A90" t="s">
        <v>378</v>
      </c>
      <c r="B90" t="s">
        <v>379</v>
      </c>
      <c r="D90" t="s">
        <v>379</v>
      </c>
      <c r="E90">
        <v>1999</v>
      </c>
      <c r="F90">
        <v>1</v>
      </c>
      <c r="G90" t="s">
        <v>380</v>
      </c>
      <c r="H90">
        <v>6</v>
      </c>
      <c r="I90">
        <v>156</v>
      </c>
      <c r="J90" s="1">
        <v>45646.45208333333</v>
      </c>
      <c r="K90" t="s">
        <v>381</v>
      </c>
      <c r="L90" t="s">
        <v>382</v>
      </c>
      <c r="P90" t="s">
        <v>31</v>
      </c>
      <c r="Q90" t="s">
        <v>31</v>
      </c>
      <c r="R90" t="s">
        <v>383</v>
      </c>
      <c r="S90" t="s">
        <v>384</v>
      </c>
      <c r="T90" t="s">
        <v>31</v>
      </c>
      <c r="U90" t="s">
        <v>31</v>
      </c>
      <c r="V90" t="s">
        <v>31</v>
      </c>
      <c r="W90" t="s">
        <v>31</v>
      </c>
      <c r="X90">
        <v>23</v>
      </c>
      <c r="Y90" t="s">
        <v>394</v>
      </c>
      <c r="Z90">
        <v>4</v>
      </c>
      <c r="AA90">
        <v>4</v>
      </c>
      <c r="AB90">
        <v>4</v>
      </c>
      <c r="AC90">
        <v>4</v>
      </c>
      <c r="AD90">
        <v>4</v>
      </c>
      <c r="AE90">
        <v>1</v>
      </c>
      <c r="AF90">
        <v>1999</v>
      </c>
      <c r="AG90" t="s">
        <v>62</v>
      </c>
      <c r="AH90">
        <v>10</v>
      </c>
      <c r="AI90">
        <v>100</v>
      </c>
      <c r="AJ90">
        <v>10</v>
      </c>
      <c r="AK90">
        <v>100</v>
      </c>
      <c r="AL90">
        <v>10</v>
      </c>
      <c r="AM90">
        <v>70</v>
      </c>
      <c r="AN90">
        <v>10</v>
      </c>
      <c r="AO90">
        <v>10</v>
      </c>
      <c r="AP90">
        <v>70</v>
      </c>
      <c r="AQ90">
        <v>1</v>
      </c>
      <c r="AR90">
        <v>10</v>
      </c>
      <c r="AS90">
        <v>10</v>
      </c>
      <c r="AT90">
        <v>70</v>
      </c>
      <c r="AU90">
        <v>50</v>
      </c>
      <c r="AV90">
        <v>10</v>
      </c>
      <c r="AW90">
        <v>10</v>
      </c>
      <c r="AX90">
        <v>1</v>
      </c>
      <c r="AY90" t="s">
        <v>31</v>
      </c>
      <c r="AZ90" t="s">
        <v>31</v>
      </c>
      <c r="BA90">
        <v>10</v>
      </c>
      <c r="BB90">
        <v>14.2857</v>
      </c>
      <c r="BC90" t="s">
        <v>395</v>
      </c>
      <c r="BD90" t="s">
        <v>31</v>
      </c>
      <c r="BE90" t="s">
        <v>31</v>
      </c>
      <c r="BF90" t="s">
        <v>31</v>
      </c>
      <c r="BG90" t="s">
        <v>31</v>
      </c>
      <c r="BH90" t="s">
        <v>31</v>
      </c>
      <c r="BI90" t="s">
        <v>31</v>
      </c>
    </row>
    <row r="91" spans="1:61" x14ac:dyDescent="0.2">
      <c r="A91" t="s">
        <v>378</v>
      </c>
      <c r="B91" t="s">
        <v>379</v>
      </c>
      <c r="D91" t="s">
        <v>379</v>
      </c>
      <c r="E91">
        <v>1999</v>
      </c>
      <c r="F91">
        <v>1</v>
      </c>
      <c r="G91" t="s">
        <v>380</v>
      </c>
      <c r="H91">
        <v>6</v>
      </c>
      <c r="I91">
        <v>156</v>
      </c>
      <c r="J91" s="1">
        <v>45646.45208333333</v>
      </c>
      <c r="K91" t="s">
        <v>381</v>
      </c>
      <c r="L91" t="s">
        <v>382</v>
      </c>
      <c r="P91" t="s">
        <v>31</v>
      </c>
      <c r="Q91" t="s">
        <v>31</v>
      </c>
      <c r="R91" t="s">
        <v>383</v>
      </c>
      <c r="S91" t="s">
        <v>384</v>
      </c>
      <c r="T91" t="s">
        <v>31</v>
      </c>
      <c r="U91" t="s">
        <v>31</v>
      </c>
      <c r="V91" t="s">
        <v>31</v>
      </c>
      <c r="W91" t="s">
        <v>31</v>
      </c>
      <c r="X91">
        <v>25</v>
      </c>
      <c r="Y91" t="s">
        <v>386</v>
      </c>
      <c r="Z91">
        <v>4</v>
      </c>
      <c r="AA91">
        <v>4</v>
      </c>
      <c r="AB91">
        <v>4</v>
      </c>
      <c r="AC91">
        <v>4</v>
      </c>
      <c r="AD91">
        <v>4</v>
      </c>
      <c r="AE91">
        <v>1</v>
      </c>
      <c r="AF91">
        <v>1999</v>
      </c>
      <c r="AG91" t="s">
        <v>64</v>
      </c>
      <c r="AH91">
        <v>5</v>
      </c>
      <c r="AI91">
        <v>100</v>
      </c>
      <c r="AJ91">
        <v>5</v>
      </c>
      <c r="AK91">
        <v>100</v>
      </c>
      <c r="AL91">
        <v>5</v>
      </c>
      <c r="AM91">
        <v>70</v>
      </c>
      <c r="AN91">
        <v>5</v>
      </c>
      <c r="AO91">
        <v>5</v>
      </c>
      <c r="AP91">
        <v>70</v>
      </c>
      <c r="AQ91">
        <v>1</v>
      </c>
      <c r="AR91">
        <v>5</v>
      </c>
      <c r="AS91">
        <v>5</v>
      </c>
      <c r="AT91">
        <v>70</v>
      </c>
      <c r="AU91">
        <v>50</v>
      </c>
      <c r="AV91">
        <v>5</v>
      </c>
      <c r="AW91">
        <v>5</v>
      </c>
      <c r="AX91">
        <v>1</v>
      </c>
      <c r="AY91" t="s">
        <v>31</v>
      </c>
      <c r="AZ91" t="s">
        <v>31</v>
      </c>
      <c r="BA91">
        <v>5</v>
      </c>
      <c r="BB91">
        <v>7.1429</v>
      </c>
      <c r="BC91" t="s">
        <v>397</v>
      </c>
      <c r="BD91" t="s">
        <v>31</v>
      </c>
      <c r="BE91" t="s">
        <v>31</v>
      </c>
      <c r="BF91" t="s">
        <v>31</v>
      </c>
      <c r="BG91" t="s">
        <v>31</v>
      </c>
      <c r="BH91" t="s">
        <v>31</v>
      </c>
      <c r="BI91" t="s">
        <v>31</v>
      </c>
    </row>
  </sheetData>
  <pageMargins left="0.7" right="0.7" top="0.75" bottom="0.75" header="0.3" footer="0.3"/>
  <headerFooter>
    <oddFooter>&amp;C_x000D_&amp;1#&amp;"Calibri"&amp;9&amp;K000000 Classified - Internal Use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D7DC6-607E-40FB-A6C9-E153A0261A85}">
  <dimension ref="A1:CF73"/>
  <sheetViews>
    <sheetView zoomScale="40" zoomScaleNormal="40" workbookViewId="0">
      <selection activeCell="A40" sqref="A40:BC47"/>
    </sheetView>
  </sheetViews>
  <sheetFormatPr defaultRowHeight="15" x14ac:dyDescent="0.2"/>
  <cols>
    <col min="38" max="38" width="11.1640625" customWidth="1"/>
    <col min="46" max="46" width="15.19921875" bestFit="1" customWidth="1"/>
    <col min="53" max="53" width="11.8359375" customWidth="1"/>
    <col min="60" max="60" width="16.27734375" bestFit="1" customWidth="1"/>
  </cols>
  <sheetData>
    <row r="1" spans="1:62" x14ac:dyDescent="0.2">
      <c r="A1" t="s">
        <v>2</v>
      </c>
      <c r="B1" t="s">
        <v>3</v>
      </c>
      <c r="C1" t="s">
        <v>4</v>
      </c>
      <c r="D1" t="s">
        <v>101</v>
      </c>
      <c r="E1" t="s">
        <v>102</v>
      </c>
      <c r="F1" t="s">
        <v>0</v>
      </c>
      <c r="G1" t="s">
        <v>1</v>
      </c>
      <c r="H1" t="s">
        <v>41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103</v>
      </c>
      <c r="V1" t="s">
        <v>21</v>
      </c>
      <c r="W1" t="s">
        <v>67</v>
      </c>
      <c r="X1" t="s">
        <v>22</v>
      </c>
      <c r="Y1" t="s">
        <v>104</v>
      </c>
      <c r="Z1" t="s">
        <v>23</v>
      </c>
      <c r="AA1" t="s">
        <v>24</v>
      </c>
      <c r="AB1" t="s">
        <v>25</v>
      </c>
      <c r="AC1" t="s">
        <v>44</v>
      </c>
      <c r="AD1" t="s">
        <v>65</v>
      </c>
      <c r="AE1" t="s">
        <v>79</v>
      </c>
      <c r="AF1" t="s">
        <v>78</v>
      </c>
      <c r="AG1" t="s">
        <v>68</v>
      </c>
      <c r="AH1" t="s">
        <v>75</v>
      </c>
      <c r="AI1" s="24" t="s">
        <v>74</v>
      </c>
      <c r="AJ1" t="s">
        <v>76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s="4" t="s">
        <v>105</v>
      </c>
      <c r="AU1" t="s">
        <v>106</v>
      </c>
      <c r="AV1" t="s">
        <v>107</v>
      </c>
      <c r="AW1" t="s">
        <v>108</v>
      </c>
      <c r="AX1" s="26" t="s">
        <v>109</v>
      </c>
      <c r="AY1" t="s">
        <v>110</v>
      </c>
      <c r="AZ1" t="s">
        <v>111</v>
      </c>
      <c r="BA1" t="s">
        <v>112</v>
      </c>
      <c r="BB1" s="2" t="s">
        <v>113</v>
      </c>
      <c r="BC1" t="s">
        <v>114</v>
      </c>
      <c r="BG1" s="25"/>
      <c r="BH1" s="4" t="s">
        <v>105</v>
      </c>
      <c r="BI1" t="s">
        <v>162</v>
      </c>
    </row>
    <row r="2" spans="1:62" x14ac:dyDescent="0.2">
      <c r="A2" t="s">
        <v>27</v>
      </c>
      <c r="B2">
        <v>2021</v>
      </c>
      <c r="C2">
        <v>1</v>
      </c>
      <c r="D2" t="s">
        <v>115</v>
      </c>
      <c r="E2" t="s">
        <v>116</v>
      </c>
      <c r="F2" t="s">
        <v>26</v>
      </c>
      <c r="H2" t="s">
        <v>26</v>
      </c>
      <c r="I2" t="s">
        <v>28</v>
      </c>
      <c r="J2">
        <v>123</v>
      </c>
      <c r="K2">
        <v>123</v>
      </c>
      <c r="L2" s="1">
        <v>44414.390844907408</v>
      </c>
      <c r="M2" t="s">
        <v>29</v>
      </c>
      <c r="N2" t="s">
        <v>26</v>
      </c>
      <c r="O2" t="s">
        <v>30</v>
      </c>
      <c r="S2" t="s">
        <v>31</v>
      </c>
      <c r="T2" t="s">
        <v>32</v>
      </c>
      <c r="V2" t="s">
        <v>31</v>
      </c>
      <c r="W2" t="s">
        <v>64</v>
      </c>
      <c r="X2">
        <v>4</v>
      </c>
      <c r="Y2" s="6" t="s">
        <v>121</v>
      </c>
      <c r="Z2" s="6" t="s">
        <v>36</v>
      </c>
      <c r="AA2" s="6">
        <v>4</v>
      </c>
      <c r="AB2" s="6">
        <v>4</v>
      </c>
      <c r="AC2" s="6">
        <v>4</v>
      </c>
      <c r="AD2" s="6">
        <v>1</v>
      </c>
      <c r="AE2" s="6">
        <v>5</v>
      </c>
      <c r="AF2" s="6">
        <v>5</v>
      </c>
      <c r="AG2" s="6">
        <v>5</v>
      </c>
      <c r="AH2" s="6">
        <v>5</v>
      </c>
      <c r="AI2" s="6">
        <v>5</v>
      </c>
      <c r="AJ2" s="6">
        <v>100</v>
      </c>
      <c r="AK2" s="6">
        <v>5</v>
      </c>
      <c r="AL2" s="6">
        <v>5</v>
      </c>
      <c r="AM2" s="6" t="s">
        <v>99</v>
      </c>
      <c r="AN2" s="6" t="s">
        <v>31</v>
      </c>
      <c r="AO2" s="6" t="s">
        <v>31</v>
      </c>
      <c r="AP2" s="6" t="s">
        <v>31</v>
      </c>
      <c r="AQ2" s="6" t="s">
        <v>31</v>
      </c>
      <c r="AR2" s="6" t="s">
        <v>31</v>
      </c>
      <c r="AS2" s="6" t="s">
        <v>31</v>
      </c>
      <c r="AT2" s="6" t="s">
        <v>118</v>
      </c>
      <c r="AU2" s="6">
        <v>290</v>
      </c>
      <c r="AV2" s="6">
        <v>4</v>
      </c>
      <c r="AW2" s="6">
        <v>72.5</v>
      </c>
      <c r="AX2" s="6" t="s">
        <v>119</v>
      </c>
      <c r="AY2" s="6">
        <v>72.5</v>
      </c>
      <c r="AZ2" s="6">
        <v>1</v>
      </c>
      <c r="BA2" s="6">
        <v>72.5</v>
      </c>
      <c r="BB2" s="6" t="s">
        <v>119</v>
      </c>
      <c r="BC2" s="6">
        <v>-4</v>
      </c>
      <c r="BJ2" t="s">
        <v>299</v>
      </c>
    </row>
    <row r="3" spans="1:62" x14ac:dyDescent="0.2">
      <c r="A3" t="s">
        <v>27</v>
      </c>
      <c r="B3">
        <v>2021</v>
      </c>
      <c r="C3">
        <v>1</v>
      </c>
      <c r="D3" t="s">
        <v>115</v>
      </c>
      <c r="E3" t="s">
        <v>116</v>
      </c>
      <c r="F3" t="s">
        <v>26</v>
      </c>
      <c r="H3" t="s">
        <v>26</v>
      </c>
      <c r="I3" t="s">
        <v>28</v>
      </c>
      <c r="J3">
        <v>123</v>
      </c>
      <c r="K3">
        <v>123</v>
      </c>
      <c r="L3" s="1">
        <v>44414.390844907408</v>
      </c>
      <c r="M3" t="s">
        <v>29</v>
      </c>
      <c r="N3" t="s">
        <v>26</v>
      </c>
      <c r="O3" t="s">
        <v>30</v>
      </c>
      <c r="S3" t="s">
        <v>31</v>
      </c>
      <c r="T3" t="s">
        <v>32</v>
      </c>
      <c r="V3" t="s">
        <v>31</v>
      </c>
      <c r="W3" t="s">
        <v>61</v>
      </c>
      <c r="X3">
        <v>1</v>
      </c>
      <c r="Y3" t="s">
        <v>117</v>
      </c>
      <c r="Z3" t="s">
        <v>33</v>
      </c>
      <c r="AA3">
        <v>4</v>
      </c>
      <c r="AB3">
        <v>4</v>
      </c>
      <c r="AC3">
        <v>4</v>
      </c>
      <c r="AD3">
        <v>1</v>
      </c>
      <c r="AE3">
        <v>15</v>
      </c>
      <c r="AF3">
        <v>15</v>
      </c>
      <c r="AG3">
        <v>15</v>
      </c>
      <c r="AH3">
        <v>15</v>
      </c>
      <c r="AI3">
        <v>15</v>
      </c>
      <c r="AJ3">
        <v>100</v>
      </c>
      <c r="AK3">
        <v>15</v>
      </c>
      <c r="AL3">
        <v>15</v>
      </c>
      <c r="AM3" t="s">
        <v>96</v>
      </c>
      <c r="AN3" t="s">
        <v>31</v>
      </c>
      <c r="AO3" t="s">
        <v>31</v>
      </c>
      <c r="AP3" t="s">
        <v>31</v>
      </c>
      <c r="AQ3" t="s">
        <v>31</v>
      </c>
      <c r="AR3" t="s">
        <v>31</v>
      </c>
      <c r="AS3" t="s">
        <v>31</v>
      </c>
      <c r="AT3" t="s">
        <v>118</v>
      </c>
      <c r="AU3">
        <v>290</v>
      </c>
      <c r="AV3">
        <v>4</v>
      </c>
      <c r="AW3">
        <v>72.5</v>
      </c>
      <c r="AX3" t="s">
        <v>119</v>
      </c>
      <c r="AY3">
        <v>72.5</v>
      </c>
      <c r="AZ3">
        <v>1</v>
      </c>
      <c r="BA3">
        <v>72.5</v>
      </c>
      <c r="BB3" t="s">
        <v>119</v>
      </c>
      <c r="BC3">
        <v>-4</v>
      </c>
      <c r="BJ3" t="s">
        <v>300</v>
      </c>
    </row>
    <row r="4" spans="1:62" x14ac:dyDescent="0.2">
      <c r="A4" t="s">
        <v>27</v>
      </c>
      <c r="B4">
        <v>2021</v>
      </c>
      <c r="C4">
        <v>1</v>
      </c>
      <c r="D4" t="s">
        <v>115</v>
      </c>
      <c r="E4" t="s">
        <v>116</v>
      </c>
      <c r="F4" t="s">
        <v>26</v>
      </c>
      <c r="H4" t="s">
        <v>26</v>
      </c>
      <c r="I4" t="s">
        <v>28</v>
      </c>
      <c r="J4">
        <v>123</v>
      </c>
      <c r="K4">
        <v>123</v>
      </c>
      <c r="L4" s="1">
        <v>44414.390844907408</v>
      </c>
      <c r="M4" t="s">
        <v>29</v>
      </c>
      <c r="N4" t="s">
        <v>26</v>
      </c>
      <c r="O4" t="s">
        <v>30</v>
      </c>
      <c r="S4" t="s">
        <v>31</v>
      </c>
      <c r="T4" t="s">
        <v>32</v>
      </c>
      <c r="V4" t="s">
        <v>31</v>
      </c>
      <c r="W4" t="s">
        <v>63</v>
      </c>
      <c r="X4">
        <v>3</v>
      </c>
      <c r="Y4" t="s">
        <v>122</v>
      </c>
      <c r="Z4" t="s">
        <v>35</v>
      </c>
      <c r="AA4">
        <v>3</v>
      </c>
      <c r="AB4">
        <v>3</v>
      </c>
      <c r="AC4">
        <v>4</v>
      </c>
      <c r="AD4">
        <v>0.75</v>
      </c>
      <c r="AE4">
        <v>30</v>
      </c>
      <c r="AF4">
        <v>22.5</v>
      </c>
      <c r="AG4">
        <v>30</v>
      </c>
      <c r="AH4">
        <v>30</v>
      </c>
      <c r="AI4">
        <v>22.5</v>
      </c>
      <c r="AJ4">
        <v>100</v>
      </c>
      <c r="AK4">
        <v>30</v>
      </c>
      <c r="AL4">
        <v>22.5</v>
      </c>
      <c r="AM4" t="s">
        <v>97</v>
      </c>
      <c r="AN4" t="s">
        <v>31</v>
      </c>
      <c r="AO4" t="s">
        <v>31</v>
      </c>
      <c r="AP4" t="s">
        <v>31</v>
      </c>
      <c r="AQ4" t="s">
        <v>31</v>
      </c>
      <c r="AR4" t="s">
        <v>31</v>
      </c>
      <c r="AS4" t="s">
        <v>31</v>
      </c>
      <c r="AT4" t="s">
        <v>118</v>
      </c>
      <c r="AU4">
        <v>290</v>
      </c>
      <c r="AV4">
        <v>4</v>
      </c>
      <c r="AW4">
        <v>72.5</v>
      </c>
      <c r="AX4" t="s">
        <v>119</v>
      </c>
      <c r="AY4">
        <v>72.5</v>
      </c>
      <c r="AZ4">
        <v>1</v>
      </c>
      <c r="BA4">
        <v>72.5</v>
      </c>
      <c r="BB4" t="s">
        <v>119</v>
      </c>
      <c r="BC4">
        <v>-4</v>
      </c>
      <c r="BJ4" t="s">
        <v>301</v>
      </c>
    </row>
    <row r="5" spans="1:62" x14ac:dyDescent="0.2">
      <c r="A5" t="s">
        <v>27</v>
      </c>
      <c r="B5">
        <v>2021</v>
      </c>
      <c r="C5">
        <v>1</v>
      </c>
      <c r="D5" t="s">
        <v>115</v>
      </c>
      <c r="E5" t="s">
        <v>116</v>
      </c>
      <c r="F5" t="s">
        <v>26</v>
      </c>
      <c r="H5" t="s">
        <v>26</v>
      </c>
      <c r="I5" t="s">
        <v>28</v>
      </c>
      <c r="J5">
        <v>123</v>
      </c>
      <c r="K5">
        <v>123</v>
      </c>
      <c r="L5" s="1">
        <v>44414.390844907408</v>
      </c>
      <c r="M5" t="s">
        <v>29</v>
      </c>
      <c r="N5" t="s">
        <v>26</v>
      </c>
      <c r="O5" t="s">
        <v>30</v>
      </c>
      <c r="S5" t="s">
        <v>31</v>
      </c>
      <c r="T5" t="s">
        <v>32</v>
      </c>
      <c r="V5" t="s">
        <v>31</v>
      </c>
      <c r="W5" t="s">
        <v>64</v>
      </c>
      <c r="X5">
        <v>5</v>
      </c>
      <c r="Y5" t="s">
        <v>125</v>
      </c>
      <c r="Z5" t="s">
        <v>37</v>
      </c>
      <c r="AA5">
        <v>3</v>
      </c>
      <c r="AB5">
        <v>3</v>
      </c>
      <c r="AC5">
        <v>4</v>
      </c>
      <c r="AD5">
        <v>0.75</v>
      </c>
      <c r="AE5">
        <v>5</v>
      </c>
      <c r="AF5">
        <v>3.75</v>
      </c>
      <c r="AG5">
        <v>5</v>
      </c>
      <c r="AH5">
        <v>5</v>
      </c>
      <c r="AI5">
        <v>3.75</v>
      </c>
      <c r="AJ5">
        <v>100</v>
      </c>
      <c r="AK5">
        <v>5</v>
      </c>
      <c r="AL5">
        <v>3.75</v>
      </c>
      <c r="AM5" t="s">
        <v>98</v>
      </c>
      <c r="AN5" t="s">
        <v>31</v>
      </c>
      <c r="AO5" t="s">
        <v>31</v>
      </c>
      <c r="AP5" t="s">
        <v>31</v>
      </c>
      <c r="AQ5" t="s">
        <v>31</v>
      </c>
      <c r="AR5" t="s">
        <v>31</v>
      </c>
      <c r="AS5" t="s">
        <v>31</v>
      </c>
      <c r="AT5" t="s">
        <v>118</v>
      </c>
      <c r="AU5">
        <v>290</v>
      </c>
      <c r="AV5">
        <v>4</v>
      </c>
      <c r="AW5">
        <v>72.5</v>
      </c>
      <c r="AX5" t="s">
        <v>119</v>
      </c>
      <c r="AY5">
        <v>72.5</v>
      </c>
      <c r="AZ5">
        <v>1</v>
      </c>
      <c r="BA5">
        <v>72.5</v>
      </c>
      <c r="BB5" t="s">
        <v>119</v>
      </c>
      <c r="BC5">
        <v>-4</v>
      </c>
      <c r="BJ5" t="s">
        <v>302</v>
      </c>
    </row>
    <row r="6" spans="1:62" x14ac:dyDescent="0.2">
      <c r="A6" t="s">
        <v>27</v>
      </c>
      <c r="B6">
        <v>2021</v>
      </c>
      <c r="C6">
        <v>1</v>
      </c>
      <c r="D6" t="s">
        <v>115</v>
      </c>
      <c r="E6" t="s">
        <v>116</v>
      </c>
      <c r="F6" t="s">
        <v>26</v>
      </c>
      <c r="H6" t="s">
        <v>26</v>
      </c>
      <c r="I6" t="s">
        <v>28</v>
      </c>
      <c r="J6">
        <v>123</v>
      </c>
      <c r="K6">
        <v>123</v>
      </c>
      <c r="L6" s="1">
        <v>44414.390844907408</v>
      </c>
      <c r="M6" t="s">
        <v>29</v>
      </c>
      <c r="N6" t="s">
        <v>26</v>
      </c>
      <c r="O6" t="s">
        <v>30</v>
      </c>
      <c r="S6" t="s">
        <v>31</v>
      </c>
      <c r="T6" t="s">
        <v>32</v>
      </c>
      <c r="V6" t="s">
        <v>31</v>
      </c>
      <c r="W6" t="s">
        <v>61</v>
      </c>
      <c r="X6">
        <v>2</v>
      </c>
      <c r="Y6" t="s">
        <v>120</v>
      </c>
      <c r="Z6" t="s">
        <v>34</v>
      </c>
      <c r="AA6">
        <v>3</v>
      </c>
      <c r="AB6">
        <v>3</v>
      </c>
      <c r="AC6">
        <v>4</v>
      </c>
      <c r="AD6">
        <v>0.75</v>
      </c>
      <c r="AE6">
        <v>15</v>
      </c>
      <c r="AF6">
        <v>11.25</v>
      </c>
      <c r="AG6">
        <v>15</v>
      </c>
      <c r="AH6">
        <v>15</v>
      </c>
      <c r="AI6">
        <v>11.25</v>
      </c>
      <c r="AJ6">
        <v>100</v>
      </c>
      <c r="AK6">
        <v>15</v>
      </c>
      <c r="AL6">
        <v>11.25</v>
      </c>
      <c r="AM6" t="s">
        <v>100</v>
      </c>
      <c r="AN6" t="s">
        <v>31</v>
      </c>
      <c r="AO6" t="s">
        <v>31</v>
      </c>
      <c r="AP6" t="s">
        <v>31</v>
      </c>
      <c r="AQ6" t="s">
        <v>31</v>
      </c>
      <c r="AR6" t="s">
        <v>31</v>
      </c>
      <c r="AS6" t="s">
        <v>31</v>
      </c>
      <c r="AT6" t="s">
        <v>118</v>
      </c>
      <c r="AU6">
        <v>290</v>
      </c>
      <c r="AV6">
        <v>4</v>
      </c>
      <c r="AW6">
        <v>72.5</v>
      </c>
      <c r="AX6" t="s">
        <v>119</v>
      </c>
      <c r="AY6">
        <v>72.5</v>
      </c>
      <c r="AZ6">
        <v>1</v>
      </c>
      <c r="BA6">
        <v>72.5</v>
      </c>
      <c r="BB6" t="s">
        <v>119</v>
      </c>
      <c r="BC6">
        <v>-4</v>
      </c>
      <c r="BJ6" t="s">
        <v>303</v>
      </c>
    </row>
    <row r="7" spans="1:62" x14ac:dyDescent="0.2">
      <c r="A7" t="s">
        <v>27</v>
      </c>
      <c r="B7">
        <v>2021</v>
      </c>
      <c r="C7">
        <v>1</v>
      </c>
      <c r="D7" t="s">
        <v>115</v>
      </c>
      <c r="E7" t="s">
        <v>116</v>
      </c>
      <c r="F7" t="s">
        <v>26</v>
      </c>
      <c r="H7" t="s">
        <v>26</v>
      </c>
      <c r="I7" t="s">
        <v>28</v>
      </c>
      <c r="J7">
        <v>123</v>
      </c>
      <c r="K7">
        <v>123</v>
      </c>
      <c r="L7" s="1">
        <v>44414.390844907408</v>
      </c>
      <c r="M7" t="s">
        <v>29</v>
      </c>
      <c r="N7" t="s">
        <v>26</v>
      </c>
      <c r="O7" t="s">
        <v>30</v>
      </c>
      <c r="S7" t="s">
        <v>31</v>
      </c>
      <c r="T7" t="s">
        <v>32</v>
      </c>
      <c r="V7" t="s">
        <v>31</v>
      </c>
      <c r="W7" t="s">
        <v>62</v>
      </c>
      <c r="X7">
        <v>6</v>
      </c>
      <c r="Y7" t="s">
        <v>124</v>
      </c>
      <c r="Z7" t="s">
        <v>38</v>
      </c>
      <c r="AA7">
        <v>4</v>
      </c>
      <c r="AB7">
        <v>4</v>
      </c>
      <c r="AC7">
        <v>4</v>
      </c>
      <c r="AD7">
        <v>1</v>
      </c>
      <c r="AE7">
        <v>15</v>
      </c>
      <c r="AF7">
        <v>15</v>
      </c>
      <c r="AG7">
        <v>15</v>
      </c>
      <c r="AH7">
        <v>15</v>
      </c>
      <c r="AI7">
        <v>15</v>
      </c>
      <c r="AJ7">
        <v>100</v>
      </c>
      <c r="AK7">
        <v>15</v>
      </c>
      <c r="AL7">
        <v>15</v>
      </c>
      <c r="AM7" t="s">
        <v>96</v>
      </c>
      <c r="AN7" t="s">
        <v>31</v>
      </c>
      <c r="AO7" t="s">
        <v>31</v>
      </c>
      <c r="AP7" t="s">
        <v>31</v>
      </c>
      <c r="AQ7" t="s">
        <v>31</v>
      </c>
      <c r="AR7" t="s">
        <v>31</v>
      </c>
      <c r="AS7" t="s">
        <v>31</v>
      </c>
      <c r="AT7" t="s">
        <v>118</v>
      </c>
      <c r="AU7">
        <v>290</v>
      </c>
      <c r="AV7">
        <v>4</v>
      </c>
      <c r="AW7">
        <v>72.5</v>
      </c>
      <c r="AX7" t="s">
        <v>119</v>
      </c>
      <c r="AY7">
        <v>72.5</v>
      </c>
      <c r="AZ7">
        <v>1</v>
      </c>
      <c r="BA7">
        <v>72.5</v>
      </c>
      <c r="BB7" t="s">
        <v>119</v>
      </c>
      <c r="BC7">
        <v>-4</v>
      </c>
      <c r="BI7" t="s">
        <v>304</v>
      </c>
    </row>
    <row r="8" spans="1:62" x14ac:dyDescent="0.2">
      <c r="A8" t="s">
        <v>27</v>
      </c>
      <c r="B8">
        <v>2021</v>
      </c>
      <c r="C8">
        <v>1</v>
      </c>
      <c r="D8" t="s">
        <v>115</v>
      </c>
      <c r="E8" t="s">
        <v>116</v>
      </c>
      <c r="F8" t="s">
        <v>26</v>
      </c>
      <c r="H8" t="s">
        <v>26</v>
      </c>
      <c r="I8" t="s">
        <v>28</v>
      </c>
      <c r="J8">
        <v>123</v>
      </c>
      <c r="K8">
        <v>123</v>
      </c>
      <c r="L8" s="1">
        <v>44414.390844907408</v>
      </c>
      <c r="M8" t="s">
        <v>29</v>
      </c>
      <c r="N8" t="s">
        <v>26</v>
      </c>
      <c r="O8" t="s">
        <v>30</v>
      </c>
      <c r="S8" t="s">
        <v>31</v>
      </c>
      <c r="T8" t="s">
        <v>32</v>
      </c>
      <c r="V8" t="s">
        <v>31</v>
      </c>
      <c r="W8" t="s">
        <v>62</v>
      </c>
      <c r="X8">
        <v>7</v>
      </c>
      <c r="Y8" t="s">
        <v>123</v>
      </c>
      <c r="Z8" t="s">
        <v>39</v>
      </c>
      <c r="AA8">
        <v>4</v>
      </c>
      <c r="AB8">
        <v>4</v>
      </c>
      <c r="AC8">
        <v>4</v>
      </c>
      <c r="AD8">
        <v>1</v>
      </c>
      <c r="AE8">
        <v>15</v>
      </c>
      <c r="AF8">
        <v>15</v>
      </c>
      <c r="AG8">
        <v>15</v>
      </c>
      <c r="AH8">
        <v>15</v>
      </c>
      <c r="AI8">
        <v>15</v>
      </c>
      <c r="AJ8">
        <v>100</v>
      </c>
      <c r="AK8">
        <v>15</v>
      </c>
      <c r="AL8">
        <v>15</v>
      </c>
      <c r="AM8" t="s">
        <v>96</v>
      </c>
      <c r="AN8" t="s">
        <v>31</v>
      </c>
      <c r="AO8" t="s">
        <v>31</v>
      </c>
      <c r="AP8" t="s">
        <v>31</v>
      </c>
      <c r="AQ8" t="s">
        <v>31</v>
      </c>
      <c r="AR8" t="s">
        <v>31</v>
      </c>
      <c r="AS8" t="s">
        <v>31</v>
      </c>
      <c r="AT8" t="s">
        <v>118</v>
      </c>
      <c r="AU8">
        <v>290</v>
      </c>
      <c r="AV8">
        <v>4</v>
      </c>
      <c r="AW8">
        <v>72.5</v>
      </c>
      <c r="AX8" t="s">
        <v>119</v>
      </c>
      <c r="AY8">
        <v>72.5</v>
      </c>
      <c r="AZ8">
        <v>1</v>
      </c>
      <c r="BA8">
        <v>72.5</v>
      </c>
      <c r="BB8" t="s">
        <v>119</v>
      </c>
      <c r="BC8">
        <v>-4</v>
      </c>
    </row>
    <row r="9" spans="1:62" x14ac:dyDescent="0.2">
      <c r="BI9" s="7" t="s">
        <v>305</v>
      </c>
    </row>
    <row r="11" spans="1:62" x14ac:dyDescent="0.2">
      <c r="AT11" s="7" t="s">
        <v>429</v>
      </c>
      <c r="BI11" s="7" t="s">
        <v>159</v>
      </c>
    </row>
    <row r="12" spans="1:62" x14ac:dyDescent="0.2">
      <c r="BI12" s="45" t="s">
        <v>318</v>
      </c>
    </row>
    <row r="13" spans="1:62" x14ac:dyDescent="0.2">
      <c r="BI13" s="45" t="s">
        <v>319</v>
      </c>
    </row>
    <row r="14" spans="1:62" x14ac:dyDescent="0.2">
      <c r="A14" t="s">
        <v>2</v>
      </c>
      <c r="B14" t="s">
        <v>3</v>
      </c>
      <c r="C14" t="s">
        <v>4</v>
      </c>
      <c r="D14" t="s">
        <v>101</v>
      </c>
      <c r="E14" t="s">
        <v>102</v>
      </c>
      <c r="F14" t="s">
        <v>0</v>
      </c>
      <c r="G14" t="s">
        <v>1</v>
      </c>
      <c r="H14" t="s">
        <v>41</v>
      </c>
      <c r="I14" t="s">
        <v>5</v>
      </c>
      <c r="J14" t="s">
        <v>6</v>
      </c>
      <c r="K14" t="s">
        <v>7</v>
      </c>
      <c r="L14" t="s">
        <v>8</v>
      </c>
      <c r="M14" t="s">
        <v>9</v>
      </c>
      <c r="N14" t="s">
        <v>10</v>
      </c>
      <c r="O14" t="s">
        <v>11</v>
      </c>
      <c r="P14" t="s">
        <v>12</v>
      </c>
      <c r="Q14" t="s">
        <v>13</v>
      </c>
      <c r="R14" t="s">
        <v>14</v>
      </c>
      <c r="S14" t="s">
        <v>15</v>
      </c>
      <c r="T14" t="s">
        <v>16</v>
      </c>
      <c r="U14" t="s">
        <v>103</v>
      </c>
      <c r="V14" t="s">
        <v>21</v>
      </c>
      <c r="W14" t="s">
        <v>67</v>
      </c>
      <c r="X14" t="s">
        <v>22</v>
      </c>
      <c r="Y14" t="s">
        <v>104</v>
      </c>
      <c r="Z14" t="s">
        <v>23</v>
      </c>
      <c r="AA14" t="s">
        <v>24</v>
      </c>
      <c r="AB14" t="s">
        <v>25</v>
      </c>
      <c r="AC14" t="s">
        <v>44</v>
      </c>
      <c r="AD14" t="s">
        <v>65</v>
      </c>
      <c r="AE14" t="s">
        <v>79</v>
      </c>
      <c r="AF14" t="s">
        <v>78</v>
      </c>
      <c r="AG14" t="s">
        <v>68</v>
      </c>
      <c r="AH14" t="s">
        <v>75</v>
      </c>
      <c r="AI14" s="24" t="s">
        <v>74</v>
      </c>
      <c r="AJ14" t="s">
        <v>76</v>
      </c>
      <c r="AK14" t="s">
        <v>87</v>
      </c>
      <c r="AL14" t="s">
        <v>88</v>
      </c>
      <c r="AM14" t="s">
        <v>89</v>
      </c>
      <c r="AN14" t="s">
        <v>90</v>
      </c>
      <c r="AO14" t="s">
        <v>91</v>
      </c>
      <c r="AP14" t="s">
        <v>92</v>
      </c>
      <c r="AQ14" t="s">
        <v>93</v>
      </c>
      <c r="AR14" t="s">
        <v>94</v>
      </c>
      <c r="AS14" t="s">
        <v>95</v>
      </c>
      <c r="AT14" s="4" t="s">
        <v>105</v>
      </c>
      <c r="AU14" t="s">
        <v>106</v>
      </c>
      <c r="AV14" t="s">
        <v>107</v>
      </c>
      <c r="AW14" t="s">
        <v>108</v>
      </c>
      <c r="AX14" s="26" t="s">
        <v>109</v>
      </c>
      <c r="AY14" t="s">
        <v>110</v>
      </c>
      <c r="AZ14" t="s">
        <v>111</v>
      </c>
      <c r="BA14" t="s">
        <v>112</v>
      </c>
      <c r="BB14" s="2" t="s">
        <v>113</v>
      </c>
      <c r="BC14" t="s">
        <v>114</v>
      </c>
      <c r="BI14" s="45" t="s">
        <v>320</v>
      </c>
    </row>
    <row r="15" spans="1:62" x14ac:dyDescent="0.2">
      <c r="A15" t="s">
        <v>443</v>
      </c>
      <c r="B15">
        <v>2024</v>
      </c>
      <c r="C15">
        <v>1</v>
      </c>
      <c r="D15" t="s">
        <v>453</v>
      </c>
      <c r="E15" t="s">
        <v>454</v>
      </c>
      <c r="F15" t="s">
        <v>339</v>
      </c>
      <c r="H15" t="s">
        <v>339</v>
      </c>
      <c r="I15" t="s">
        <v>340</v>
      </c>
      <c r="J15">
        <v>4897</v>
      </c>
      <c r="K15">
        <v>4875</v>
      </c>
      <c r="L15" s="1">
        <v>45474.501493055555</v>
      </c>
      <c r="M15" t="s">
        <v>444</v>
      </c>
      <c r="N15" t="s">
        <v>445</v>
      </c>
      <c r="Q15" t="s">
        <v>341</v>
      </c>
      <c r="R15" t="s">
        <v>446</v>
      </c>
      <c r="S15" t="s">
        <v>445</v>
      </c>
      <c r="T15" t="s">
        <v>449</v>
      </c>
      <c r="V15" t="s">
        <v>31</v>
      </c>
      <c r="W15" t="s">
        <v>61</v>
      </c>
      <c r="X15">
        <v>1</v>
      </c>
      <c r="Y15" t="s">
        <v>117</v>
      </c>
      <c r="Z15" t="s">
        <v>346</v>
      </c>
      <c r="AA15">
        <v>3</v>
      </c>
      <c r="AB15">
        <v>3</v>
      </c>
      <c r="AC15">
        <v>4</v>
      </c>
      <c r="AD15">
        <v>0.75</v>
      </c>
      <c r="AE15">
        <v>10</v>
      </c>
      <c r="AF15">
        <v>7.5</v>
      </c>
      <c r="AG15">
        <v>30</v>
      </c>
      <c r="AH15">
        <v>5</v>
      </c>
      <c r="AI15">
        <v>3.75</v>
      </c>
      <c r="AJ15">
        <v>48</v>
      </c>
      <c r="AK15">
        <v>10</v>
      </c>
      <c r="AL15">
        <v>15.625</v>
      </c>
      <c r="AM15" t="s">
        <v>413</v>
      </c>
      <c r="AN15">
        <v>5</v>
      </c>
      <c r="AO15">
        <v>3.75</v>
      </c>
      <c r="AP15" t="s">
        <v>414</v>
      </c>
      <c r="AQ15" t="s">
        <v>31</v>
      </c>
      <c r="AR15" t="s">
        <v>31</v>
      </c>
      <c r="AS15" t="s">
        <v>31</v>
      </c>
      <c r="AT15" t="s">
        <v>412</v>
      </c>
      <c r="AU15">
        <v>383.48020000000002</v>
      </c>
      <c r="AV15">
        <v>32</v>
      </c>
      <c r="AW15">
        <v>11.983756</v>
      </c>
      <c r="AX15" t="s">
        <v>412</v>
      </c>
      <c r="AY15">
        <v>95.781199999999998</v>
      </c>
      <c r="AZ15">
        <v>1</v>
      </c>
      <c r="BA15">
        <v>95.781199999999998</v>
      </c>
      <c r="BB15" t="s">
        <v>118</v>
      </c>
      <c r="BC15">
        <v>-1</v>
      </c>
      <c r="BI15" s="45" t="s">
        <v>321</v>
      </c>
    </row>
    <row r="16" spans="1:62" x14ac:dyDescent="0.2">
      <c r="A16" t="s">
        <v>443</v>
      </c>
      <c r="B16">
        <v>2024</v>
      </c>
      <c r="C16">
        <v>1</v>
      </c>
      <c r="D16" t="s">
        <v>453</v>
      </c>
      <c r="E16" t="s">
        <v>454</v>
      </c>
      <c r="F16" t="s">
        <v>339</v>
      </c>
      <c r="H16" t="s">
        <v>339</v>
      </c>
      <c r="I16" t="s">
        <v>340</v>
      </c>
      <c r="J16">
        <v>4897</v>
      </c>
      <c r="K16">
        <v>4875</v>
      </c>
      <c r="L16" s="1">
        <v>45474.501493055555</v>
      </c>
      <c r="M16" t="s">
        <v>444</v>
      </c>
      <c r="N16" t="s">
        <v>445</v>
      </c>
      <c r="Q16" t="s">
        <v>341</v>
      </c>
      <c r="R16" t="s">
        <v>446</v>
      </c>
      <c r="S16" t="s">
        <v>445</v>
      </c>
      <c r="T16" t="s">
        <v>449</v>
      </c>
      <c r="V16" t="s">
        <v>31</v>
      </c>
      <c r="W16" t="s">
        <v>61</v>
      </c>
      <c r="X16">
        <v>2</v>
      </c>
      <c r="Y16" t="s">
        <v>120</v>
      </c>
      <c r="Z16" t="s">
        <v>362</v>
      </c>
      <c r="AA16">
        <v>3</v>
      </c>
      <c r="AB16">
        <v>3</v>
      </c>
      <c r="AC16">
        <v>4</v>
      </c>
      <c r="AD16">
        <v>0.75</v>
      </c>
      <c r="AE16">
        <v>10</v>
      </c>
      <c r="AF16">
        <v>7.5</v>
      </c>
      <c r="AG16">
        <v>30</v>
      </c>
      <c r="AH16">
        <v>5</v>
      </c>
      <c r="AI16">
        <v>3.75</v>
      </c>
      <c r="AJ16">
        <v>48</v>
      </c>
      <c r="AK16">
        <v>10</v>
      </c>
      <c r="AL16">
        <v>15.625</v>
      </c>
      <c r="AM16" t="s">
        <v>413</v>
      </c>
      <c r="AN16">
        <v>5</v>
      </c>
      <c r="AO16">
        <v>3.75</v>
      </c>
      <c r="AP16" t="s">
        <v>414</v>
      </c>
      <c r="AQ16" t="s">
        <v>31</v>
      </c>
      <c r="AR16" t="s">
        <v>31</v>
      </c>
      <c r="AS16" t="s">
        <v>31</v>
      </c>
      <c r="AT16" t="s">
        <v>412</v>
      </c>
      <c r="AU16">
        <v>383.48020000000002</v>
      </c>
      <c r="AV16">
        <v>32</v>
      </c>
      <c r="AW16">
        <v>11.983756</v>
      </c>
      <c r="AX16" t="s">
        <v>412</v>
      </c>
      <c r="AY16">
        <v>95.781199999999998</v>
      </c>
      <c r="AZ16">
        <v>1</v>
      </c>
      <c r="BA16">
        <v>95.781199999999998</v>
      </c>
      <c r="BB16" t="s">
        <v>118</v>
      </c>
      <c r="BC16">
        <v>-1</v>
      </c>
      <c r="BI16" t="s">
        <v>483</v>
      </c>
    </row>
    <row r="17" spans="1:62" x14ac:dyDescent="0.2">
      <c r="A17" t="s">
        <v>443</v>
      </c>
      <c r="B17">
        <v>2024</v>
      </c>
      <c r="C17">
        <v>1</v>
      </c>
      <c r="D17" t="s">
        <v>453</v>
      </c>
      <c r="E17" t="s">
        <v>454</v>
      </c>
      <c r="F17" t="s">
        <v>339</v>
      </c>
      <c r="H17" t="s">
        <v>339</v>
      </c>
      <c r="I17" t="s">
        <v>340</v>
      </c>
      <c r="J17">
        <v>4897</v>
      </c>
      <c r="K17">
        <v>4875</v>
      </c>
      <c r="L17" s="1">
        <v>45474.501493055555</v>
      </c>
      <c r="M17" t="s">
        <v>444</v>
      </c>
      <c r="N17" t="s">
        <v>445</v>
      </c>
      <c r="Q17" t="s">
        <v>341</v>
      </c>
      <c r="R17" t="s">
        <v>446</v>
      </c>
      <c r="S17" t="s">
        <v>445</v>
      </c>
      <c r="T17" t="s">
        <v>449</v>
      </c>
      <c r="V17" t="s">
        <v>31</v>
      </c>
      <c r="W17" t="s">
        <v>61</v>
      </c>
      <c r="X17">
        <v>3</v>
      </c>
      <c r="Y17" t="s">
        <v>122</v>
      </c>
      <c r="Z17" t="s">
        <v>363</v>
      </c>
      <c r="AA17">
        <v>4</v>
      </c>
      <c r="AB17">
        <v>4</v>
      </c>
      <c r="AC17">
        <v>4</v>
      </c>
      <c r="AD17">
        <v>1</v>
      </c>
      <c r="AE17">
        <v>10</v>
      </c>
      <c r="AF17">
        <v>10</v>
      </c>
      <c r="AG17">
        <v>30</v>
      </c>
      <c r="AH17">
        <v>5</v>
      </c>
      <c r="AI17">
        <v>5</v>
      </c>
      <c r="AJ17">
        <v>48</v>
      </c>
      <c r="AK17">
        <v>10</v>
      </c>
      <c r="AL17">
        <v>20.833300000000001</v>
      </c>
      <c r="AM17" t="s">
        <v>415</v>
      </c>
      <c r="AN17">
        <v>5</v>
      </c>
      <c r="AO17">
        <v>5</v>
      </c>
      <c r="AP17" t="s">
        <v>416</v>
      </c>
      <c r="AQ17" t="s">
        <v>31</v>
      </c>
      <c r="AR17" t="s">
        <v>31</v>
      </c>
      <c r="AS17" t="s">
        <v>31</v>
      </c>
      <c r="AT17" t="s">
        <v>412</v>
      </c>
      <c r="AU17">
        <v>383.48020000000002</v>
      </c>
      <c r="AV17">
        <v>32</v>
      </c>
      <c r="AW17">
        <v>11.983756</v>
      </c>
      <c r="AX17" t="s">
        <v>412</v>
      </c>
      <c r="AY17">
        <v>95.781199999999998</v>
      </c>
      <c r="AZ17">
        <v>1</v>
      </c>
      <c r="BA17">
        <v>95.781199999999998</v>
      </c>
      <c r="BB17" t="s">
        <v>118</v>
      </c>
      <c r="BC17">
        <v>-1</v>
      </c>
      <c r="BI17" t="s">
        <v>484</v>
      </c>
    </row>
    <row r="18" spans="1:62" x14ac:dyDescent="0.2">
      <c r="A18" t="s">
        <v>443</v>
      </c>
      <c r="B18">
        <v>2024</v>
      </c>
      <c r="C18">
        <v>1</v>
      </c>
      <c r="D18" t="s">
        <v>453</v>
      </c>
      <c r="E18" t="s">
        <v>454</v>
      </c>
      <c r="F18" t="s">
        <v>339</v>
      </c>
      <c r="H18" t="s">
        <v>339</v>
      </c>
      <c r="I18" t="s">
        <v>340</v>
      </c>
      <c r="J18">
        <v>4897</v>
      </c>
      <c r="K18">
        <v>4875</v>
      </c>
      <c r="L18" s="1">
        <v>45474.501493055555</v>
      </c>
      <c r="M18" t="s">
        <v>444</v>
      </c>
      <c r="N18" t="s">
        <v>445</v>
      </c>
      <c r="Q18" t="s">
        <v>341</v>
      </c>
      <c r="R18" t="s">
        <v>446</v>
      </c>
      <c r="S18" t="s">
        <v>445</v>
      </c>
      <c r="T18" t="s">
        <v>449</v>
      </c>
      <c r="V18" t="s">
        <v>31</v>
      </c>
      <c r="W18" t="s">
        <v>64</v>
      </c>
      <c r="X18">
        <v>11</v>
      </c>
      <c r="Y18" t="s">
        <v>408</v>
      </c>
      <c r="Z18" t="s">
        <v>345</v>
      </c>
      <c r="AA18">
        <v>3</v>
      </c>
      <c r="AB18">
        <v>3</v>
      </c>
      <c r="AC18">
        <v>4</v>
      </c>
      <c r="AD18">
        <v>0.75</v>
      </c>
      <c r="AE18">
        <v>1.5</v>
      </c>
      <c r="AF18">
        <v>1.125</v>
      </c>
      <c r="AG18">
        <v>15</v>
      </c>
      <c r="AH18">
        <v>0.83330000000000004</v>
      </c>
      <c r="AI18">
        <v>0.625</v>
      </c>
      <c r="AJ18">
        <v>48</v>
      </c>
      <c r="AK18">
        <v>1.5</v>
      </c>
      <c r="AL18">
        <v>2.3437999999999999</v>
      </c>
      <c r="AM18" t="s">
        <v>411</v>
      </c>
      <c r="AN18">
        <v>0.83330000000000004</v>
      </c>
      <c r="AO18">
        <v>0.625</v>
      </c>
      <c r="AP18" t="s">
        <v>450</v>
      </c>
      <c r="AQ18" t="s">
        <v>31</v>
      </c>
      <c r="AR18" t="s">
        <v>31</v>
      </c>
      <c r="AS18" t="s">
        <v>31</v>
      </c>
      <c r="AT18" t="s">
        <v>412</v>
      </c>
      <c r="AU18">
        <v>383.48020000000002</v>
      </c>
      <c r="AV18">
        <v>32</v>
      </c>
      <c r="AW18">
        <v>11.983756</v>
      </c>
      <c r="AX18" t="s">
        <v>412</v>
      </c>
      <c r="AY18">
        <v>95.781199999999998</v>
      </c>
      <c r="AZ18">
        <v>1</v>
      </c>
      <c r="BA18">
        <v>95.781199999999998</v>
      </c>
      <c r="BB18" t="s">
        <v>118</v>
      </c>
      <c r="BC18">
        <v>-1</v>
      </c>
    </row>
    <row r="19" spans="1:62" x14ac:dyDescent="0.2">
      <c r="A19" t="s">
        <v>443</v>
      </c>
      <c r="B19">
        <v>2024</v>
      </c>
      <c r="C19">
        <v>1</v>
      </c>
      <c r="D19" t="s">
        <v>453</v>
      </c>
      <c r="E19" t="s">
        <v>454</v>
      </c>
      <c r="F19" t="s">
        <v>339</v>
      </c>
      <c r="H19" t="s">
        <v>339</v>
      </c>
      <c r="I19" t="s">
        <v>340</v>
      </c>
      <c r="J19">
        <v>4897</v>
      </c>
      <c r="K19">
        <v>4875</v>
      </c>
      <c r="L19" s="1">
        <v>45474.501493055555</v>
      </c>
      <c r="M19" t="s">
        <v>444</v>
      </c>
      <c r="N19" t="s">
        <v>445</v>
      </c>
      <c r="Q19" t="s">
        <v>341</v>
      </c>
      <c r="R19" t="s">
        <v>446</v>
      </c>
      <c r="S19" t="s">
        <v>445</v>
      </c>
      <c r="T19" t="s">
        <v>449</v>
      </c>
      <c r="V19" t="s">
        <v>31</v>
      </c>
      <c r="W19" t="s">
        <v>64</v>
      </c>
      <c r="X19">
        <v>12</v>
      </c>
      <c r="Y19" t="s">
        <v>409</v>
      </c>
      <c r="Z19" t="s">
        <v>343</v>
      </c>
      <c r="AA19">
        <v>4</v>
      </c>
      <c r="AB19">
        <v>4</v>
      </c>
      <c r="AC19">
        <v>4</v>
      </c>
      <c r="AD19">
        <v>1</v>
      </c>
      <c r="AE19">
        <v>1.5</v>
      </c>
      <c r="AF19">
        <v>1.5</v>
      </c>
      <c r="AG19">
        <v>15</v>
      </c>
      <c r="AH19">
        <v>0.83330000000000004</v>
      </c>
      <c r="AI19">
        <v>0.83330000000000004</v>
      </c>
      <c r="AJ19">
        <v>48</v>
      </c>
      <c r="AK19">
        <v>1.5</v>
      </c>
      <c r="AL19">
        <v>3.125</v>
      </c>
      <c r="AM19" t="s">
        <v>451</v>
      </c>
      <c r="AN19">
        <v>0.83330000000000004</v>
      </c>
      <c r="AO19">
        <v>0.83330000000000004</v>
      </c>
      <c r="AP19" t="s">
        <v>452</v>
      </c>
      <c r="AQ19" t="s">
        <v>31</v>
      </c>
      <c r="AR19" t="s">
        <v>31</v>
      </c>
      <c r="AS19" t="s">
        <v>31</v>
      </c>
      <c r="AT19" t="s">
        <v>412</v>
      </c>
      <c r="AU19">
        <v>383.48020000000002</v>
      </c>
      <c r="AV19">
        <v>32</v>
      </c>
      <c r="AW19">
        <v>11.983756</v>
      </c>
      <c r="AX19" t="s">
        <v>412</v>
      </c>
      <c r="AY19">
        <v>95.781199999999998</v>
      </c>
      <c r="AZ19">
        <v>1</v>
      </c>
      <c r="BA19">
        <v>95.781199999999998</v>
      </c>
      <c r="BB19" t="s">
        <v>118</v>
      </c>
      <c r="BC19">
        <v>-1</v>
      </c>
      <c r="BI19" t="s">
        <v>324</v>
      </c>
    </row>
    <row r="20" spans="1:62" x14ac:dyDescent="0.2">
      <c r="A20" t="s">
        <v>443</v>
      </c>
      <c r="B20">
        <v>2024</v>
      </c>
      <c r="C20">
        <v>1</v>
      </c>
      <c r="D20" t="s">
        <v>453</v>
      </c>
      <c r="E20" t="s">
        <v>454</v>
      </c>
      <c r="F20" t="s">
        <v>339</v>
      </c>
      <c r="H20" t="s">
        <v>339</v>
      </c>
      <c r="I20" t="s">
        <v>340</v>
      </c>
      <c r="J20">
        <v>4897</v>
      </c>
      <c r="K20">
        <v>4875</v>
      </c>
      <c r="L20" s="1">
        <v>45474.501493055555</v>
      </c>
      <c r="M20" t="s">
        <v>444</v>
      </c>
      <c r="N20" t="s">
        <v>445</v>
      </c>
      <c r="Q20" t="s">
        <v>341</v>
      </c>
      <c r="R20" t="s">
        <v>446</v>
      </c>
      <c r="S20" t="s">
        <v>445</v>
      </c>
      <c r="T20" t="s">
        <v>449</v>
      </c>
      <c r="V20" t="s">
        <v>31</v>
      </c>
      <c r="W20" t="s">
        <v>376</v>
      </c>
      <c r="X20">
        <v>17</v>
      </c>
      <c r="Y20" t="s">
        <v>404</v>
      </c>
      <c r="Z20" t="s">
        <v>374</v>
      </c>
      <c r="AA20">
        <v>4</v>
      </c>
      <c r="AB20">
        <v>4</v>
      </c>
      <c r="AC20">
        <v>4</v>
      </c>
      <c r="AD20">
        <v>1</v>
      </c>
      <c r="AE20">
        <v>15</v>
      </c>
      <c r="AF20">
        <v>15</v>
      </c>
      <c r="AG20">
        <v>15</v>
      </c>
      <c r="AH20">
        <v>7.5</v>
      </c>
      <c r="AI20">
        <v>7.5</v>
      </c>
      <c r="AJ20">
        <v>48</v>
      </c>
      <c r="AK20">
        <v>15</v>
      </c>
      <c r="AL20">
        <v>31.25</v>
      </c>
      <c r="AM20" t="s">
        <v>417</v>
      </c>
      <c r="AN20">
        <v>7.5</v>
      </c>
      <c r="AO20">
        <v>7.5</v>
      </c>
      <c r="AP20" t="s">
        <v>418</v>
      </c>
      <c r="AQ20" t="s">
        <v>31</v>
      </c>
      <c r="AR20" t="s">
        <v>31</v>
      </c>
      <c r="AS20" t="s">
        <v>31</v>
      </c>
      <c r="AT20" t="s">
        <v>412</v>
      </c>
      <c r="AU20">
        <v>383.48020000000002</v>
      </c>
      <c r="AV20">
        <v>32</v>
      </c>
      <c r="AW20">
        <v>11.983756</v>
      </c>
      <c r="AX20" t="s">
        <v>412</v>
      </c>
      <c r="AY20">
        <v>95.781199999999998</v>
      </c>
      <c r="AZ20">
        <v>1</v>
      </c>
      <c r="BA20">
        <v>95.781199999999998</v>
      </c>
      <c r="BB20" t="s">
        <v>118</v>
      </c>
      <c r="BC20">
        <v>-1</v>
      </c>
    </row>
    <row r="22" spans="1:62" x14ac:dyDescent="0.2">
      <c r="AL22">
        <f>AA15/AC15*AH15</f>
        <v>3.75</v>
      </c>
    </row>
    <row r="29" spans="1:62" x14ac:dyDescent="0.2">
      <c r="BH29" s="26" t="s">
        <v>109</v>
      </c>
      <c r="BI29" t="s">
        <v>162</v>
      </c>
    </row>
    <row r="30" spans="1:62" x14ac:dyDescent="0.2">
      <c r="BJ30" t="s">
        <v>306</v>
      </c>
    </row>
    <row r="31" spans="1:62" x14ac:dyDescent="0.2">
      <c r="BJ31" t="s">
        <v>307</v>
      </c>
    </row>
    <row r="32" spans="1:62" x14ac:dyDescent="0.2">
      <c r="BJ32" t="s">
        <v>308</v>
      </c>
    </row>
    <row r="33" spans="1:84" x14ac:dyDescent="0.2">
      <c r="BJ33" t="s">
        <v>309</v>
      </c>
    </row>
    <row r="34" spans="1:84" x14ac:dyDescent="0.2">
      <c r="BJ34" t="s">
        <v>303</v>
      </c>
    </row>
    <row r="35" spans="1:84" x14ac:dyDescent="0.2">
      <c r="BI35" t="s">
        <v>310</v>
      </c>
    </row>
    <row r="38" spans="1:84" x14ac:dyDescent="0.2">
      <c r="BI38" s="7" t="s">
        <v>311</v>
      </c>
      <c r="BZ38">
        <f>CE42/CF42</f>
        <v>72.5</v>
      </c>
      <c r="CA38" s="7" t="s">
        <v>329</v>
      </c>
    </row>
    <row r="40" spans="1:84" x14ac:dyDescent="0.2">
      <c r="A40" t="s">
        <v>2</v>
      </c>
      <c r="B40" t="s">
        <v>3</v>
      </c>
      <c r="C40" t="s">
        <v>4</v>
      </c>
      <c r="D40" t="s">
        <v>101</v>
      </c>
      <c r="E40" t="s">
        <v>102</v>
      </c>
      <c r="F40" t="s">
        <v>0</v>
      </c>
      <c r="G40" t="s">
        <v>1</v>
      </c>
      <c r="H40" t="s">
        <v>41</v>
      </c>
      <c r="I40" t="s">
        <v>5</v>
      </c>
      <c r="J40" t="s">
        <v>6</v>
      </c>
      <c r="K40" t="s">
        <v>7</v>
      </c>
      <c r="L40" t="s">
        <v>8</v>
      </c>
      <c r="M40" t="s">
        <v>9</v>
      </c>
      <c r="N40" t="s">
        <v>10</v>
      </c>
      <c r="O40" t="s">
        <v>11</v>
      </c>
      <c r="P40" t="s">
        <v>12</v>
      </c>
      <c r="Q40" t="s">
        <v>13</v>
      </c>
      <c r="R40" t="s">
        <v>14</v>
      </c>
      <c r="S40" t="s">
        <v>15</v>
      </c>
      <c r="T40" t="s">
        <v>16</v>
      </c>
      <c r="U40" t="s">
        <v>103</v>
      </c>
      <c r="V40" t="s">
        <v>21</v>
      </c>
      <c r="W40" t="s">
        <v>67</v>
      </c>
      <c r="X40" t="s">
        <v>22</v>
      </c>
      <c r="Y40" t="s">
        <v>104</v>
      </c>
      <c r="Z40" t="s">
        <v>23</v>
      </c>
      <c r="AA40" t="s">
        <v>24</v>
      </c>
      <c r="AB40" t="s">
        <v>25</v>
      </c>
      <c r="AC40" t="s">
        <v>44</v>
      </c>
      <c r="AD40" t="s">
        <v>65</v>
      </c>
      <c r="AE40" t="s">
        <v>79</v>
      </c>
      <c r="AF40" t="s">
        <v>78</v>
      </c>
      <c r="AG40" t="s">
        <v>68</v>
      </c>
      <c r="AH40" t="s">
        <v>75</v>
      </c>
      <c r="AI40" s="24" t="s">
        <v>74</v>
      </c>
      <c r="AJ40" t="s">
        <v>76</v>
      </c>
      <c r="AK40" t="s">
        <v>87</v>
      </c>
      <c r="AL40" t="s">
        <v>88</v>
      </c>
      <c r="AM40" t="s">
        <v>89</v>
      </c>
      <c r="AN40" t="s">
        <v>90</v>
      </c>
      <c r="AO40" t="s">
        <v>91</v>
      </c>
      <c r="AP40" t="s">
        <v>92</v>
      </c>
      <c r="AQ40" t="s">
        <v>93</v>
      </c>
      <c r="AR40" t="s">
        <v>94</v>
      </c>
      <c r="AS40" t="s">
        <v>95</v>
      </c>
      <c r="AT40" s="4" t="s">
        <v>105</v>
      </c>
      <c r="AU40" t="s">
        <v>106</v>
      </c>
      <c r="AV40" t="s">
        <v>107</v>
      </c>
      <c r="AW40" t="s">
        <v>108</v>
      </c>
      <c r="AX40" s="26" t="s">
        <v>109</v>
      </c>
      <c r="AY40" t="s">
        <v>110</v>
      </c>
      <c r="AZ40" t="s">
        <v>111</v>
      </c>
      <c r="BA40" t="s">
        <v>112</v>
      </c>
      <c r="BB40" s="2" t="s">
        <v>113</v>
      </c>
      <c r="BC40" t="s">
        <v>114</v>
      </c>
    </row>
    <row r="41" spans="1:84" x14ac:dyDescent="0.2">
      <c r="A41" t="s">
        <v>378</v>
      </c>
      <c r="B41">
        <v>1999</v>
      </c>
      <c r="C41">
        <v>1</v>
      </c>
      <c r="D41" t="s">
        <v>402</v>
      </c>
      <c r="E41" t="s">
        <v>398</v>
      </c>
      <c r="F41" t="s">
        <v>379</v>
      </c>
      <c r="H41" t="s">
        <v>379</v>
      </c>
      <c r="I41" t="s">
        <v>380</v>
      </c>
      <c r="J41">
        <v>6</v>
      </c>
      <c r="K41">
        <v>156</v>
      </c>
      <c r="L41" s="1">
        <v>45646.45208333333</v>
      </c>
      <c r="M41" t="s">
        <v>381</v>
      </c>
      <c r="N41" t="s">
        <v>382</v>
      </c>
      <c r="S41" t="s">
        <v>31</v>
      </c>
      <c r="T41" t="s">
        <v>383</v>
      </c>
      <c r="U41" t="s">
        <v>384</v>
      </c>
      <c r="V41" t="s">
        <v>31</v>
      </c>
      <c r="W41" t="s">
        <v>61</v>
      </c>
      <c r="X41">
        <v>1</v>
      </c>
      <c r="Y41" t="s">
        <v>117</v>
      </c>
      <c r="Z41" t="s">
        <v>385</v>
      </c>
      <c r="AA41">
        <v>4</v>
      </c>
      <c r="AB41">
        <v>4</v>
      </c>
      <c r="AC41">
        <v>4</v>
      </c>
      <c r="AD41">
        <v>1</v>
      </c>
      <c r="AE41">
        <v>10</v>
      </c>
      <c r="AF41">
        <v>10</v>
      </c>
      <c r="AG41">
        <v>10</v>
      </c>
      <c r="AH41">
        <v>10</v>
      </c>
      <c r="AI41">
        <v>14.2857</v>
      </c>
      <c r="AJ41">
        <v>70</v>
      </c>
      <c r="AK41">
        <v>10</v>
      </c>
      <c r="AL41">
        <v>14.2857</v>
      </c>
      <c r="AM41" t="s">
        <v>395</v>
      </c>
      <c r="AN41" t="s">
        <v>31</v>
      </c>
      <c r="AO41" t="s">
        <v>31</v>
      </c>
      <c r="AP41" t="s">
        <v>31</v>
      </c>
      <c r="AQ41" t="s">
        <v>31</v>
      </c>
      <c r="AR41" t="s">
        <v>31</v>
      </c>
      <c r="AS41" t="s">
        <v>31</v>
      </c>
      <c r="AT41" t="s">
        <v>118</v>
      </c>
      <c r="AU41">
        <v>100</v>
      </c>
      <c r="AV41">
        <v>1</v>
      </c>
      <c r="AW41">
        <v>100</v>
      </c>
      <c r="AX41" t="s">
        <v>118</v>
      </c>
      <c r="AY41">
        <v>70</v>
      </c>
      <c r="AZ41">
        <v>1</v>
      </c>
      <c r="BA41">
        <v>70</v>
      </c>
      <c r="BB41" t="s">
        <v>119</v>
      </c>
      <c r="BC41">
        <v>-26</v>
      </c>
      <c r="BI41" s="7" t="s">
        <v>315</v>
      </c>
      <c r="BJ41" t="s">
        <v>312</v>
      </c>
      <c r="BZ41" t="s">
        <v>328</v>
      </c>
      <c r="CA41" t="s">
        <v>3</v>
      </c>
      <c r="CB41" t="s">
        <v>0</v>
      </c>
      <c r="CC41" t="s">
        <v>1</v>
      </c>
      <c r="CD41" t="s">
        <v>16</v>
      </c>
      <c r="CE41" t="s">
        <v>106</v>
      </c>
      <c r="CF41" t="s">
        <v>107</v>
      </c>
    </row>
    <row r="42" spans="1:84" x14ac:dyDescent="0.2">
      <c r="A42" t="s">
        <v>378</v>
      </c>
      <c r="B42">
        <v>1999</v>
      </c>
      <c r="C42">
        <v>1</v>
      </c>
      <c r="D42" t="s">
        <v>402</v>
      </c>
      <c r="E42" t="s">
        <v>398</v>
      </c>
      <c r="F42" t="s">
        <v>379</v>
      </c>
      <c r="H42" t="s">
        <v>379</v>
      </c>
      <c r="I42" t="s">
        <v>380</v>
      </c>
      <c r="J42">
        <v>6</v>
      </c>
      <c r="K42">
        <v>156</v>
      </c>
      <c r="L42" s="1">
        <v>45646.45208333333</v>
      </c>
      <c r="M42" t="s">
        <v>381</v>
      </c>
      <c r="N42" t="s">
        <v>382</v>
      </c>
      <c r="S42" t="s">
        <v>31</v>
      </c>
      <c r="T42" t="s">
        <v>383</v>
      </c>
      <c r="U42" t="s">
        <v>384</v>
      </c>
      <c r="V42" t="s">
        <v>31</v>
      </c>
      <c r="W42" t="s">
        <v>61</v>
      </c>
      <c r="X42">
        <v>2</v>
      </c>
      <c r="Y42" t="s">
        <v>120</v>
      </c>
      <c r="Z42" t="s">
        <v>390</v>
      </c>
      <c r="AA42">
        <v>4</v>
      </c>
      <c r="AB42">
        <v>4</v>
      </c>
      <c r="AC42">
        <v>4</v>
      </c>
      <c r="AD42">
        <v>1</v>
      </c>
      <c r="AE42">
        <v>10</v>
      </c>
      <c r="AF42">
        <v>10</v>
      </c>
      <c r="AG42">
        <v>10</v>
      </c>
      <c r="AH42">
        <v>10</v>
      </c>
      <c r="AI42">
        <v>14.2857</v>
      </c>
      <c r="AJ42">
        <v>70</v>
      </c>
      <c r="AK42">
        <v>10</v>
      </c>
      <c r="AL42">
        <v>14.2857</v>
      </c>
      <c r="AM42" t="s">
        <v>395</v>
      </c>
      <c r="AN42" t="s">
        <v>31</v>
      </c>
      <c r="AO42" t="s">
        <v>31</v>
      </c>
      <c r="AP42" t="s">
        <v>31</v>
      </c>
      <c r="AQ42" t="s">
        <v>31</v>
      </c>
      <c r="AR42" t="s">
        <v>31</v>
      </c>
      <c r="AS42" t="s">
        <v>31</v>
      </c>
      <c r="AT42" t="s">
        <v>118</v>
      </c>
      <c r="AU42">
        <v>100</v>
      </c>
      <c r="AV42">
        <v>1</v>
      </c>
      <c r="AW42">
        <v>100</v>
      </c>
      <c r="AX42" t="s">
        <v>118</v>
      </c>
      <c r="AY42">
        <v>70</v>
      </c>
      <c r="AZ42">
        <v>1</v>
      </c>
      <c r="BA42">
        <v>70</v>
      </c>
      <c r="BB42" t="s">
        <v>119</v>
      </c>
      <c r="BC42">
        <v>-26</v>
      </c>
      <c r="BJ42" t="s">
        <v>313</v>
      </c>
      <c r="CA42">
        <v>2021</v>
      </c>
      <c r="CB42" t="s">
        <v>26</v>
      </c>
      <c r="CD42" t="s">
        <v>32</v>
      </c>
      <c r="CE42">
        <v>290</v>
      </c>
      <c r="CF42">
        <v>4</v>
      </c>
    </row>
    <row r="43" spans="1:84" x14ac:dyDescent="0.2">
      <c r="A43" t="s">
        <v>378</v>
      </c>
      <c r="B43">
        <v>1999</v>
      </c>
      <c r="C43">
        <v>1</v>
      </c>
      <c r="D43" t="s">
        <v>402</v>
      </c>
      <c r="E43" t="s">
        <v>398</v>
      </c>
      <c r="F43" t="s">
        <v>379</v>
      </c>
      <c r="H43" t="s">
        <v>379</v>
      </c>
      <c r="I43" t="s">
        <v>380</v>
      </c>
      <c r="J43">
        <v>6</v>
      </c>
      <c r="K43">
        <v>156</v>
      </c>
      <c r="L43" s="1">
        <v>45646.45208333333</v>
      </c>
      <c r="M43" t="s">
        <v>381</v>
      </c>
      <c r="N43" t="s">
        <v>382</v>
      </c>
      <c r="S43" t="s">
        <v>31</v>
      </c>
      <c r="T43" t="s">
        <v>383</v>
      </c>
      <c r="U43" t="s">
        <v>384</v>
      </c>
      <c r="V43" t="s">
        <v>31</v>
      </c>
      <c r="W43" t="s">
        <v>61</v>
      </c>
      <c r="X43">
        <v>3</v>
      </c>
      <c r="Y43" t="s">
        <v>122</v>
      </c>
      <c r="Z43" t="s">
        <v>388</v>
      </c>
      <c r="AA43">
        <v>4</v>
      </c>
      <c r="AB43">
        <v>4</v>
      </c>
      <c r="AC43">
        <v>4</v>
      </c>
      <c r="AD43">
        <v>1</v>
      </c>
      <c r="AE43">
        <v>10</v>
      </c>
      <c r="AF43">
        <v>10</v>
      </c>
      <c r="AG43">
        <v>10</v>
      </c>
      <c r="AH43">
        <v>10</v>
      </c>
      <c r="AI43">
        <v>14.2857</v>
      </c>
      <c r="AJ43">
        <v>70</v>
      </c>
      <c r="AK43">
        <v>10</v>
      </c>
      <c r="AL43">
        <v>14.2857</v>
      </c>
      <c r="AM43" t="s">
        <v>395</v>
      </c>
      <c r="AN43" t="s">
        <v>31</v>
      </c>
      <c r="AO43" t="s">
        <v>31</v>
      </c>
      <c r="AP43" t="s">
        <v>31</v>
      </c>
      <c r="AQ43" t="s">
        <v>31</v>
      </c>
      <c r="AR43" t="s">
        <v>31</v>
      </c>
      <c r="AS43" t="s">
        <v>31</v>
      </c>
      <c r="AT43" t="s">
        <v>118</v>
      </c>
      <c r="AU43">
        <v>100</v>
      </c>
      <c r="AV43">
        <v>1</v>
      </c>
      <c r="AW43">
        <v>100</v>
      </c>
      <c r="AX43" t="s">
        <v>118</v>
      </c>
      <c r="AY43">
        <v>70</v>
      </c>
      <c r="AZ43">
        <v>1</v>
      </c>
      <c r="BA43">
        <v>70</v>
      </c>
      <c r="BB43" t="s">
        <v>119</v>
      </c>
      <c r="BC43">
        <v>-26</v>
      </c>
      <c r="BJ43" t="s">
        <v>314</v>
      </c>
    </row>
    <row r="44" spans="1:84" x14ac:dyDescent="0.2">
      <c r="A44" t="s">
        <v>378</v>
      </c>
      <c r="B44">
        <v>1999</v>
      </c>
      <c r="C44">
        <v>1</v>
      </c>
      <c r="D44" t="s">
        <v>402</v>
      </c>
      <c r="E44" t="s">
        <v>398</v>
      </c>
      <c r="F44" t="s">
        <v>379</v>
      </c>
      <c r="H44" t="s">
        <v>379</v>
      </c>
      <c r="I44" t="s">
        <v>380</v>
      </c>
      <c r="J44">
        <v>6</v>
      </c>
      <c r="K44">
        <v>156</v>
      </c>
      <c r="L44" s="1">
        <v>45646.45208333333</v>
      </c>
      <c r="M44" t="s">
        <v>381</v>
      </c>
      <c r="N44" t="s">
        <v>382</v>
      </c>
      <c r="S44" t="s">
        <v>31</v>
      </c>
      <c r="T44" t="s">
        <v>383</v>
      </c>
      <c r="U44" t="s">
        <v>384</v>
      </c>
      <c r="V44" t="s">
        <v>31</v>
      </c>
      <c r="W44" t="s">
        <v>63</v>
      </c>
      <c r="X44">
        <v>4</v>
      </c>
      <c r="Y44" t="s">
        <v>121</v>
      </c>
      <c r="Z44" t="s">
        <v>387</v>
      </c>
      <c r="AA44">
        <v>4</v>
      </c>
      <c r="AB44">
        <v>4</v>
      </c>
      <c r="AC44">
        <v>4</v>
      </c>
      <c r="AD44">
        <v>1</v>
      </c>
      <c r="AE44">
        <v>10</v>
      </c>
      <c r="AF44">
        <v>10</v>
      </c>
      <c r="AG44">
        <v>10</v>
      </c>
      <c r="AH44">
        <v>10</v>
      </c>
      <c r="AI44">
        <v>14.2857</v>
      </c>
      <c r="AJ44">
        <v>70</v>
      </c>
      <c r="AK44">
        <v>10</v>
      </c>
      <c r="AL44">
        <v>14.2857</v>
      </c>
      <c r="AM44" t="s">
        <v>395</v>
      </c>
      <c r="AN44" t="s">
        <v>31</v>
      </c>
      <c r="AO44" t="s">
        <v>31</v>
      </c>
      <c r="AP44" t="s">
        <v>31</v>
      </c>
      <c r="AQ44" t="s">
        <v>31</v>
      </c>
      <c r="AR44" t="s">
        <v>31</v>
      </c>
      <c r="AS44" t="s">
        <v>31</v>
      </c>
      <c r="AT44" t="s">
        <v>118</v>
      </c>
      <c r="AU44">
        <v>100</v>
      </c>
      <c r="AV44">
        <v>1</v>
      </c>
      <c r="AW44">
        <v>100</v>
      </c>
      <c r="AX44" t="s">
        <v>118</v>
      </c>
      <c r="AY44">
        <v>70</v>
      </c>
      <c r="AZ44">
        <v>1</v>
      </c>
      <c r="BA44">
        <v>70</v>
      </c>
      <c r="BB44" t="s">
        <v>119</v>
      </c>
      <c r="BC44">
        <v>-26</v>
      </c>
    </row>
    <row r="45" spans="1:84" x14ac:dyDescent="0.2">
      <c r="A45" t="s">
        <v>378</v>
      </c>
      <c r="B45">
        <v>1999</v>
      </c>
      <c r="C45">
        <v>1</v>
      </c>
      <c r="D45" t="s">
        <v>402</v>
      </c>
      <c r="E45" t="s">
        <v>398</v>
      </c>
      <c r="F45" t="s">
        <v>379</v>
      </c>
      <c r="H45" t="s">
        <v>379</v>
      </c>
      <c r="I45" t="s">
        <v>380</v>
      </c>
      <c r="J45">
        <v>6</v>
      </c>
      <c r="K45">
        <v>156</v>
      </c>
      <c r="L45" s="1">
        <v>45646.45208333333</v>
      </c>
      <c r="M45" t="s">
        <v>381</v>
      </c>
      <c r="N45" t="s">
        <v>382</v>
      </c>
      <c r="S45" t="s">
        <v>31</v>
      </c>
      <c r="T45" t="s">
        <v>383</v>
      </c>
      <c r="U45" t="s">
        <v>384</v>
      </c>
      <c r="V45" t="s">
        <v>31</v>
      </c>
      <c r="W45" t="s">
        <v>63</v>
      </c>
      <c r="X45">
        <v>5</v>
      </c>
      <c r="Y45" t="s">
        <v>125</v>
      </c>
      <c r="Z45" t="s">
        <v>392</v>
      </c>
      <c r="AA45">
        <v>4</v>
      </c>
      <c r="AB45">
        <v>4</v>
      </c>
      <c r="AC45">
        <v>4</v>
      </c>
      <c r="AD45">
        <v>1</v>
      </c>
      <c r="AE45">
        <v>15</v>
      </c>
      <c r="AF45">
        <v>15</v>
      </c>
      <c r="AG45">
        <v>15</v>
      </c>
      <c r="AH45">
        <v>15</v>
      </c>
      <c r="AI45">
        <v>21.428599999999999</v>
      </c>
      <c r="AJ45">
        <v>70</v>
      </c>
      <c r="AK45">
        <v>15</v>
      </c>
      <c r="AL45">
        <v>21.428599999999999</v>
      </c>
      <c r="AM45" t="s">
        <v>396</v>
      </c>
      <c r="AN45" t="s">
        <v>31</v>
      </c>
      <c r="AO45" t="s">
        <v>31</v>
      </c>
      <c r="AP45" t="s">
        <v>31</v>
      </c>
      <c r="AQ45" t="s">
        <v>31</v>
      </c>
      <c r="AR45" t="s">
        <v>31</v>
      </c>
      <c r="AS45" t="s">
        <v>31</v>
      </c>
      <c r="AT45" t="s">
        <v>118</v>
      </c>
      <c r="AU45">
        <v>100</v>
      </c>
      <c r="AV45">
        <v>1</v>
      </c>
      <c r="AW45">
        <v>100</v>
      </c>
      <c r="AX45" t="s">
        <v>118</v>
      </c>
      <c r="AY45">
        <v>70</v>
      </c>
      <c r="AZ45">
        <v>1</v>
      </c>
      <c r="BA45">
        <v>70</v>
      </c>
      <c r="BB45" t="s">
        <v>119</v>
      </c>
      <c r="BC45">
        <v>-26</v>
      </c>
      <c r="BI45" s="7" t="s">
        <v>259</v>
      </c>
      <c r="BJ45" t="s">
        <v>316</v>
      </c>
    </row>
    <row r="46" spans="1:84" x14ac:dyDescent="0.2">
      <c r="A46" t="s">
        <v>378</v>
      </c>
      <c r="B46">
        <v>1999</v>
      </c>
      <c r="C46">
        <v>1</v>
      </c>
      <c r="D46" t="s">
        <v>402</v>
      </c>
      <c r="E46" t="s">
        <v>398</v>
      </c>
      <c r="F46" t="s">
        <v>379</v>
      </c>
      <c r="H46" t="s">
        <v>379</v>
      </c>
      <c r="I46" t="s">
        <v>380</v>
      </c>
      <c r="J46">
        <v>6</v>
      </c>
      <c r="K46">
        <v>156</v>
      </c>
      <c r="L46" s="1">
        <v>45646.45208333333</v>
      </c>
      <c r="M46" t="s">
        <v>381</v>
      </c>
      <c r="N46" t="s">
        <v>382</v>
      </c>
      <c r="S46" t="s">
        <v>31</v>
      </c>
      <c r="T46" t="s">
        <v>383</v>
      </c>
      <c r="U46" t="s">
        <v>384</v>
      </c>
      <c r="V46" t="s">
        <v>31</v>
      </c>
      <c r="W46" t="s">
        <v>62</v>
      </c>
      <c r="X46">
        <v>7</v>
      </c>
      <c r="Y46" t="s">
        <v>123</v>
      </c>
      <c r="Z46" t="s">
        <v>394</v>
      </c>
      <c r="AA46">
        <v>4</v>
      </c>
      <c r="AB46">
        <v>4</v>
      </c>
      <c r="AC46">
        <v>4</v>
      </c>
      <c r="AD46">
        <v>1</v>
      </c>
      <c r="AE46">
        <v>10</v>
      </c>
      <c r="AF46">
        <v>10</v>
      </c>
      <c r="AG46">
        <v>10</v>
      </c>
      <c r="AH46">
        <v>10</v>
      </c>
      <c r="AI46">
        <v>14.2857</v>
      </c>
      <c r="AJ46">
        <v>70</v>
      </c>
      <c r="AK46">
        <v>10</v>
      </c>
      <c r="AL46">
        <v>14.2857</v>
      </c>
      <c r="AM46" t="s">
        <v>395</v>
      </c>
      <c r="AN46" t="s">
        <v>31</v>
      </c>
      <c r="AO46" t="s">
        <v>31</v>
      </c>
      <c r="AP46" t="s">
        <v>31</v>
      </c>
      <c r="AQ46" t="s">
        <v>31</v>
      </c>
      <c r="AR46" t="s">
        <v>31</v>
      </c>
      <c r="AS46" t="s">
        <v>31</v>
      </c>
      <c r="AT46" t="s">
        <v>118</v>
      </c>
      <c r="AU46">
        <v>100</v>
      </c>
      <c r="AV46">
        <v>1</v>
      </c>
      <c r="AW46">
        <v>100</v>
      </c>
      <c r="AX46" t="s">
        <v>118</v>
      </c>
      <c r="AY46">
        <v>70</v>
      </c>
      <c r="AZ46">
        <v>1</v>
      </c>
      <c r="BA46">
        <v>70</v>
      </c>
      <c r="BB46" t="s">
        <v>119</v>
      </c>
      <c r="BC46">
        <v>-26</v>
      </c>
      <c r="BL46" t="s">
        <v>317</v>
      </c>
    </row>
    <row r="47" spans="1:84" x14ac:dyDescent="0.2">
      <c r="A47" t="s">
        <v>378</v>
      </c>
      <c r="B47">
        <v>1999</v>
      </c>
      <c r="C47">
        <v>1</v>
      </c>
      <c r="D47" t="s">
        <v>402</v>
      </c>
      <c r="E47" t="s">
        <v>398</v>
      </c>
      <c r="F47" t="s">
        <v>379</v>
      </c>
      <c r="H47" t="s">
        <v>379</v>
      </c>
      <c r="I47" t="s">
        <v>380</v>
      </c>
      <c r="J47">
        <v>6</v>
      </c>
      <c r="K47">
        <v>156</v>
      </c>
      <c r="L47" s="1">
        <v>45646.45208333333</v>
      </c>
      <c r="M47" t="s">
        <v>381</v>
      </c>
      <c r="N47" t="s">
        <v>382</v>
      </c>
      <c r="S47" t="s">
        <v>31</v>
      </c>
      <c r="T47" t="s">
        <v>383</v>
      </c>
      <c r="U47" t="s">
        <v>384</v>
      </c>
      <c r="V47" t="s">
        <v>31</v>
      </c>
      <c r="W47" t="s">
        <v>64</v>
      </c>
      <c r="X47">
        <v>9</v>
      </c>
      <c r="Y47" t="s">
        <v>399</v>
      </c>
      <c r="Z47" t="s">
        <v>386</v>
      </c>
      <c r="AA47">
        <v>4</v>
      </c>
      <c r="AB47">
        <v>4</v>
      </c>
      <c r="AC47">
        <v>4</v>
      </c>
      <c r="AD47">
        <v>1</v>
      </c>
      <c r="AE47">
        <v>5</v>
      </c>
      <c r="AF47">
        <v>5</v>
      </c>
      <c r="AG47">
        <v>5</v>
      </c>
      <c r="AH47">
        <v>5</v>
      </c>
      <c r="AI47">
        <v>7.1429</v>
      </c>
      <c r="AJ47">
        <v>70</v>
      </c>
      <c r="AK47">
        <v>5</v>
      </c>
      <c r="AL47">
        <v>7.1429</v>
      </c>
      <c r="AM47" t="s">
        <v>397</v>
      </c>
      <c r="AN47" t="s">
        <v>31</v>
      </c>
      <c r="AO47" t="s">
        <v>31</v>
      </c>
      <c r="AP47" t="s">
        <v>31</v>
      </c>
      <c r="AQ47" t="s">
        <v>31</v>
      </c>
      <c r="AR47" t="s">
        <v>31</v>
      </c>
      <c r="AS47" t="s">
        <v>31</v>
      </c>
      <c r="AT47" t="s">
        <v>118</v>
      </c>
      <c r="AU47">
        <v>100</v>
      </c>
      <c r="AV47">
        <v>1</v>
      </c>
      <c r="AW47">
        <v>100</v>
      </c>
      <c r="AX47" t="s">
        <v>118</v>
      </c>
      <c r="AY47">
        <v>70</v>
      </c>
      <c r="AZ47">
        <v>1</v>
      </c>
      <c r="BA47">
        <v>70</v>
      </c>
      <c r="BB47" t="s">
        <v>119</v>
      </c>
      <c r="BC47">
        <v>-26</v>
      </c>
      <c r="BN47" t="s">
        <v>318</v>
      </c>
    </row>
    <row r="48" spans="1:84" x14ac:dyDescent="0.2">
      <c r="BN48" t="s">
        <v>319</v>
      </c>
    </row>
    <row r="49" spans="60:66" x14ac:dyDescent="0.2">
      <c r="BN49" t="s">
        <v>320</v>
      </c>
    </row>
    <row r="50" spans="60:66" x14ac:dyDescent="0.2">
      <c r="BN50" t="s">
        <v>321</v>
      </c>
    </row>
    <row r="51" spans="60:66" x14ac:dyDescent="0.2">
      <c r="BN51" t="s">
        <v>322</v>
      </c>
    </row>
    <row r="52" spans="60:66" x14ac:dyDescent="0.2">
      <c r="BL52" t="s">
        <v>323</v>
      </c>
    </row>
    <row r="53" spans="60:66" x14ac:dyDescent="0.2">
      <c r="BJ53" t="s">
        <v>324</v>
      </c>
    </row>
    <row r="54" spans="60:66" x14ac:dyDescent="0.2">
      <c r="BJ54" t="s">
        <v>314</v>
      </c>
    </row>
    <row r="55" spans="60:66" x14ac:dyDescent="0.2">
      <c r="BJ55" t="s">
        <v>325</v>
      </c>
    </row>
    <row r="56" spans="60:66" x14ac:dyDescent="0.2">
      <c r="BL56" t="s">
        <v>326</v>
      </c>
    </row>
    <row r="57" spans="60:66" x14ac:dyDescent="0.2">
      <c r="BL57" t="s">
        <v>327</v>
      </c>
    </row>
    <row r="63" spans="60:66" x14ac:dyDescent="0.2">
      <c r="BH63" s="2" t="s">
        <v>113</v>
      </c>
      <c r="BI63" t="s">
        <v>330</v>
      </c>
    </row>
    <row r="64" spans="60:66" x14ac:dyDescent="0.2">
      <c r="BI64" t="s">
        <v>331</v>
      </c>
    </row>
    <row r="65" spans="61:61" x14ac:dyDescent="0.2">
      <c r="BI65" t="s">
        <v>332</v>
      </c>
    </row>
    <row r="66" spans="61:61" x14ac:dyDescent="0.2">
      <c r="BI66" t="s">
        <v>333</v>
      </c>
    </row>
    <row r="67" spans="61:61" x14ac:dyDescent="0.2">
      <c r="BI67" t="s">
        <v>334</v>
      </c>
    </row>
    <row r="68" spans="61:61" x14ac:dyDescent="0.2">
      <c r="BI68" t="s">
        <v>335</v>
      </c>
    </row>
    <row r="69" spans="61:61" x14ac:dyDescent="0.2">
      <c r="BI69" t="s">
        <v>336</v>
      </c>
    </row>
    <row r="70" spans="61:61" x14ac:dyDescent="0.2">
      <c r="BI70" t="s">
        <v>337</v>
      </c>
    </row>
    <row r="73" spans="61:61" x14ac:dyDescent="0.2">
      <c r="BI73" s="7" t="s">
        <v>338</v>
      </c>
    </row>
  </sheetData>
  <pageMargins left="0.7" right="0.7" top="0.75" bottom="0.75" header="0.3" footer="0.3"/>
  <headerFooter>
    <oddFooter>&amp;C_x000D_&amp;1#&amp;"Calibri"&amp;9&amp;K000000 Classified - Internal Use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01EB2-3E6E-46B5-9A43-C66E360B8ACE}">
  <dimension ref="A1:AJ71"/>
  <sheetViews>
    <sheetView zoomScale="55" zoomScaleNormal="55" workbookViewId="0">
      <selection activeCell="AD44" sqref="AD44:AD50"/>
    </sheetView>
  </sheetViews>
  <sheetFormatPr defaultRowHeight="15" x14ac:dyDescent="0.2"/>
  <cols>
    <col min="22" max="22" width="14.2578125" bestFit="1" customWidth="1"/>
    <col min="23" max="23" width="18.83203125" bestFit="1" customWidth="1"/>
    <col min="24" max="24" width="9.68359375" bestFit="1" customWidth="1"/>
    <col min="25" max="25" width="10.76171875" bestFit="1" customWidth="1"/>
    <col min="26" max="26" width="22.05859375" bestFit="1" customWidth="1"/>
    <col min="27" max="27" width="13.046875" bestFit="1" customWidth="1"/>
    <col min="28" max="29" width="15.87109375" bestFit="1" customWidth="1"/>
    <col min="30" max="30" width="5.91796875" bestFit="1" customWidth="1"/>
    <col min="31" max="31" width="45.33203125" bestFit="1" customWidth="1"/>
    <col min="36" max="36" width="35.91796875" bestFit="1" customWidth="1"/>
  </cols>
  <sheetData>
    <row r="1" spans="1:36" x14ac:dyDescent="0.2">
      <c r="A1" t="s">
        <v>2</v>
      </c>
      <c r="B1" t="s">
        <v>3</v>
      </c>
      <c r="C1" t="s">
        <v>0</v>
      </c>
      <c r="D1" t="s">
        <v>1</v>
      </c>
      <c r="E1" t="s">
        <v>41</v>
      </c>
      <c r="F1" t="s">
        <v>4</v>
      </c>
      <c r="G1" t="s">
        <v>5</v>
      </c>
      <c r="H1" t="s">
        <v>8</v>
      </c>
      <c r="I1" t="s">
        <v>9</v>
      </c>
      <c r="J1" t="s">
        <v>14</v>
      </c>
      <c r="K1" t="s">
        <v>13</v>
      </c>
      <c r="L1" t="s">
        <v>10</v>
      </c>
      <c r="M1" t="s">
        <v>11</v>
      </c>
      <c r="N1" t="s">
        <v>12</v>
      </c>
      <c r="O1" t="s">
        <v>16</v>
      </c>
      <c r="P1" t="s">
        <v>15</v>
      </c>
      <c r="Q1" t="s">
        <v>103</v>
      </c>
      <c r="R1" t="s">
        <v>21</v>
      </c>
      <c r="S1" t="s">
        <v>67</v>
      </c>
      <c r="T1" t="s">
        <v>104</v>
      </c>
      <c r="U1" t="s">
        <v>23</v>
      </c>
      <c r="V1" t="s">
        <v>25</v>
      </c>
      <c r="W1" t="s">
        <v>44</v>
      </c>
      <c r="X1" t="s">
        <v>65</v>
      </c>
      <c r="Y1" t="s">
        <v>87</v>
      </c>
      <c r="Z1" t="s">
        <v>126</v>
      </c>
      <c r="AA1" t="s">
        <v>68</v>
      </c>
      <c r="AB1" t="s">
        <v>127</v>
      </c>
      <c r="AC1" t="s">
        <v>128</v>
      </c>
      <c r="AD1" s="4" t="s">
        <v>74</v>
      </c>
      <c r="AE1" t="s">
        <v>129</v>
      </c>
    </row>
    <row r="2" spans="1:36" x14ac:dyDescent="0.2">
      <c r="A2" t="s">
        <v>27</v>
      </c>
      <c r="B2">
        <v>2021</v>
      </c>
      <c r="C2" t="s">
        <v>26</v>
      </c>
      <c r="E2" t="s">
        <v>26</v>
      </c>
      <c r="F2">
        <v>1</v>
      </c>
      <c r="G2" t="s">
        <v>28</v>
      </c>
      <c r="H2" s="1">
        <v>44414.390844907408</v>
      </c>
      <c r="I2" t="s">
        <v>29</v>
      </c>
      <c r="L2" t="s">
        <v>26</v>
      </c>
      <c r="M2" t="s">
        <v>30</v>
      </c>
      <c r="O2" t="s">
        <v>32</v>
      </c>
      <c r="P2" t="s">
        <v>31</v>
      </c>
      <c r="R2" t="s">
        <v>31</v>
      </c>
      <c r="S2" t="s">
        <v>64</v>
      </c>
      <c r="T2" t="s">
        <v>121</v>
      </c>
      <c r="U2" t="s">
        <v>36</v>
      </c>
      <c r="V2">
        <v>4</v>
      </c>
      <c r="W2">
        <v>4</v>
      </c>
      <c r="X2" s="4">
        <v>1</v>
      </c>
      <c r="Y2" s="4">
        <v>5</v>
      </c>
      <c r="Z2" t="s">
        <v>31</v>
      </c>
      <c r="AA2" s="4">
        <v>5</v>
      </c>
      <c r="AB2">
        <v>5</v>
      </c>
      <c r="AC2" s="4">
        <v>5</v>
      </c>
      <c r="AD2">
        <v>5</v>
      </c>
      <c r="AE2" t="s">
        <v>133</v>
      </c>
      <c r="AI2" s="4" t="s">
        <v>74</v>
      </c>
      <c r="AJ2" t="s">
        <v>485</v>
      </c>
    </row>
    <row r="3" spans="1:36" x14ac:dyDescent="0.2">
      <c r="A3" t="s">
        <v>27</v>
      </c>
      <c r="B3">
        <v>2021</v>
      </c>
      <c r="C3" t="s">
        <v>26</v>
      </c>
      <c r="E3" t="s">
        <v>26</v>
      </c>
      <c r="F3">
        <v>1</v>
      </c>
      <c r="G3" t="s">
        <v>28</v>
      </c>
      <c r="H3" s="1">
        <v>44414.390844907408</v>
      </c>
      <c r="I3" t="s">
        <v>29</v>
      </c>
      <c r="L3" t="s">
        <v>26</v>
      </c>
      <c r="M3" t="s">
        <v>30</v>
      </c>
      <c r="O3" t="s">
        <v>32</v>
      </c>
      <c r="P3" t="s">
        <v>31</v>
      </c>
      <c r="R3" t="s">
        <v>31</v>
      </c>
      <c r="S3" t="s">
        <v>61</v>
      </c>
      <c r="T3" t="s">
        <v>117</v>
      </c>
      <c r="U3" t="s">
        <v>33</v>
      </c>
      <c r="V3">
        <v>4</v>
      </c>
      <c r="W3">
        <v>4</v>
      </c>
      <c r="X3">
        <v>1</v>
      </c>
      <c r="Y3">
        <v>15</v>
      </c>
      <c r="Z3" t="s">
        <v>31</v>
      </c>
      <c r="AA3">
        <v>15</v>
      </c>
      <c r="AB3">
        <v>15</v>
      </c>
      <c r="AC3">
        <v>15</v>
      </c>
      <c r="AD3">
        <v>15</v>
      </c>
      <c r="AE3" t="s">
        <v>131</v>
      </c>
    </row>
    <row r="4" spans="1:36" x14ac:dyDescent="0.2">
      <c r="A4" t="s">
        <v>27</v>
      </c>
      <c r="B4">
        <v>2021</v>
      </c>
      <c r="C4" t="s">
        <v>26</v>
      </c>
      <c r="E4" t="s">
        <v>26</v>
      </c>
      <c r="F4">
        <v>1</v>
      </c>
      <c r="G4" t="s">
        <v>28</v>
      </c>
      <c r="H4" s="1">
        <v>44414.390844907408</v>
      </c>
      <c r="I4" t="s">
        <v>29</v>
      </c>
      <c r="L4" t="s">
        <v>26</v>
      </c>
      <c r="M4" t="s">
        <v>30</v>
      </c>
      <c r="O4" t="s">
        <v>32</v>
      </c>
      <c r="P4" t="s">
        <v>31</v>
      </c>
      <c r="R4" t="s">
        <v>31</v>
      </c>
      <c r="S4" t="s">
        <v>63</v>
      </c>
      <c r="T4" t="s">
        <v>122</v>
      </c>
      <c r="U4" t="s">
        <v>35</v>
      </c>
      <c r="V4">
        <v>3</v>
      </c>
      <c r="W4">
        <v>4</v>
      </c>
      <c r="X4">
        <v>0.75</v>
      </c>
      <c r="Y4">
        <v>30</v>
      </c>
      <c r="Z4" t="s">
        <v>31</v>
      </c>
      <c r="AA4">
        <v>30</v>
      </c>
      <c r="AB4">
        <v>30</v>
      </c>
      <c r="AC4">
        <v>30</v>
      </c>
      <c r="AD4">
        <v>22.5</v>
      </c>
      <c r="AE4" t="s">
        <v>130</v>
      </c>
    </row>
    <row r="5" spans="1:36" x14ac:dyDescent="0.2">
      <c r="A5" t="s">
        <v>27</v>
      </c>
      <c r="B5">
        <v>2021</v>
      </c>
      <c r="C5" t="s">
        <v>26</v>
      </c>
      <c r="E5" t="s">
        <v>26</v>
      </c>
      <c r="F5">
        <v>1</v>
      </c>
      <c r="G5" t="s">
        <v>28</v>
      </c>
      <c r="H5" s="1">
        <v>44414.390844907408</v>
      </c>
      <c r="I5" t="s">
        <v>29</v>
      </c>
      <c r="L5" t="s">
        <v>26</v>
      </c>
      <c r="M5" t="s">
        <v>30</v>
      </c>
      <c r="O5" t="s">
        <v>32</v>
      </c>
      <c r="P5" t="s">
        <v>31</v>
      </c>
      <c r="R5" t="s">
        <v>31</v>
      </c>
      <c r="S5" t="s">
        <v>64</v>
      </c>
      <c r="T5" t="s">
        <v>125</v>
      </c>
      <c r="U5" t="s">
        <v>37</v>
      </c>
      <c r="V5">
        <v>3</v>
      </c>
      <c r="W5">
        <v>4</v>
      </c>
      <c r="X5">
        <v>0.75</v>
      </c>
      <c r="Y5">
        <v>5</v>
      </c>
      <c r="Z5" t="s">
        <v>31</v>
      </c>
      <c r="AA5">
        <v>5</v>
      </c>
      <c r="AB5">
        <v>5</v>
      </c>
      <c r="AC5">
        <v>5</v>
      </c>
      <c r="AD5">
        <v>3.75</v>
      </c>
      <c r="AE5" t="s">
        <v>134</v>
      </c>
    </row>
    <row r="6" spans="1:36" x14ac:dyDescent="0.2">
      <c r="A6" t="s">
        <v>27</v>
      </c>
      <c r="B6">
        <v>2021</v>
      </c>
      <c r="C6" t="s">
        <v>26</v>
      </c>
      <c r="E6" t="s">
        <v>26</v>
      </c>
      <c r="F6">
        <v>1</v>
      </c>
      <c r="G6" t="s">
        <v>28</v>
      </c>
      <c r="H6" s="1">
        <v>44414.390844907408</v>
      </c>
      <c r="I6" t="s">
        <v>29</v>
      </c>
      <c r="L6" t="s">
        <v>26</v>
      </c>
      <c r="M6" t="s">
        <v>30</v>
      </c>
      <c r="O6" t="s">
        <v>32</v>
      </c>
      <c r="P6" t="s">
        <v>31</v>
      </c>
      <c r="R6" t="s">
        <v>31</v>
      </c>
      <c r="S6" t="s">
        <v>61</v>
      </c>
      <c r="T6" t="s">
        <v>120</v>
      </c>
      <c r="U6" t="s">
        <v>34</v>
      </c>
      <c r="V6">
        <v>3</v>
      </c>
      <c r="W6">
        <v>4</v>
      </c>
      <c r="X6">
        <v>0.75</v>
      </c>
      <c r="Y6">
        <v>15</v>
      </c>
      <c r="Z6" t="s">
        <v>31</v>
      </c>
      <c r="AA6">
        <v>15</v>
      </c>
      <c r="AB6">
        <v>15</v>
      </c>
      <c r="AC6">
        <v>15</v>
      </c>
      <c r="AD6">
        <v>11.25</v>
      </c>
      <c r="AE6" t="s">
        <v>132</v>
      </c>
    </row>
    <row r="7" spans="1:36" x14ac:dyDescent="0.2">
      <c r="A7" t="s">
        <v>27</v>
      </c>
      <c r="B7">
        <v>2021</v>
      </c>
      <c r="C7" t="s">
        <v>26</v>
      </c>
      <c r="E7" t="s">
        <v>26</v>
      </c>
      <c r="F7">
        <v>1</v>
      </c>
      <c r="G7" t="s">
        <v>28</v>
      </c>
      <c r="H7" s="1">
        <v>44414.390844907408</v>
      </c>
      <c r="I7" t="s">
        <v>29</v>
      </c>
      <c r="L7" t="s">
        <v>26</v>
      </c>
      <c r="M7" t="s">
        <v>30</v>
      </c>
      <c r="O7" t="s">
        <v>32</v>
      </c>
      <c r="P7" t="s">
        <v>31</v>
      </c>
      <c r="R7" t="s">
        <v>31</v>
      </c>
      <c r="S7" t="s">
        <v>62</v>
      </c>
      <c r="T7" t="s">
        <v>124</v>
      </c>
      <c r="U7" t="s">
        <v>38</v>
      </c>
      <c r="V7">
        <v>4</v>
      </c>
      <c r="W7">
        <v>4</v>
      </c>
      <c r="X7">
        <v>1</v>
      </c>
      <c r="Y7">
        <v>15</v>
      </c>
      <c r="Z7" t="s">
        <v>31</v>
      </c>
      <c r="AA7">
        <v>15</v>
      </c>
      <c r="AB7">
        <v>15</v>
      </c>
      <c r="AC7">
        <v>15</v>
      </c>
      <c r="AD7">
        <v>15</v>
      </c>
      <c r="AE7" t="s">
        <v>131</v>
      </c>
    </row>
    <row r="8" spans="1:36" x14ac:dyDescent="0.2">
      <c r="A8" t="s">
        <v>27</v>
      </c>
      <c r="B8">
        <v>2021</v>
      </c>
      <c r="C8" t="s">
        <v>26</v>
      </c>
      <c r="E8" t="s">
        <v>26</v>
      </c>
      <c r="F8">
        <v>1</v>
      </c>
      <c r="G8" t="s">
        <v>28</v>
      </c>
      <c r="H8" s="1">
        <v>44414.390844907408</v>
      </c>
      <c r="I8" t="s">
        <v>29</v>
      </c>
      <c r="L8" t="s">
        <v>26</v>
      </c>
      <c r="M8" t="s">
        <v>30</v>
      </c>
      <c r="O8" t="s">
        <v>32</v>
      </c>
      <c r="P8" t="s">
        <v>31</v>
      </c>
      <c r="R8" t="s">
        <v>31</v>
      </c>
      <c r="S8" t="s">
        <v>62</v>
      </c>
      <c r="T8" t="s">
        <v>123</v>
      </c>
      <c r="U8" t="s">
        <v>39</v>
      </c>
      <c r="V8">
        <v>4</v>
      </c>
      <c r="W8">
        <v>4</v>
      </c>
      <c r="X8">
        <v>1</v>
      </c>
      <c r="Y8">
        <v>15</v>
      </c>
      <c r="Z8" t="s">
        <v>31</v>
      </c>
      <c r="AA8">
        <v>15</v>
      </c>
      <c r="AB8">
        <v>15</v>
      </c>
      <c r="AC8">
        <v>15</v>
      </c>
      <c r="AD8">
        <v>15</v>
      </c>
      <c r="AE8" t="s">
        <v>131</v>
      </c>
    </row>
    <row r="12" spans="1:36" x14ac:dyDescent="0.2">
      <c r="A12" t="s">
        <v>2</v>
      </c>
      <c r="B12" t="s">
        <v>3</v>
      </c>
      <c r="C12" t="s">
        <v>0</v>
      </c>
      <c r="D12" t="s">
        <v>1</v>
      </c>
      <c r="E12" t="s">
        <v>41</v>
      </c>
      <c r="F12" t="s">
        <v>4</v>
      </c>
      <c r="G12" t="s">
        <v>5</v>
      </c>
      <c r="H12" t="s">
        <v>8</v>
      </c>
      <c r="I12" t="s">
        <v>9</v>
      </c>
      <c r="J12" t="s">
        <v>14</v>
      </c>
      <c r="K12" t="s">
        <v>13</v>
      </c>
      <c r="L12" t="s">
        <v>10</v>
      </c>
      <c r="M12" t="s">
        <v>11</v>
      </c>
      <c r="N12" t="s">
        <v>12</v>
      </c>
      <c r="O12" t="s">
        <v>16</v>
      </c>
      <c r="P12" t="s">
        <v>15</v>
      </c>
      <c r="Q12" t="s">
        <v>103</v>
      </c>
      <c r="R12" t="s">
        <v>21</v>
      </c>
      <c r="S12" t="s">
        <v>67</v>
      </c>
      <c r="T12" t="s">
        <v>104</v>
      </c>
      <c r="U12" t="s">
        <v>23</v>
      </c>
      <c r="V12" t="s">
        <v>25</v>
      </c>
      <c r="W12" t="s">
        <v>44</v>
      </c>
      <c r="X12" t="s">
        <v>65</v>
      </c>
      <c r="Y12" t="s">
        <v>87</v>
      </c>
      <c r="Z12" t="s">
        <v>126</v>
      </c>
      <c r="AA12" t="s">
        <v>68</v>
      </c>
      <c r="AB12" t="s">
        <v>127</v>
      </c>
      <c r="AC12" t="s">
        <v>128</v>
      </c>
      <c r="AD12" t="s">
        <v>74</v>
      </c>
      <c r="AE12" t="s">
        <v>129</v>
      </c>
    </row>
    <row r="13" spans="1:36" x14ac:dyDescent="0.2">
      <c r="A13" t="s">
        <v>455</v>
      </c>
      <c r="B13">
        <v>2024</v>
      </c>
      <c r="C13" t="s">
        <v>339</v>
      </c>
      <c r="E13" t="s">
        <v>339</v>
      </c>
      <c r="F13">
        <v>1</v>
      </c>
      <c r="G13" t="s">
        <v>340</v>
      </c>
      <c r="H13" s="1">
        <v>45474.501493055555</v>
      </c>
      <c r="J13" t="s">
        <v>446</v>
      </c>
      <c r="K13" t="s">
        <v>341</v>
      </c>
      <c r="L13" t="s">
        <v>445</v>
      </c>
      <c r="O13" t="s">
        <v>449</v>
      </c>
      <c r="P13" t="s">
        <v>445</v>
      </c>
      <c r="R13" t="s">
        <v>31</v>
      </c>
      <c r="S13" t="s">
        <v>61</v>
      </c>
      <c r="T13" t="s">
        <v>117</v>
      </c>
      <c r="U13" t="s">
        <v>346</v>
      </c>
      <c r="V13">
        <v>3</v>
      </c>
      <c r="W13">
        <v>4</v>
      </c>
      <c r="X13">
        <v>0.75</v>
      </c>
      <c r="Y13">
        <v>10</v>
      </c>
      <c r="Z13">
        <v>3</v>
      </c>
      <c r="AA13">
        <v>30</v>
      </c>
      <c r="AB13">
        <v>10</v>
      </c>
      <c r="AC13">
        <v>30</v>
      </c>
      <c r="AD13">
        <v>7.5</v>
      </c>
      <c r="AE13" t="s">
        <v>406</v>
      </c>
    </row>
    <row r="14" spans="1:36" x14ac:dyDescent="0.2">
      <c r="A14" t="s">
        <v>455</v>
      </c>
      <c r="B14">
        <v>2024</v>
      </c>
      <c r="C14" t="s">
        <v>339</v>
      </c>
      <c r="E14" t="s">
        <v>339</v>
      </c>
      <c r="F14">
        <v>1</v>
      </c>
      <c r="G14" t="s">
        <v>340</v>
      </c>
      <c r="H14" s="1">
        <v>45474.501493055555</v>
      </c>
      <c r="J14" t="s">
        <v>446</v>
      </c>
      <c r="K14" t="s">
        <v>341</v>
      </c>
      <c r="L14" t="s">
        <v>445</v>
      </c>
      <c r="O14" t="s">
        <v>449</v>
      </c>
      <c r="P14" t="s">
        <v>445</v>
      </c>
      <c r="R14" t="s">
        <v>31</v>
      </c>
      <c r="S14" t="s">
        <v>61</v>
      </c>
      <c r="T14" t="s">
        <v>120</v>
      </c>
      <c r="U14" t="s">
        <v>362</v>
      </c>
      <c r="V14">
        <v>3</v>
      </c>
      <c r="W14">
        <v>4</v>
      </c>
      <c r="X14">
        <v>0.75</v>
      </c>
      <c r="Y14">
        <v>10</v>
      </c>
      <c r="Z14">
        <v>3</v>
      </c>
      <c r="AA14">
        <v>30</v>
      </c>
      <c r="AB14">
        <v>10</v>
      </c>
      <c r="AC14">
        <v>30</v>
      </c>
      <c r="AD14">
        <v>7.5</v>
      </c>
      <c r="AE14" t="s">
        <v>406</v>
      </c>
    </row>
    <row r="15" spans="1:36" x14ac:dyDescent="0.2">
      <c r="A15" t="s">
        <v>455</v>
      </c>
      <c r="B15">
        <v>2024</v>
      </c>
      <c r="C15" t="s">
        <v>339</v>
      </c>
      <c r="E15" t="s">
        <v>339</v>
      </c>
      <c r="F15">
        <v>1</v>
      </c>
      <c r="G15" t="s">
        <v>340</v>
      </c>
      <c r="H15" s="1">
        <v>45474.501493055555</v>
      </c>
      <c r="J15" t="s">
        <v>446</v>
      </c>
      <c r="K15" t="s">
        <v>341</v>
      </c>
      <c r="L15" t="s">
        <v>445</v>
      </c>
      <c r="O15" t="s">
        <v>449</v>
      </c>
      <c r="P15" t="s">
        <v>445</v>
      </c>
      <c r="R15" t="s">
        <v>31</v>
      </c>
      <c r="S15" t="s">
        <v>61</v>
      </c>
      <c r="T15" t="s">
        <v>122</v>
      </c>
      <c r="U15" t="s">
        <v>363</v>
      </c>
      <c r="V15">
        <v>4</v>
      </c>
      <c r="W15">
        <v>4</v>
      </c>
      <c r="X15">
        <v>1</v>
      </c>
      <c r="Y15">
        <v>10</v>
      </c>
      <c r="Z15">
        <v>3</v>
      </c>
      <c r="AA15">
        <v>30</v>
      </c>
      <c r="AB15">
        <v>10</v>
      </c>
      <c r="AC15">
        <v>30</v>
      </c>
      <c r="AD15">
        <v>10</v>
      </c>
      <c r="AE15" t="s">
        <v>407</v>
      </c>
    </row>
    <row r="16" spans="1:36" x14ac:dyDescent="0.2">
      <c r="A16" t="s">
        <v>455</v>
      </c>
      <c r="B16">
        <v>2024</v>
      </c>
      <c r="C16" t="s">
        <v>339</v>
      </c>
      <c r="E16" t="s">
        <v>339</v>
      </c>
      <c r="F16">
        <v>1</v>
      </c>
      <c r="G16" t="s">
        <v>340</v>
      </c>
      <c r="H16" s="1">
        <v>45474.501493055555</v>
      </c>
      <c r="J16" t="s">
        <v>446</v>
      </c>
      <c r="K16" t="s">
        <v>341</v>
      </c>
      <c r="L16" t="s">
        <v>445</v>
      </c>
      <c r="O16" t="s">
        <v>449</v>
      </c>
      <c r="P16" t="s">
        <v>445</v>
      </c>
      <c r="R16" t="s">
        <v>31</v>
      </c>
      <c r="S16" t="s">
        <v>64</v>
      </c>
      <c r="T16" t="s">
        <v>408</v>
      </c>
      <c r="U16" t="s">
        <v>345</v>
      </c>
      <c r="V16">
        <v>3</v>
      </c>
      <c r="W16">
        <v>4</v>
      </c>
      <c r="X16">
        <v>0.75</v>
      </c>
      <c r="Y16">
        <v>1.5</v>
      </c>
      <c r="Z16">
        <v>10</v>
      </c>
      <c r="AA16">
        <v>15</v>
      </c>
      <c r="AB16">
        <v>1.875</v>
      </c>
      <c r="AC16">
        <v>15</v>
      </c>
      <c r="AD16">
        <v>1.125</v>
      </c>
      <c r="AE16" t="s">
        <v>410</v>
      </c>
    </row>
    <row r="17" spans="1:31" x14ac:dyDescent="0.2">
      <c r="A17" t="s">
        <v>455</v>
      </c>
      <c r="B17">
        <v>2024</v>
      </c>
      <c r="C17" t="s">
        <v>339</v>
      </c>
      <c r="E17" t="s">
        <v>339</v>
      </c>
      <c r="F17">
        <v>1</v>
      </c>
      <c r="G17" t="s">
        <v>340</v>
      </c>
      <c r="H17" s="1">
        <v>45474.501493055555</v>
      </c>
      <c r="J17" t="s">
        <v>446</v>
      </c>
      <c r="K17" t="s">
        <v>341</v>
      </c>
      <c r="L17" t="s">
        <v>445</v>
      </c>
      <c r="O17" t="s">
        <v>449</v>
      </c>
      <c r="P17" t="s">
        <v>445</v>
      </c>
      <c r="R17" t="s">
        <v>31</v>
      </c>
      <c r="S17" t="s">
        <v>64</v>
      </c>
      <c r="T17" t="s">
        <v>409</v>
      </c>
      <c r="U17" t="s">
        <v>343</v>
      </c>
      <c r="V17">
        <v>4</v>
      </c>
      <c r="W17">
        <v>4</v>
      </c>
      <c r="X17">
        <v>1</v>
      </c>
      <c r="Y17">
        <v>1.5</v>
      </c>
      <c r="Z17">
        <v>10</v>
      </c>
      <c r="AA17">
        <v>15</v>
      </c>
      <c r="AB17">
        <v>1.875</v>
      </c>
      <c r="AC17">
        <v>15</v>
      </c>
      <c r="AD17">
        <v>1.5</v>
      </c>
      <c r="AE17" t="s">
        <v>456</v>
      </c>
    </row>
    <row r="18" spans="1:31" x14ac:dyDescent="0.2">
      <c r="A18" t="s">
        <v>455</v>
      </c>
      <c r="B18">
        <v>2024</v>
      </c>
      <c r="C18" t="s">
        <v>339</v>
      </c>
      <c r="E18" t="s">
        <v>339</v>
      </c>
      <c r="F18">
        <v>1</v>
      </c>
      <c r="G18" t="s">
        <v>340</v>
      </c>
      <c r="H18" s="1">
        <v>45474.501493055555</v>
      </c>
      <c r="J18" t="s">
        <v>446</v>
      </c>
      <c r="K18" t="s">
        <v>341</v>
      </c>
      <c r="L18" t="s">
        <v>445</v>
      </c>
      <c r="O18" t="s">
        <v>449</v>
      </c>
      <c r="P18" t="s">
        <v>445</v>
      </c>
      <c r="R18" t="s">
        <v>31</v>
      </c>
      <c r="S18" t="s">
        <v>376</v>
      </c>
      <c r="T18" t="s">
        <v>404</v>
      </c>
      <c r="U18" t="s">
        <v>374</v>
      </c>
      <c r="V18">
        <v>4</v>
      </c>
      <c r="W18">
        <v>4</v>
      </c>
      <c r="X18">
        <v>1</v>
      </c>
      <c r="Y18">
        <v>15</v>
      </c>
      <c r="Z18">
        <v>1</v>
      </c>
      <c r="AA18">
        <v>15</v>
      </c>
      <c r="AB18">
        <v>15</v>
      </c>
      <c r="AC18">
        <v>15</v>
      </c>
      <c r="AD18">
        <v>15</v>
      </c>
      <c r="AE18" t="s">
        <v>405</v>
      </c>
    </row>
    <row r="19" spans="1:31" x14ac:dyDescent="0.2">
      <c r="H19" s="1"/>
    </row>
    <row r="20" spans="1:31" x14ac:dyDescent="0.2">
      <c r="H20" s="1"/>
    </row>
    <row r="21" spans="1:31" x14ac:dyDescent="0.2">
      <c r="H21" s="1"/>
    </row>
    <row r="22" spans="1:31" x14ac:dyDescent="0.2">
      <c r="H22" s="1"/>
      <c r="Y22" t="s">
        <v>87</v>
      </c>
      <c r="AD22">
        <f>X13*Y23*(AC13/AA13)</f>
        <v>15.625000000000002</v>
      </c>
    </row>
    <row r="23" spans="1:31" x14ac:dyDescent="0.2">
      <c r="H23" s="1"/>
      <c r="Y23">
        <v>20.833333333333336</v>
      </c>
      <c r="AD23">
        <f t="shared" ref="AD23:AD27" si="0">X14*Y24*(AC14/AA14)</f>
        <v>15.625000000000002</v>
      </c>
    </row>
    <row r="24" spans="1:31" x14ac:dyDescent="0.2">
      <c r="H24" s="1"/>
      <c r="Y24">
        <v>20.833333333333336</v>
      </c>
      <c r="AD24">
        <f t="shared" si="0"/>
        <v>20.833333333333336</v>
      </c>
    </row>
    <row r="25" spans="1:31" x14ac:dyDescent="0.2">
      <c r="Y25">
        <v>20.833333333333336</v>
      </c>
      <c r="AD25">
        <f t="shared" si="0"/>
        <v>2.34375</v>
      </c>
    </row>
    <row r="26" spans="1:31" x14ac:dyDescent="0.2">
      <c r="Y26">
        <v>3.125</v>
      </c>
      <c r="AD26">
        <f t="shared" si="0"/>
        <v>3.125</v>
      </c>
    </row>
    <row r="27" spans="1:31" x14ac:dyDescent="0.2">
      <c r="Y27">
        <v>3.125</v>
      </c>
      <c r="AD27">
        <f t="shared" si="0"/>
        <v>31.250000000000004</v>
      </c>
    </row>
    <row r="28" spans="1:31" x14ac:dyDescent="0.2">
      <c r="Y28">
        <v>31.250000000000004</v>
      </c>
    </row>
    <row r="43" spans="1:36" x14ac:dyDescent="0.2">
      <c r="A43" t="s">
        <v>2</v>
      </c>
      <c r="B43" t="s">
        <v>3</v>
      </c>
      <c r="C43" t="s">
        <v>0</v>
      </c>
      <c r="D43" t="s">
        <v>1</v>
      </c>
      <c r="E43" t="s">
        <v>41</v>
      </c>
      <c r="F43" t="s">
        <v>4</v>
      </c>
      <c r="G43" t="s">
        <v>5</v>
      </c>
      <c r="H43" t="s">
        <v>8</v>
      </c>
      <c r="I43" t="s">
        <v>9</v>
      </c>
      <c r="J43" t="s">
        <v>14</v>
      </c>
      <c r="K43" t="s">
        <v>13</v>
      </c>
      <c r="L43" t="s">
        <v>10</v>
      </c>
      <c r="M43" t="s">
        <v>11</v>
      </c>
      <c r="N43" t="s">
        <v>12</v>
      </c>
      <c r="O43" t="s">
        <v>16</v>
      </c>
      <c r="P43" t="s">
        <v>15</v>
      </c>
      <c r="Q43" t="s">
        <v>103</v>
      </c>
      <c r="R43" t="s">
        <v>21</v>
      </c>
      <c r="S43" t="s">
        <v>67</v>
      </c>
      <c r="T43" t="s">
        <v>104</v>
      </c>
      <c r="U43" t="s">
        <v>23</v>
      </c>
      <c r="V43" t="s">
        <v>25</v>
      </c>
      <c r="W43" t="s">
        <v>44</v>
      </c>
      <c r="X43" t="s">
        <v>65</v>
      </c>
      <c r="Y43" t="s">
        <v>87</v>
      </c>
      <c r="Z43" t="s">
        <v>126</v>
      </c>
      <c r="AA43" t="s">
        <v>68</v>
      </c>
      <c r="AB43" t="s">
        <v>127</v>
      </c>
      <c r="AC43" t="s">
        <v>128</v>
      </c>
      <c r="AD43" s="4" t="s">
        <v>74</v>
      </c>
      <c r="AE43" t="s">
        <v>129</v>
      </c>
    </row>
    <row r="44" spans="1:36" ht="18" x14ac:dyDescent="0.25">
      <c r="A44" t="s">
        <v>378</v>
      </c>
      <c r="B44">
        <v>1999</v>
      </c>
      <c r="C44" t="s">
        <v>379</v>
      </c>
      <c r="E44" t="s">
        <v>379</v>
      </c>
      <c r="F44">
        <v>1</v>
      </c>
      <c r="G44" t="s">
        <v>380</v>
      </c>
      <c r="H44" s="1">
        <v>45646.45208333333</v>
      </c>
      <c r="I44" t="s">
        <v>381</v>
      </c>
      <c r="L44" t="s">
        <v>382</v>
      </c>
      <c r="O44" t="s">
        <v>383</v>
      </c>
      <c r="P44" t="s">
        <v>31</v>
      </c>
      <c r="Q44" t="s">
        <v>384</v>
      </c>
      <c r="R44" t="s">
        <v>31</v>
      </c>
      <c r="S44" t="s">
        <v>61</v>
      </c>
      <c r="T44" t="s">
        <v>117</v>
      </c>
      <c r="U44" t="s">
        <v>385</v>
      </c>
      <c r="V44">
        <v>4</v>
      </c>
      <c r="W44">
        <v>4</v>
      </c>
      <c r="X44" s="4">
        <v>1</v>
      </c>
      <c r="Y44" s="4">
        <v>10</v>
      </c>
      <c r="Z44" t="s">
        <v>31</v>
      </c>
      <c r="AA44" s="4">
        <v>10</v>
      </c>
      <c r="AB44">
        <v>10</v>
      </c>
      <c r="AC44" s="4">
        <v>10</v>
      </c>
      <c r="AD44">
        <v>10</v>
      </c>
      <c r="AE44" t="s">
        <v>403</v>
      </c>
      <c r="AJ44" s="40"/>
    </row>
    <row r="45" spans="1:36" x14ac:dyDescent="0.2">
      <c r="A45" t="s">
        <v>378</v>
      </c>
      <c r="B45">
        <v>1999</v>
      </c>
      <c r="C45" t="s">
        <v>379</v>
      </c>
      <c r="E45" t="s">
        <v>379</v>
      </c>
      <c r="F45">
        <v>1</v>
      </c>
      <c r="G45" t="s">
        <v>380</v>
      </c>
      <c r="H45" s="1">
        <v>45646.45208333333</v>
      </c>
      <c r="I45" t="s">
        <v>381</v>
      </c>
      <c r="L45" t="s">
        <v>382</v>
      </c>
      <c r="O45" t="s">
        <v>383</v>
      </c>
      <c r="P45" t="s">
        <v>31</v>
      </c>
      <c r="Q45" t="s">
        <v>384</v>
      </c>
      <c r="R45" t="s">
        <v>31</v>
      </c>
      <c r="S45" t="s">
        <v>61</v>
      </c>
      <c r="T45" t="s">
        <v>120</v>
      </c>
      <c r="U45" t="s">
        <v>390</v>
      </c>
      <c r="V45">
        <v>4</v>
      </c>
      <c r="W45">
        <v>4</v>
      </c>
      <c r="X45">
        <v>1</v>
      </c>
      <c r="Y45">
        <v>10</v>
      </c>
      <c r="Z45" t="s">
        <v>31</v>
      </c>
      <c r="AA45">
        <v>10</v>
      </c>
      <c r="AB45">
        <v>10</v>
      </c>
      <c r="AC45">
        <v>10</v>
      </c>
      <c r="AD45">
        <v>10</v>
      </c>
      <c r="AE45" t="s">
        <v>403</v>
      </c>
    </row>
    <row r="46" spans="1:36" x14ac:dyDescent="0.2">
      <c r="A46" t="s">
        <v>378</v>
      </c>
      <c r="B46">
        <v>1999</v>
      </c>
      <c r="C46" t="s">
        <v>379</v>
      </c>
      <c r="E46" t="s">
        <v>379</v>
      </c>
      <c r="F46">
        <v>1</v>
      </c>
      <c r="G46" t="s">
        <v>380</v>
      </c>
      <c r="H46" s="1">
        <v>45646.45208333333</v>
      </c>
      <c r="I46" t="s">
        <v>381</v>
      </c>
      <c r="L46" t="s">
        <v>382</v>
      </c>
      <c r="O46" t="s">
        <v>383</v>
      </c>
      <c r="P46" t="s">
        <v>31</v>
      </c>
      <c r="Q46" t="s">
        <v>384</v>
      </c>
      <c r="R46" t="s">
        <v>31</v>
      </c>
      <c r="S46" t="s">
        <v>61</v>
      </c>
      <c r="T46" t="s">
        <v>122</v>
      </c>
      <c r="U46" t="s">
        <v>388</v>
      </c>
      <c r="V46">
        <v>4</v>
      </c>
      <c r="W46">
        <v>4</v>
      </c>
      <c r="X46">
        <v>1</v>
      </c>
      <c r="Y46">
        <v>10</v>
      </c>
      <c r="Z46" t="s">
        <v>31</v>
      </c>
      <c r="AA46">
        <v>10</v>
      </c>
      <c r="AB46">
        <v>10</v>
      </c>
      <c r="AC46">
        <v>10</v>
      </c>
      <c r="AD46">
        <v>10</v>
      </c>
      <c r="AE46" t="s">
        <v>403</v>
      </c>
    </row>
    <row r="47" spans="1:36" x14ac:dyDescent="0.2">
      <c r="A47" t="s">
        <v>378</v>
      </c>
      <c r="B47">
        <v>1999</v>
      </c>
      <c r="C47" t="s">
        <v>379</v>
      </c>
      <c r="E47" t="s">
        <v>379</v>
      </c>
      <c r="F47">
        <v>1</v>
      </c>
      <c r="G47" t="s">
        <v>380</v>
      </c>
      <c r="H47" s="1">
        <v>45646.45208333333</v>
      </c>
      <c r="I47" t="s">
        <v>381</v>
      </c>
      <c r="L47" t="s">
        <v>382</v>
      </c>
      <c r="O47" t="s">
        <v>383</v>
      </c>
      <c r="P47" t="s">
        <v>31</v>
      </c>
      <c r="Q47" t="s">
        <v>384</v>
      </c>
      <c r="R47" t="s">
        <v>31</v>
      </c>
      <c r="S47" t="s">
        <v>63</v>
      </c>
      <c r="T47" t="s">
        <v>121</v>
      </c>
      <c r="U47" t="s">
        <v>387</v>
      </c>
      <c r="V47">
        <v>4</v>
      </c>
      <c r="W47">
        <v>4</v>
      </c>
      <c r="X47">
        <v>1</v>
      </c>
      <c r="Y47">
        <v>10</v>
      </c>
      <c r="Z47" t="s">
        <v>31</v>
      </c>
      <c r="AA47">
        <v>10</v>
      </c>
      <c r="AB47">
        <v>10</v>
      </c>
      <c r="AC47">
        <v>10</v>
      </c>
      <c r="AD47">
        <v>10</v>
      </c>
      <c r="AE47" t="s">
        <v>403</v>
      </c>
    </row>
    <row r="48" spans="1:36" x14ac:dyDescent="0.2">
      <c r="A48" t="s">
        <v>378</v>
      </c>
      <c r="B48">
        <v>1999</v>
      </c>
      <c r="C48" t="s">
        <v>379</v>
      </c>
      <c r="E48" t="s">
        <v>379</v>
      </c>
      <c r="F48">
        <v>1</v>
      </c>
      <c r="G48" t="s">
        <v>380</v>
      </c>
      <c r="H48" s="1">
        <v>45646.45208333333</v>
      </c>
      <c r="I48" t="s">
        <v>381</v>
      </c>
      <c r="L48" t="s">
        <v>382</v>
      </c>
      <c r="O48" t="s">
        <v>383</v>
      </c>
      <c r="P48" t="s">
        <v>31</v>
      </c>
      <c r="Q48" t="s">
        <v>384</v>
      </c>
      <c r="R48" t="s">
        <v>31</v>
      </c>
      <c r="S48" t="s">
        <v>63</v>
      </c>
      <c r="T48" t="s">
        <v>125</v>
      </c>
      <c r="U48" t="s">
        <v>392</v>
      </c>
      <c r="V48">
        <v>4</v>
      </c>
      <c r="W48">
        <v>4</v>
      </c>
      <c r="X48">
        <v>1</v>
      </c>
      <c r="Y48">
        <v>15</v>
      </c>
      <c r="Z48" t="s">
        <v>31</v>
      </c>
      <c r="AA48">
        <v>15</v>
      </c>
      <c r="AB48">
        <v>15</v>
      </c>
      <c r="AC48">
        <v>15</v>
      </c>
      <c r="AD48">
        <v>15</v>
      </c>
      <c r="AE48" t="s">
        <v>131</v>
      </c>
    </row>
    <row r="49" spans="1:31" x14ac:dyDescent="0.2">
      <c r="A49" t="s">
        <v>378</v>
      </c>
      <c r="B49">
        <v>1999</v>
      </c>
      <c r="C49" t="s">
        <v>379</v>
      </c>
      <c r="E49" t="s">
        <v>379</v>
      </c>
      <c r="F49">
        <v>1</v>
      </c>
      <c r="G49" t="s">
        <v>380</v>
      </c>
      <c r="H49" s="1">
        <v>45646.45208333333</v>
      </c>
      <c r="I49" t="s">
        <v>381</v>
      </c>
      <c r="L49" t="s">
        <v>382</v>
      </c>
      <c r="O49" t="s">
        <v>383</v>
      </c>
      <c r="P49" t="s">
        <v>31</v>
      </c>
      <c r="Q49" t="s">
        <v>384</v>
      </c>
      <c r="R49" t="s">
        <v>31</v>
      </c>
      <c r="S49" t="s">
        <v>62</v>
      </c>
      <c r="T49" t="s">
        <v>123</v>
      </c>
      <c r="U49" t="s">
        <v>394</v>
      </c>
      <c r="V49">
        <v>4</v>
      </c>
      <c r="W49">
        <v>4</v>
      </c>
      <c r="X49">
        <v>1</v>
      </c>
      <c r="Y49">
        <v>10</v>
      </c>
      <c r="Z49" t="s">
        <v>31</v>
      </c>
      <c r="AA49">
        <v>10</v>
      </c>
      <c r="AB49">
        <v>10</v>
      </c>
      <c r="AC49">
        <v>10</v>
      </c>
      <c r="AD49">
        <v>10</v>
      </c>
      <c r="AE49" t="s">
        <v>403</v>
      </c>
    </row>
    <row r="50" spans="1:31" x14ac:dyDescent="0.2">
      <c r="A50" t="s">
        <v>378</v>
      </c>
      <c r="B50">
        <v>1999</v>
      </c>
      <c r="C50" t="s">
        <v>379</v>
      </c>
      <c r="E50" t="s">
        <v>379</v>
      </c>
      <c r="F50">
        <v>1</v>
      </c>
      <c r="G50" t="s">
        <v>380</v>
      </c>
      <c r="H50" s="1">
        <v>45646.45208333333</v>
      </c>
      <c r="I50" t="s">
        <v>381</v>
      </c>
      <c r="L50" t="s">
        <v>382</v>
      </c>
      <c r="O50" t="s">
        <v>383</v>
      </c>
      <c r="P50" t="s">
        <v>31</v>
      </c>
      <c r="Q50" t="s">
        <v>384</v>
      </c>
      <c r="R50" t="s">
        <v>31</v>
      </c>
      <c r="S50" t="s">
        <v>64</v>
      </c>
      <c r="T50" t="s">
        <v>399</v>
      </c>
      <c r="U50" t="s">
        <v>386</v>
      </c>
      <c r="V50">
        <v>4</v>
      </c>
      <c r="W50">
        <v>4</v>
      </c>
      <c r="X50">
        <v>1</v>
      </c>
      <c r="Y50">
        <v>5</v>
      </c>
      <c r="Z50" t="s">
        <v>31</v>
      </c>
      <c r="AA50">
        <v>5</v>
      </c>
      <c r="AB50">
        <v>5</v>
      </c>
      <c r="AC50">
        <v>5</v>
      </c>
      <c r="AD50">
        <v>5</v>
      </c>
      <c r="AE50" t="s">
        <v>133</v>
      </c>
    </row>
    <row r="56" spans="1:31" x14ac:dyDescent="0.2">
      <c r="X56" t="s">
        <v>65</v>
      </c>
      <c r="Y56" t="s">
        <v>87</v>
      </c>
      <c r="Z56" t="s">
        <v>126</v>
      </c>
      <c r="AA56" t="s">
        <v>68</v>
      </c>
      <c r="AB56" t="s">
        <v>127</v>
      </c>
      <c r="AC56" t="s">
        <v>128</v>
      </c>
      <c r="AD56" t="s">
        <v>74</v>
      </c>
    </row>
    <row r="57" spans="1:31" x14ac:dyDescent="0.2">
      <c r="X57">
        <v>1</v>
      </c>
      <c r="Y57">
        <v>15</v>
      </c>
      <c r="Z57">
        <v>1</v>
      </c>
      <c r="AA57">
        <v>15</v>
      </c>
      <c r="AB57">
        <v>15</v>
      </c>
      <c r="AC57">
        <v>15</v>
      </c>
      <c r="AD57">
        <f>X57*Y57*(AC57/AA57)</f>
        <v>15</v>
      </c>
    </row>
    <row r="58" spans="1:31" x14ac:dyDescent="0.2">
      <c r="X58">
        <v>1</v>
      </c>
      <c r="Y58">
        <v>10</v>
      </c>
      <c r="Z58">
        <v>3</v>
      </c>
      <c r="AA58">
        <v>30</v>
      </c>
      <c r="AB58">
        <v>10</v>
      </c>
      <c r="AC58">
        <v>30</v>
      </c>
      <c r="AD58">
        <f t="shared" ref="AD58:AD68" si="1">X58*Y58*(AC58/AA58)</f>
        <v>10</v>
      </c>
    </row>
    <row r="59" spans="1:31" x14ac:dyDescent="0.2">
      <c r="X59">
        <v>1</v>
      </c>
      <c r="Y59">
        <v>10</v>
      </c>
      <c r="Z59">
        <v>3</v>
      </c>
      <c r="AA59">
        <v>30</v>
      </c>
      <c r="AB59">
        <v>10</v>
      </c>
      <c r="AC59">
        <v>30</v>
      </c>
      <c r="AD59">
        <f t="shared" si="1"/>
        <v>10</v>
      </c>
    </row>
    <row r="60" spans="1:31" x14ac:dyDescent="0.2">
      <c r="H60" s="1"/>
      <c r="X60">
        <v>1</v>
      </c>
      <c r="Y60">
        <v>10</v>
      </c>
      <c r="Z60">
        <v>3</v>
      </c>
      <c r="AA60">
        <v>30</v>
      </c>
      <c r="AB60">
        <v>10</v>
      </c>
      <c r="AC60">
        <v>30</v>
      </c>
      <c r="AD60">
        <f t="shared" si="1"/>
        <v>10</v>
      </c>
    </row>
    <row r="61" spans="1:31" x14ac:dyDescent="0.2">
      <c r="H61" s="1"/>
      <c r="X61">
        <v>1</v>
      </c>
      <c r="Y61">
        <v>2.5</v>
      </c>
      <c r="Z61">
        <v>6</v>
      </c>
      <c r="AA61">
        <v>15</v>
      </c>
      <c r="AB61">
        <v>1.875</v>
      </c>
      <c r="AC61">
        <v>15</v>
      </c>
      <c r="AD61">
        <f t="shared" si="1"/>
        <v>2.5</v>
      </c>
    </row>
    <row r="62" spans="1:31" x14ac:dyDescent="0.2">
      <c r="H62" s="1"/>
      <c r="X62">
        <v>1</v>
      </c>
      <c r="Y62">
        <v>2.5</v>
      </c>
      <c r="Z62">
        <v>6</v>
      </c>
      <c r="AA62">
        <v>15</v>
      </c>
      <c r="AB62">
        <v>1.875</v>
      </c>
      <c r="AC62">
        <v>15</v>
      </c>
      <c r="AD62">
        <f t="shared" si="1"/>
        <v>2.5</v>
      </c>
    </row>
    <row r="63" spans="1:31" x14ac:dyDescent="0.2">
      <c r="H63" s="1"/>
      <c r="X63">
        <v>1</v>
      </c>
      <c r="Y63">
        <v>15</v>
      </c>
      <c r="Z63">
        <v>1</v>
      </c>
      <c r="AA63">
        <v>15</v>
      </c>
      <c r="AB63">
        <v>15</v>
      </c>
      <c r="AC63">
        <v>15</v>
      </c>
      <c r="AD63">
        <f t="shared" si="1"/>
        <v>15</v>
      </c>
    </row>
    <row r="64" spans="1:31" x14ac:dyDescent="0.2">
      <c r="H64" s="1"/>
      <c r="X64">
        <v>1</v>
      </c>
      <c r="Y64">
        <v>10</v>
      </c>
      <c r="Z64">
        <v>3</v>
      </c>
      <c r="AA64">
        <v>30</v>
      </c>
      <c r="AB64">
        <v>10</v>
      </c>
      <c r="AC64">
        <v>30</v>
      </c>
      <c r="AD64">
        <f t="shared" si="1"/>
        <v>10</v>
      </c>
    </row>
    <row r="65" spans="8:30" x14ac:dyDescent="0.2">
      <c r="H65" s="1"/>
      <c r="X65">
        <v>1</v>
      </c>
      <c r="Y65">
        <v>10</v>
      </c>
      <c r="Z65">
        <v>3</v>
      </c>
      <c r="AA65">
        <v>30</v>
      </c>
      <c r="AB65">
        <v>10</v>
      </c>
      <c r="AC65">
        <v>30</v>
      </c>
      <c r="AD65">
        <f t="shared" si="1"/>
        <v>10</v>
      </c>
    </row>
    <row r="66" spans="8:30" x14ac:dyDescent="0.2">
      <c r="H66" s="1"/>
      <c r="X66">
        <v>1</v>
      </c>
      <c r="Y66">
        <v>10</v>
      </c>
      <c r="Z66">
        <v>3</v>
      </c>
      <c r="AA66">
        <v>30</v>
      </c>
      <c r="AB66">
        <v>10</v>
      </c>
      <c r="AC66">
        <v>30</v>
      </c>
      <c r="AD66">
        <f t="shared" si="1"/>
        <v>10</v>
      </c>
    </row>
    <row r="67" spans="8:30" x14ac:dyDescent="0.2">
      <c r="H67" s="1"/>
      <c r="X67">
        <v>1</v>
      </c>
      <c r="Y67">
        <v>1.5</v>
      </c>
      <c r="Z67">
        <v>10</v>
      </c>
      <c r="AA67">
        <v>15</v>
      </c>
      <c r="AB67">
        <v>1.875</v>
      </c>
      <c r="AC67">
        <v>15</v>
      </c>
      <c r="AD67">
        <f t="shared" si="1"/>
        <v>1.5</v>
      </c>
    </row>
    <row r="68" spans="8:30" x14ac:dyDescent="0.2">
      <c r="H68" s="1"/>
      <c r="X68">
        <v>1</v>
      </c>
      <c r="Y68">
        <v>1.5</v>
      </c>
      <c r="Z68">
        <v>10</v>
      </c>
      <c r="AA68">
        <v>15</v>
      </c>
      <c r="AB68">
        <v>1.875</v>
      </c>
      <c r="AC68">
        <v>15</v>
      </c>
      <c r="AD68">
        <f t="shared" si="1"/>
        <v>1.5</v>
      </c>
    </row>
    <row r="69" spans="8:30" x14ac:dyDescent="0.2">
      <c r="H69" s="1"/>
    </row>
    <row r="70" spans="8:30" x14ac:dyDescent="0.2">
      <c r="H70" s="1"/>
    </row>
    <row r="71" spans="8:30" x14ac:dyDescent="0.2">
      <c r="H71" s="1"/>
    </row>
  </sheetData>
  <pageMargins left="0.7" right="0.7" top="0.75" bottom="0.75" header="0.3" footer="0.3"/>
  <headerFooter>
    <oddFooter>&amp;C_x000D_&amp;1#&amp;"Calibri"&amp;9&amp;K000000 Classified - Internal Use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BDB1-723C-4D91-8AAF-6BF8F7E57A0C}">
  <sheetPr filterMode="1"/>
  <dimension ref="A1:AF129"/>
  <sheetViews>
    <sheetView tabSelected="1" topLeftCell="J28" zoomScale="115" zoomScaleNormal="115" workbookViewId="0">
      <selection activeCell="O29" sqref="O1:O1048576"/>
    </sheetView>
  </sheetViews>
  <sheetFormatPr defaultRowHeight="15" x14ac:dyDescent="0.2"/>
  <cols>
    <col min="1" max="1" width="22.8671875" bestFit="1" customWidth="1"/>
    <col min="2" max="2" width="53.13671875" bestFit="1" customWidth="1"/>
    <col min="3" max="3" width="17.62109375" bestFit="1" customWidth="1"/>
    <col min="10" max="10" width="13.85546875" customWidth="1"/>
    <col min="13" max="13" width="16.54296875" bestFit="1" customWidth="1"/>
    <col min="15" max="15" width="62.6875" bestFit="1" customWidth="1"/>
    <col min="20" max="20" width="13.98828125" bestFit="1" customWidth="1"/>
    <col min="21" max="21" width="15.6015625" bestFit="1" customWidth="1"/>
    <col min="22" max="22" width="20.04296875" bestFit="1" customWidth="1"/>
    <col min="23" max="23" width="107.484375" bestFit="1" customWidth="1"/>
    <col min="24" max="24" width="9.14453125" bestFit="1" customWidth="1"/>
    <col min="25" max="25" width="14.2578125" bestFit="1" customWidth="1"/>
    <col min="26" max="26" width="18.83203125" bestFit="1" customWidth="1"/>
    <col min="27" max="27" width="13.046875" bestFit="1" customWidth="1"/>
    <col min="28" max="28" width="10.76171875" bestFit="1" customWidth="1"/>
    <col min="29" max="29" width="15.87109375" bestFit="1" customWidth="1"/>
  </cols>
  <sheetData>
    <row r="1" spans="1:29" x14ac:dyDescent="0.2">
      <c r="A1" t="s">
        <v>135</v>
      </c>
      <c r="B1" t="s">
        <v>102</v>
      </c>
      <c r="C1" t="s">
        <v>2</v>
      </c>
      <c r="D1" t="s">
        <v>3</v>
      </c>
      <c r="E1" t="s">
        <v>0</v>
      </c>
      <c r="F1" t="s">
        <v>1</v>
      </c>
      <c r="G1" t="s">
        <v>41</v>
      </c>
      <c r="H1" t="s">
        <v>4</v>
      </c>
      <c r="I1" t="s">
        <v>5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16</v>
      </c>
      <c r="P1" t="s">
        <v>14</v>
      </c>
      <c r="Q1" t="s">
        <v>15</v>
      </c>
      <c r="R1" t="s">
        <v>103</v>
      </c>
      <c r="S1" t="s">
        <v>21</v>
      </c>
      <c r="T1" t="s">
        <v>67</v>
      </c>
      <c r="U1" t="s">
        <v>104</v>
      </c>
      <c r="V1" t="s">
        <v>136</v>
      </c>
      <c r="W1" t="s">
        <v>23</v>
      </c>
      <c r="X1" t="s">
        <v>137</v>
      </c>
      <c r="Y1" t="s">
        <v>25</v>
      </c>
      <c r="Z1" t="s">
        <v>44</v>
      </c>
      <c r="AA1" t="s">
        <v>68</v>
      </c>
      <c r="AB1" t="s">
        <v>87</v>
      </c>
      <c r="AC1" t="s">
        <v>127</v>
      </c>
    </row>
    <row r="2" spans="1:29" x14ac:dyDescent="0.2">
      <c r="A2" t="s">
        <v>138</v>
      </c>
      <c r="B2" t="s">
        <v>116</v>
      </c>
      <c r="C2" t="s">
        <v>27</v>
      </c>
      <c r="D2">
        <v>2021</v>
      </c>
      <c r="E2" t="s">
        <v>26</v>
      </c>
      <c r="G2" t="s">
        <v>26</v>
      </c>
      <c r="H2">
        <v>1</v>
      </c>
      <c r="I2" t="s">
        <v>28</v>
      </c>
      <c r="J2" s="1">
        <v>44414.390844907408</v>
      </c>
      <c r="K2" t="s">
        <v>29</v>
      </c>
      <c r="L2" t="s">
        <v>26</v>
      </c>
      <c r="M2" t="s">
        <v>30</v>
      </c>
      <c r="O2" t="s">
        <v>32</v>
      </c>
      <c r="Q2" t="s">
        <v>31</v>
      </c>
      <c r="S2" t="s">
        <v>31</v>
      </c>
      <c r="T2" t="s">
        <v>64</v>
      </c>
      <c r="U2" t="s">
        <v>121</v>
      </c>
      <c r="V2" t="s">
        <v>121</v>
      </c>
      <c r="W2" t="s">
        <v>36</v>
      </c>
      <c r="X2">
        <v>4</v>
      </c>
      <c r="Y2">
        <v>4</v>
      </c>
      <c r="Z2">
        <v>4</v>
      </c>
      <c r="AA2">
        <v>5</v>
      </c>
      <c r="AB2">
        <v>5</v>
      </c>
      <c r="AC2">
        <v>5</v>
      </c>
    </row>
    <row r="3" spans="1:29" x14ac:dyDescent="0.2">
      <c r="A3" t="s">
        <v>138</v>
      </c>
      <c r="B3" t="s">
        <v>116</v>
      </c>
      <c r="C3" t="s">
        <v>27</v>
      </c>
      <c r="D3">
        <v>2021</v>
      </c>
      <c r="E3" t="s">
        <v>26</v>
      </c>
      <c r="G3" t="s">
        <v>26</v>
      </c>
      <c r="H3">
        <v>1</v>
      </c>
      <c r="I3" t="s">
        <v>28</v>
      </c>
      <c r="J3" s="1">
        <v>44414.390844907408</v>
      </c>
      <c r="K3" t="s">
        <v>29</v>
      </c>
      <c r="L3" t="s">
        <v>26</v>
      </c>
      <c r="M3" t="s">
        <v>30</v>
      </c>
      <c r="O3" t="s">
        <v>32</v>
      </c>
      <c r="Q3" t="s">
        <v>31</v>
      </c>
      <c r="S3" t="s">
        <v>31</v>
      </c>
      <c r="T3" t="s">
        <v>61</v>
      </c>
      <c r="U3" t="s">
        <v>117</v>
      </c>
      <c r="V3" t="s">
        <v>117</v>
      </c>
      <c r="W3" t="s">
        <v>33</v>
      </c>
      <c r="X3">
        <v>4</v>
      </c>
      <c r="Y3">
        <v>4</v>
      </c>
      <c r="Z3">
        <v>4</v>
      </c>
      <c r="AA3">
        <v>15</v>
      </c>
      <c r="AB3">
        <v>15</v>
      </c>
      <c r="AC3">
        <v>15</v>
      </c>
    </row>
    <row r="4" spans="1:29" x14ac:dyDescent="0.2">
      <c r="A4" t="s">
        <v>138</v>
      </c>
      <c r="B4" t="s">
        <v>116</v>
      </c>
      <c r="C4" t="s">
        <v>27</v>
      </c>
      <c r="D4">
        <v>2021</v>
      </c>
      <c r="E4" t="s">
        <v>26</v>
      </c>
      <c r="G4" t="s">
        <v>26</v>
      </c>
      <c r="H4">
        <v>1</v>
      </c>
      <c r="I4" t="s">
        <v>28</v>
      </c>
      <c r="J4" s="1">
        <v>44414.390844907408</v>
      </c>
      <c r="K4" t="s">
        <v>29</v>
      </c>
      <c r="L4" t="s">
        <v>26</v>
      </c>
      <c r="M4" t="s">
        <v>30</v>
      </c>
      <c r="O4" t="s">
        <v>32</v>
      </c>
      <c r="Q4" t="s">
        <v>31</v>
      </c>
      <c r="S4" t="s">
        <v>31</v>
      </c>
      <c r="T4" t="s">
        <v>63</v>
      </c>
      <c r="U4" t="s">
        <v>122</v>
      </c>
      <c r="V4" t="s">
        <v>122</v>
      </c>
      <c r="W4" t="s">
        <v>35</v>
      </c>
      <c r="X4">
        <v>3</v>
      </c>
      <c r="Y4">
        <v>3</v>
      </c>
      <c r="Z4">
        <v>4</v>
      </c>
      <c r="AA4">
        <v>30</v>
      </c>
      <c r="AB4">
        <v>30</v>
      </c>
      <c r="AC4">
        <v>30</v>
      </c>
    </row>
    <row r="5" spans="1:29" x14ac:dyDescent="0.2">
      <c r="A5" t="s">
        <v>138</v>
      </c>
      <c r="B5" t="s">
        <v>116</v>
      </c>
      <c r="C5" t="s">
        <v>27</v>
      </c>
      <c r="D5">
        <v>2021</v>
      </c>
      <c r="E5" t="s">
        <v>26</v>
      </c>
      <c r="G5" t="s">
        <v>26</v>
      </c>
      <c r="H5">
        <v>1</v>
      </c>
      <c r="I5" t="s">
        <v>28</v>
      </c>
      <c r="J5" s="1">
        <v>44414.390844907408</v>
      </c>
      <c r="K5" t="s">
        <v>29</v>
      </c>
      <c r="L5" t="s">
        <v>26</v>
      </c>
      <c r="M5" t="s">
        <v>30</v>
      </c>
      <c r="O5" t="s">
        <v>32</v>
      </c>
      <c r="Q5" t="s">
        <v>31</v>
      </c>
      <c r="S5" t="s">
        <v>31</v>
      </c>
      <c r="T5" t="s">
        <v>64</v>
      </c>
      <c r="U5" t="s">
        <v>125</v>
      </c>
      <c r="V5" t="s">
        <v>125</v>
      </c>
      <c r="W5" t="s">
        <v>37</v>
      </c>
      <c r="X5">
        <v>3</v>
      </c>
      <c r="Y5">
        <v>3</v>
      </c>
      <c r="Z5">
        <v>4</v>
      </c>
      <c r="AA5">
        <v>5</v>
      </c>
      <c r="AB5">
        <v>5</v>
      </c>
      <c r="AC5">
        <v>5</v>
      </c>
    </row>
    <row r="6" spans="1:29" x14ac:dyDescent="0.2">
      <c r="A6" t="s">
        <v>138</v>
      </c>
      <c r="B6" t="s">
        <v>116</v>
      </c>
      <c r="C6" t="s">
        <v>27</v>
      </c>
      <c r="D6">
        <v>2021</v>
      </c>
      <c r="E6" t="s">
        <v>26</v>
      </c>
      <c r="G6" t="s">
        <v>26</v>
      </c>
      <c r="H6">
        <v>1</v>
      </c>
      <c r="I6" t="s">
        <v>28</v>
      </c>
      <c r="J6" s="1">
        <v>44414.390844907408</v>
      </c>
      <c r="K6" t="s">
        <v>29</v>
      </c>
      <c r="L6" t="s">
        <v>26</v>
      </c>
      <c r="M6" t="s">
        <v>30</v>
      </c>
      <c r="O6" t="s">
        <v>32</v>
      </c>
      <c r="Q6" t="s">
        <v>31</v>
      </c>
      <c r="S6" t="s">
        <v>31</v>
      </c>
      <c r="T6" t="s">
        <v>61</v>
      </c>
      <c r="U6" t="s">
        <v>120</v>
      </c>
      <c r="V6" t="s">
        <v>120</v>
      </c>
      <c r="W6" t="s">
        <v>34</v>
      </c>
      <c r="X6">
        <v>3</v>
      </c>
      <c r="Y6">
        <v>3</v>
      </c>
      <c r="Z6">
        <v>4</v>
      </c>
      <c r="AA6">
        <v>15</v>
      </c>
      <c r="AB6">
        <v>15</v>
      </c>
      <c r="AC6">
        <v>15</v>
      </c>
    </row>
    <row r="7" spans="1:29" x14ac:dyDescent="0.2">
      <c r="A7" t="s">
        <v>138</v>
      </c>
      <c r="B7" t="s">
        <v>116</v>
      </c>
      <c r="C7" t="s">
        <v>27</v>
      </c>
      <c r="D7">
        <v>2021</v>
      </c>
      <c r="E7" t="s">
        <v>26</v>
      </c>
      <c r="G7" t="s">
        <v>26</v>
      </c>
      <c r="H7">
        <v>1</v>
      </c>
      <c r="I7" t="s">
        <v>28</v>
      </c>
      <c r="J7" s="1">
        <v>44414.390844907408</v>
      </c>
      <c r="K7" t="s">
        <v>29</v>
      </c>
      <c r="L7" t="s">
        <v>26</v>
      </c>
      <c r="M7" t="s">
        <v>30</v>
      </c>
      <c r="O7" t="s">
        <v>32</v>
      </c>
      <c r="Q7" t="s">
        <v>31</v>
      </c>
      <c r="S7" t="s">
        <v>31</v>
      </c>
      <c r="T7" t="s">
        <v>62</v>
      </c>
      <c r="U7" t="s">
        <v>124</v>
      </c>
      <c r="V7" t="s">
        <v>124</v>
      </c>
      <c r="W7" t="s">
        <v>38</v>
      </c>
      <c r="X7">
        <v>4</v>
      </c>
      <c r="Y7">
        <v>4</v>
      </c>
      <c r="Z7">
        <v>4</v>
      </c>
      <c r="AA7">
        <v>15</v>
      </c>
      <c r="AB7">
        <v>15</v>
      </c>
      <c r="AC7">
        <v>15</v>
      </c>
    </row>
    <row r="8" spans="1:29" x14ac:dyDescent="0.2">
      <c r="A8" t="s">
        <v>138</v>
      </c>
      <c r="B8" t="s">
        <v>116</v>
      </c>
      <c r="C8" t="s">
        <v>27</v>
      </c>
      <c r="D8">
        <v>2021</v>
      </c>
      <c r="E8" t="s">
        <v>26</v>
      </c>
      <c r="G8" t="s">
        <v>26</v>
      </c>
      <c r="H8">
        <v>1</v>
      </c>
      <c r="I8" t="s">
        <v>28</v>
      </c>
      <c r="J8" s="1">
        <v>44414.390844907408</v>
      </c>
      <c r="K8" t="s">
        <v>29</v>
      </c>
      <c r="L8" t="s">
        <v>26</v>
      </c>
      <c r="M8" t="s">
        <v>30</v>
      </c>
      <c r="O8" t="s">
        <v>32</v>
      </c>
      <c r="Q8" t="s">
        <v>31</v>
      </c>
      <c r="S8" t="s">
        <v>31</v>
      </c>
      <c r="T8" t="s">
        <v>62</v>
      </c>
      <c r="U8" t="s">
        <v>123</v>
      </c>
      <c r="V8" t="s">
        <v>123</v>
      </c>
      <c r="W8" t="s">
        <v>39</v>
      </c>
      <c r="X8">
        <v>4</v>
      </c>
      <c r="Y8">
        <v>4</v>
      </c>
      <c r="Z8">
        <v>4</v>
      </c>
      <c r="AA8">
        <v>15</v>
      </c>
      <c r="AB8">
        <v>15</v>
      </c>
      <c r="AC8">
        <v>15</v>
      </c>
    </row>
    <row r="9" spans="1:29" x14ac:dyDescent="0.2">
      <c r="A9" t="s">
        <v>139</v>
      </c>
      <c r="B9" t="s">
        <v>116</v>
      </c>
      <c r="C9" t="s">
        <v>27</v>
      </c>
      <c r="D9">
        <v>2021</v>
      </c>
      <c r="E9" t="s">
        <v>26</v>
      </c>
      <c r="G9" t="s">
        <v>26</v>
      </c>
      <c r="H9">
        <v>1</v>
      </c>
      <c r="I9" t="s">
        <v>28</v>
      </c>
      <c r="J9" s="1">
        <v>44414.390844907408</v>
      </c>
      <c r="K9" t="s">
        <v>29</v>
      </c>
      <c r="L9" t="s">
        <v>26</v>
      </c>
      <c r="M9" t="s">
        <v>30</v>
      </c>
      <c r="O9" t="s">
        <v>32</v>
      </c>
      <c r="Q9" t="s">
        <v>31</v>
      </c>
      <c r="S9" t="s">
        <v>31</v>
      </c>
      <c r="U9" t="s">
        <v>140</v>
      </c>
      <c r="V9" t="s">
        <v>140</v>
      </c>
      <c r="W9" t="s">
        <v>141</v>
      </c>
      <c r="X9">
        <v>25</v>
      </c>
      <c r="Y9">
        <v>25</v>
      </c>
      <c r="Z9">
        <v>4</v>
      </c>
      <c r="AA9">
        <v>30</v>
      </c>
      <c r="AB9">
        <v>30</v>
      </c>
      <c r="AC9">
        <v>30</v>
      </c>
    </row>
    <row r="10" spans="1:29" x14ac:dyDescent="0.2">
      <c r="A10" t="s">
        <v>142</v>
      </c>
      <c r="B10" t="s">
        <v>116</v>
      </c>
      <c r="C10" t="s">
        <v>27</v>
      </c>
      <c r="D10">
        <v>2021</v>
      </c>
      <c r="E10" t="s">
        <v>26</v>
      </c>
      <c r="G10" t="s">
        <v>26</v>
      </c>
      <c r="H10">
        <v>1</v>
      </c>
      <c r="I10" t="s">
        <v>28</v>
      </c>
      <c r="J10" s="1">
        <v>44414.390844907408</v>
      </c>
      <c r="K10" t="s">
        <v>29</v>
      </c>
      <c r="L10" t="s">
        <v>26</v>
      </c>
      <c r="M10" t="s">
        <v>30</v>
      </c>
      <c r="O10" t="s">
        <v>32</v>
      </c>
      <c r="Q10" t="s">
        <v>31</v>
      </c>
      <c r="S10" t="s">
        <v>31</v>
      </c>
      <c r="T10" t="s">
        <v>64</v>
      </c>
      <c r="U10" t="s">
        <v>148</v>
      </c>
      <c r="V10" t="s">
        <v>148</v>
      </c>
      <c r="W10" t="s">
        <v>36</v>
      </c>
      <c r="X10">
        <v>5</v>
      </c>
      <c r="Y10">
        <v>4</v>
      </c>
      <c r="Z10">
        <v>4</v>
      </c>
      <c r="AA10">
        <v>5</v>
      </c>
      <c r="AB10">
        <v>5</v>
      </c>
      <c r="AC10">
        <v>5</v>
      </c>
    </row>
    <row r="11" spans="1:29" x14ac:dyDescent="0.2">
      <c r="A11" t="s">
        <v>142</v>
      </c>
      <c r="B11" t="s">
        <v>116</v>
      </c>
      <c r="C11" t="s">
        <v>27</v>
      </c>
      <c r="D11">
        <v>2021</v>
      </c>
      <c r="E11" t="s">
        <v>26</v>
      </c>
      <c r="G11" t="s">
        <v>26</v>
      </c>
      <c r="H11">
        <v>1</v>
      </c>
      <c r="I11" t="s">
        <v>28</v>
      </c>
      <c r="J11" s="1">
        <v>44414.390844907408</v>
      </c>
      <c r="K11" t="s">
        <v>29</v>
      </c>
      <c r="L11" t="s">
        <v>26</v>
      </c>
      <c r="M11" t="s">
        <v>30</v>
      </c>
      <c r="O11" t="s">
        <v>32</v>
      </c>
      <c r="Q11" t="s">
        <v>31</v>
      </c>
      <c r="S11" t="s">
        <v>31</v>
      </c>
      <c r="T11" t="s">
        <v>61</v>
      </c>
      <c r="U11" t="s">
        <v>146</v>
      </c>
      <c r="V11" t="s">
        <v>146</v>
      </c>
      <c r="W11" t="s">
        <v>33</v>
      </c>
      <c r="X11">
        <v>15</v>
      </c>
      <c r="Y11">
        <v>4</v>
      </c>
      <c r="Z11">
        <v>4</v>
      </c>
      <c r="AA11">
        <v>15</v>
      </c>
      <c r="AB11">
        <v>15</v>
      </c>
      <c r="AC11">
        <v>15</v>
      </c>
    </row>
    <row r="12" spans="1:29" x14ac:dyDescent="0.2">
      <c r="A12" t="s">
        <v>142</v>
      </c>
      <c r="B12" t="s">
        <v>116</v>
      </c>
      <c r="C12" t="s">
        <v>27</v>
      </c>
      <c r="D12">
        <v>2021</v>
      </c>
      <c r="E12" t="s">
        <v>26</v>
      </c>
      <c r="G12" t="s">
        <v>26</v>
      </c>
      <c r="H12">
        <v>1</v>
      </c>
      <c r="I12" t="s">
        <v>28</v>
      </c>
      <c r="J12" s="1">
        <v>44414.390844907408</v>
      </c>
      <c r="K12" t="s">
        <v>29</v>
      </c>
      <c r="L12" t="s">
        <v>26</v>
      </c>
      <c r="M12" t="s">
        <v>30</v>
      </c>
      <c r="O12" t="s">
        <v>32</v>
      </c>
      <c r="Q12" t="s">
        <v>31</v>
      </c>
      <c r="S12" t="s">
        <v>31</v>
      </c>
      <c r="T12" t="s">
        <v>63</v>
      </c>
      <c r="U12" t="s">
        <v>143</v>
      </c>
      <c r="V12" t="s">
        <v>143</v>
      </c>
      <c r="W12" t="s">
        <v>35</v>
      </c>
      <c r="X12">
        <v>22.5</v>
      </c>
      <c r="Y12">
        <v>3</v>
      </c>
      <c r="Z12">
        <v>4</v>
      </c>
      <c r="AA12">
        <v>30</v>
      </c>
      <c r="AB12">
        <v>30</v>
      </c>
      <c r="AC12">
        <v>30</v>
      </c>
    </row>
    <row r="13" spans="1:29" x14ac:dyDescent="0.2">
      <c r="A13" t="s">
        <v>142</v>
      </c>
      <c r="B13" t="s">
        <v>116</v>
      </c>
      <c r="C13" t="s">
        <v>27</v>
      </c>
      <c r="D13">
        <v>2021</v>
      </c>
      <c r="E13" t="s">
        <v>26</v>
      </c>
      <c r="G13" t="s">
        <v>26</v>
      </c>
      <c r="H13">
        <v>1</v>
      </c>
      <c r="I13" t="s">
        <v>28</v>
      </c>
      <c r="J13" s="1">
        <v>44414.390844907408</v>
      </c>
      <c r="K13" t="s">
        <v>29</v>
      </c>
      <c r="L13" t="s">
        <v>26</v>
      </c>
      <c r="M13" t="s">
        <v>30</v>
      </c>
      <c r="O13" t="s">
        <v>32</v>
      </c>
      <c r="Q13" t="s">
        <v>31</v>
      </c>
      <c r="S13" t="s">
        <v>31</v>
      </c>
      <c r="T13" t="s">
        <v>64</v>
      </c>
      <c r="U13" t="s">
        <v>149</v>
      </c>
      <c r="V13" t="s">
        <v>149</v>
      </c>
      <c r="W13" t="s">
        <v>37</v>
      </c>
      <c r="X13">
        <v>3.75</v>
      </c>
      <c r="Y13">
        <v>3</v>
      </c>
      <c r="Z13">
        <v>4</v>
      </c>
      <c r="AA13">
        <v>5</v>
      </c>
      <c r="AB13">
        <v>5</v>
      </c>
      <c r="AC13">
        <v>5</v>
      </c>
    </row>
    <row r="14" spans="1:29" x14ac:dyDescent="0.2">
      <c r="A14" t="s">
        <v>142</v>
      </c>
      <c r="B14" t="s">
        <v>116</v>
      </c>
      <c r="C14" t="s">
        <v>27</v>
      </c>
      <c r="D14">
        <v>2021</v>
      </c>
      <c r="E14" t="s">
        <v>26</v>
      </c>
      <c r="G14" t="s">
        <v>26</v>
      </c>
      <c r="H14">
        <v>1</v>
      </c>
      <c r="I14" t="s">
        <v>28</v>
      </c>
      <c r="J14" s="1">
        <v>44414.390844907408</v>
      </c>
      <c r="K14" t="s">
        <v>29</v>
      </c>
      <c r="L14" t="s">
        <v>26</v>
      </c>
      <c r="M14" t="s">
        <v>30</v>
      </c>
      <c r="O14" t="s">
        <v>32</v>
      </c>
      <c r="Q14" t="s">
        <v>31</v>
      </c>
      <c r="S14" t="s">
        <v>31</v>
      </c>
      <c r="T14" t="s">
        <v>61</v>
      </c>
      <c r="U14" t="s">
        <v>147</v>
      </c>
      <c r="V14" t="s">
        <v>147</v>
      </c>
      <c r="W14" t="s">
        <v>34</v>
      </c>
      <c r="X14">
        <v>11.25</v>
      </c>
      <c r="Y14">
        <v>3</v>
      </c>
      <c r="Z14">
        <v>4</v>
      </c>
      <c r="AA14">
        <v>15</v>
      </c>
      <c r="AB14">
        <v>15</v>
      </c>
      <c r="AC14">
        <v>15</v>
      </c>
    </row>
    <row r="15" spans="1:29" x14ac:dyDescent="0.2">
      <c r="A15" t="s">
        <v>142</v>
      </c>
      <c r="B15" t="s">
        <v>116</v>
      </c>
      <c r="C15" t="s">
        <v>27</v>
      </c>
      <c r="D15">
        <v>2021</v>
      </c>
      <c r="E15" t="s">
        <v>26</v>
      </c>
      <c r="G15" t="s">
        <v>26</v>
      </c>
      <c r="H15">
        <v>1</v>
      </c>
      <c r="I15" t="s">
        <v>28</v>
      </c>
      <c r="J15" s="1">
        <v>44414.390844907408</v>
      </c>
      <c r="K15" t="s">
        <v>29</v>
      </c>
      <c r="L15" t="s">
        <v>26</v>
      </c>
      <c r="M15" t="s">
        <v>30</v>
      </c>
      <c r="O15" t="s">
        <v>32</v>
      </c>
      <c r="Q15" t="s">
        <v>31</v>
      </c>
      <c r="S15" t="s">
        <v>31</v>
      </c>
      <c r="T15" t="s">
        <v>62</v>
      </c>
      <c r="U15" t="s">
        <v>144</v>
      </c>
      <c r="V15" t="s">
        <v>144</v>
      </c>
      <c r="W15" t="s">
        <v>38</v>
      </c>
      <c r="X15">
        <v>15</v>
      </c>
      <c r="Y15">
        <v>4</v>
      </c>
      <c r="Z15">
        <v>4</v>
      </c>
      <c r="AA15">
        <v>15</v>
      </c>
      <c r="AB15">
        <v>15</v>
      </c>
      <c r="AC15">
        <v>15</v>
      </c>
    </row>
    <row r="16" spans="1:29" x14ac:dyDescent="0.2">
      <c r="A16" t="s">
        <v>142</v>
      </c>
      <c r="B16" t="s">
        <v>116</v>
      </c>
      <c r="C16" t="s">
        <v>27</v>
      </c>
      <c r="D16">
        <v>2021</v>
      </c>
      <c r="E16" t="s">
        <v>26</v>
      </c>
      <c r="G16" t="s">
        <v>26</v>
      </c>
      <c r="H16">
        <v>1</v>
      </c>
      <c r="I16" t="s">
        <v>28</v>
      </c>
      <c r="J16" s="1">
        <v>44414.390844907408</v>
      </c>
      <c r="K16" t="s">
        <v>29</v>
      </c>
      <c r="L16" t="s">
        <v>26</v>
      </c>
      <c r="M16" t="s">
        <v>30</v>
      </c>
      <c r="O16" t="s">
        <v>32</v>
      </c>
      <c r="Q16" t="s">
        <v>31</v>
      </c>
      <c r="S16" t="s">
        <v>31</v>
      </c>
      <c r="T16" t="s">
        <v>62</v>
      </c>
      <c r="U16" t="s">
        <v>145</v>
      </c>
      <c r="V16" t="s">
        <v>145</v>
      </c>
      <c r="W16" t="s">
        <v>39</v>
      </c>
      <c r="X16">
        <v>15</v>
      </c>
      <c r="Y16">
        <v>4</v>
      </c>
      <c r="Z16">
        <v>4</v>
      </c>
      <c r="AA16">
        <v>15</v>
      </c>
      <c r="AB16">
        <v>15</v>
      </c>
      <c r="AC16">
        <v>15</v>
      </c>
    </row>
    <row r="17" spans="1:29" x14ac:dyDescent="0.2">
      <c r="A17" t="s">
        <v>150</v>
      </c>
      <c r="B17" t="s">
        <v>116</v>
      </c>
      <c r="C17" t="s">
        <v>27</v>
      </c>
      <c r="D17">
        <v>2021</v>
      </c>
      <c r="E17" t="s">
        <v>26</v>
      </c>
      <c r="G17" t="s">
        <v>26</v>
      </c>
      <c r="H17">
        <v>1</v>
      </c>
      <c r="I17" t="s">
        <v>28</v>
      </c>
      <c r="J17" s="1">
        <v>44414.390844907408</v>
      </c>
      <c r="K17" t="s">
        <v>29</v>
      </c>
      <c r="L17" t="s">
        <v>26</v>
      </c>
      <c r="M17" t="s">
        <v>30</v>
      </c>
      <c r="O17" t="s">
        <v>32</v>
      </c>
      <c r="Q17" t="s">
        <v>31</v>
      </c>
      <c r="S17" t="s">
        <v>31</v>
      </c>
      <c r="U17" t="s">
        <v>151</v>
      </c>
      <c r="V17" t="s">
        <v>151</v>
      </c>
      <c r="W17" t="s">
        <v>152</v>
      </c>
      <c r="X17">
        <v>87.5</v>
      </c>
      <c r="Y17">
        <v>25</v>
      </c>
      <c r="Z17">
        <v>4</v>
      </c>
      <c r="AA17">
        <v>30</v>
      </c>
      <c r="AB17">
        <v>30</v>
      </c>
      <c r="AC17">
        <v>30</v>
      </c>
    </row>
    <row r="18" spans="1:29" x14ac:dyDescent="0.2">
      <c r="A18" t="s">
        <v>153</v>
      </c>
      <c r="B18" t="s">
        <v>116</v>
      </c>
      <c r="C18" t="s">
        <v>27</v>
      </c>
      <c r="D18">
        <v>2021</v>
      </c>
      <c r="E18" t="s">
        <v>26</v>
      </c>
      <c r="G18" t="s">
        <v>26</v>
      </c>
      <c r="H18">
        <v>1</v>
      </c>
      <c r="I18" t="s">
        <v>28</v>
      </c>
      <c r="J18" s="1">
        <v>44414.390844907408</v>
      </c>
      <c r="K18" t="s">
        <v>29</v>
      </c>
      <c r="L18" t="s">
        <v>26</v>
      </c>
      <c r="M18" t="s">
        <v>30</v>
      </c>
      <c r="O18" t="s">
        <v>32</v>
      </c>
      <c r="Q18" t="s">
        <v>31</v>
      </c>
      <c r="S18" t="s">
        <v>31</v>
      </c>
      <c r="U18" t="s">
        <v>154</v>
      </c>
      <c r="V18" t="s">
        <v>154</v>
      </c>
      <c r="W18" t="s">
        <v>155</v>
      </c>
      <c r="X18">
        <v>87.5</v>
      </c>
      <c r="Y18">
        <v>25</v>
      </c>
      <c r="Z18">
        <v>4</v>
      </c>
      <c r="AA18">
        <v>30</v>
      </c>
      <c r="AB18">
        <v>30</v>
      </c>
      <c r="AC18">
        <v>30</v>
      </c>
    </row>
    <row r="19" spans="1:29" x14ac:dyDescent="0.2">
      <c r="A19" t="s">
        <v>156</v>
      </c>
      <c r="B19" t="s">
        <v>116</v>
      </c>
      <c r="C19" t="s">
        <v>27</v>
      </c>
      <c r="D19">
        <v>2021</v>
      </c>
      <c r="E19" t="s">
        <v>26</v>
      </c>
      <c r="G19" t="s">
        <v>26</v>
      </c>
      <c r="H19">
        <v>1</v>
      </c>
      <c r="I19" t="s">
        <v>28</v>
      </c>
      <c r="J19" s="1">
        <v>44414.390844907408</v>
      </c>
      <c r="K19" t="s">
        <v>29</v>
      </c>
      <c r="L19" t="s">
        <v>26</v>
      </c>
      <c r="M19" t="s">
        <v>30</v>
      </c>
      <c r="O19" t="s">
        <v>32</v>
      </c>
      <c r="Q19" t="s">
        <v>31</v>
      </c>
      <c r="S19" t="s">
        <v>31</v>
      </c>
      <c r="U19" t="s">
        <v>103</v>
      </c>
      <c r="V19" t="s">
        <v>157</v>
      </c>
      <c r="W19" t="s">
        <v>158</v>
      </c>
      <c r="X19">
        <v>87.5</v>
      </c>
      <c r="Y19">
        <v>25</v>
      </c>
      <c r="Z19">
        <v>4</v>
      </c>
      <c r="AA19">
        <v>30</v>
      </c>
      <c r="AB19">
        <v>30</v>
      </c>
      <c r="AC19">
        <v>30</v>
      </c>
    </row>
    <row r="29" spans="1:29" x14ac:dyDescent="0.2">
      <c r="A29" t="s">
        <v>135</v>
      </c>
      <c r="B29" t="s">
        <v>102</v>
      </c>
      <c r="C29" t="s">
        <v>2</v>
      </c>
      <c r="D29" t="s">
        <v>3</v>
      </c>
      <c r="E29" t="s">
        <v>0</v>
      </c>
      <c r="F29" t="s">
        <v>1</v>
      </c>
      <c r="G29" t="s">
        <v>41</v>
      </c>
      <c r="H29" t="s">
        <v>4</v>
      </c>
      <c r="I29" t="s">
        <v>5</v>
      </c>
      <c r="J29" t="s">
        <v>8</v>
      </c>
      <c r="K29" t="s">
        <v>9</v>
      </c>
      <c r="L29" t="s">
        <v>10</v>
      </c>
      <c r="M29" t="s">
        <v>11</v>
      </c>
      <c r="N29" t="s">
        <v>12</v>
      </c>
      <c r="O29" t="s">
        <v>16</v>
      </c>
      <c r="P29" t="s">
        <v>14</v>
      </c>
      <c r="Q29" t="s">
        <v>15</v>
      </c>
      <c r="R29" t="s">
        <v>103</v>
      </c>
      <c r="S29" t="s">
        <v>21</v>
      </c>
      <c r="T29" t="s">
        <v>67</v>
      </c>
      <c r="U29" t="s">
        <v>104</v>
      </c>
      <c r="V29" t="s">
        <v>136</v>
      </c>
      <c r="W29" t="s">
        <v>23</v>
      </c>
      <c r="X29" t="s">
        <v>137</v>
      </c>
      <c r="Y29" t="s">
        <v>25</v>
      </c>
      <c r="Z29" t="s">
        <v>44</v>
      </c>
      <c r="AA29" t="s">
        <v>68</v>
      </c>
      <c r="AB29" t="s">
        <v>87</v>
      </c>
      <c r="AC29" t="s">
        <v>127</v>
      </c>
    </row>
    <row r="30" spans="1:29" x14ac:dyDescent="0.2">
      <c r="A30" t="s">
        <v>138</v>
      </c>
      <c r="B30" t="s">
        <v>454</v>
      </c>
      <c r="C30" t="s">
        <v>455</v>
      </c>
      <c r="D30">
        <v>2024</v>
      </c>
      <c r="E30" t="s">
        <v>339</v>
      </c>
      <c r="G30" t="s">
        <v>339</v>
      </c>
      <c r="H30">
        <v>1</v>
      </c>
      <c r="I30" t="s">
        <v>340</v>
      </c>
      <c r="J30" s="1">
        <v>45474.501493055555</v>
      </c>
      <c r="L30" t="s">
        <v>445</v>
      </c>
      <c r="O30" t="s">
        <v>449</v>
      </c>
      <c r="P30" t="s">
        <v>446</v>
      </c>
      <c r="Q30" t="s">
        <v>445</v>
      </c>
      <c r="S30" t="s">
        <v>31</v>
      </c>
      <c r="T30" t="s">
        <v>61</v>
      </c>
      <c r="U30" t="s">
        <v>117</v>
      </c>
      <c r="V30" t="s">
        <v>117</v>
      </c>
      <c r="W30" t="s">
        <v>346</v>
      </c>
      <c r="X30">
        <v>3</v>
      </c>
      <c r="Y30">
        <v>3</v>
      </c>
      <c r="Z30">
        <v>4</v>
      </c>
      <c r="AA30">
        <v>30</v>
      </c>
      <c r="AB30">
        <v>10</v>
      </c>
      <c r="AC30">
        <v>10</v>
      </c>
    </row>
    <row r="31" spans="1:29" x14ac:dyDescent="0.2">
      <c r="A31" t="s">
        <v>138</v>
      </c>
      <c r="B31" t="s">
        <v>454</v>
      </c>
      <c r="C31" t="s">
        <v>455</v>
      </c>
      <c r="D31">
        <v>2024</v>
      </c>
      <c r="E31" t="s">
        <v>339</v>
      </c>
      <c r="G31" t="s">
        <v>339</v>
      </c>
      <c r="H31">
        <v>1</v>
      </c>
      <c r="I31" t="s">
        <v>340</v>
      </c>
      <c r="J31" s="1">
        <v>45474.501493055555</v>
      </c>
      <c r="L31" t="s">
        <v>445</v>
      </c>
      <c r="O31" t="s">
        <v>449</v>
      </c>
      <c r="P31" t="s">
        <v>446</v>
      </c>
      <c r="Q31" t="s">
        <v>445</v>
      </c>
      <c r="S31" t="s">
        <v>31</v>
      </c>
      <c r="T31" t="s">
        <v>61</v>
      </c>
      <c r="U31" t="s">
        <v>120</v>
      </c>
      <c r="V31" t="s">
        <v>120</v>
      </c>
      <c r="W31" t="s">
        <v>362</v>
      </c>
      <c r="X31">
        <v>3</v>
      </c>
      <c r="Y31">
        <v>3</v>
      </c>
      <c r="Z31">
        <v>4</v>
      </c>
      <c r="AA31">
        <v>30</v>
      </c>
      <c r="AB31">
        <v>10</v>
      </c>
      <c r="AC31">
        <v>10</v>
      </c>
    </row>
    <row r="32" spans="1:29" x14ac:dyDescent="0.2">
      <c r="A32" t="s">
        <v>138</v>
      </c>
      <c r="B32" t="s">
        <v>454</v>
      </c>
      <c r="C32" t="s">
        <v>455</v>
      </c>
      <c r="D32">
        <v>2024</v>
      </c>
      <c r="E32" t="s">
        <v>339</v>
      </c>
      <c r="G32" t="s">
        <v>339</v>
      </c>
      <c r="H32">
        <v>1</v>
      </c>
      <c r="I32" t="s">
        <v>340</v>
      </c>
      <c r="J32" s="1">
        <v>45474.501493055555</v>
      </c>
      <c r="L32" t="s">
        <v>445</v>
      </c>
      <c r="O32" t="s">
        <v>449</v>
      </c>
      <c r="P32" t="s">
        <v>446</v>
      </c>
      <c r="Q32" t="s">
        <v>445</v>
      </c>
      <c r="S32" t="s">
        <v>31</v>
      </c>
      <c r="T32" t="s">
        <v>61</v>
      </c>
      <c r="U32" t="s">
        <v>122</v>
      </c>
      <c r="V32" t="s">
        <v>122</v>
      </c>
      <c r="W32" t="s">
        <v>363</v>
      </c>
      <c r="X32">
        <v>4</v>
      </c>
      <c r="Y32">
        <v>4</v>
      </c>
      <c r="Z32">
        <v>4</v>
      </c>
      <c r="AA32">
        <v>30</v>
      </c>
      <c r="AB32">
        <v>10</v>
      </c>
      <c r="AC32">
        <v>10</v>
      </c>
    </row>
    <row r="33" spans="1:29" hidden="1" x14ac:dyDescent="0.2">
      <c r="A33" t="s">
        <v>138</v>
      </c>
      <c r="B33" t="s">
        <v>454</v>
      </c>
      <c r="C33" t="s">
        <v>455</v>
      </c>
      <c r="D33">
        <v>2024</v>
      </c>
      <c r="E33" t="s">
        <v>339</v>
      </c>
      <c r="G33" t="s">
        <v>339</v>
      </c>
      <c r="H33">
        <v>1</v>
      </c>
      <c r="I33" t="s">
        <v>340</v>
      </c>
      <c r="J33" s="1">
        <v>45474.492326388892</v>
      </c>
      <c r="L33" t="s">
        <v>445</v>
      </c>
      <c r="O33" t="s">
        <v>449</v>
      </c>
      <c r="P33" t="s">
        <v>446</v>
      </c>
      <c r="Q33" t="s">
        <v>445</v>
      </c>
      <c r="S33" t="s">
        <v>31</v>
      </c>
      <c r="T33" t="s">
        <v>63</v>
      </c>
      <c r="U33" t="s">
        <v>457</v>
      </c>
      <c r="V33" t="s">
        <v>457</v>
      </c>
      <c r="W33" t="s">
        <v>342</v>
      </c>
      <c r="X33">
        <v>4</v>
      </c>
      <c r="Y33">
        <v>4</v>
      </c>
      <c r="Z33">
        <v>4</v>
      </c>
      <c r="AA33">
        <v>20</v>
      </c>
      <c r="AB33">
        <v>3.3332999999999999</v>
      </c>
      <c r="AC33">
        <v>3.3333333333333299</v>
      </c>
    </row>
    <row r="34" spans="1:29" hidden="1" x14ac:dyDescent="0.2">
      <c r="A34" t="s">
        <v>138</v>
      </c>
      <c r="B34" t="s">
        <v>454</v>
      </c>
      <c r="C34" t="s">
        <v>455</v>
      </c>
      <c r="D34">
        <v>2024</v>
      </c>
      <c r="E34" t="s">
        <v>339</v>
      </c>
      <c r="G34" t="s">
        <v>339</v>
      </c>
      <c r="H34">
        <v>1</v>
      </c>
      <c r="I34" t="s">
        <v>340</v>
      </c>
      <c r="J34" s="1">
        <v>45474.492326388892</v>
      </c>
      <c r="L34" t="s">
        <v>445</v>
      </c>
      <c r="O34" t="s">
        <v>449</v>
      </c>
      <c r="P34" t="s">
        <v>446</v>
      </c>
      <c r="Q34" t="s">
        <v>445</v>
      </c>
      <c r="S34" t="s">
        <v>31</v>
      </c>
      <c r="T34" t="s">
        <v>63</v>
      </c>
      <c r="U34" t="s">
        <v>121</v>
      </c>
      <c r="V34" t="s">
        <v>121</v>
      </c>
      <c r="W34" t="s">
        <v>364</v>
      </c>
      <c r="X34">
        <v>4</v>
      </c>
      <c r="Y34">
        <v>4</v>
      </c>
      <c r="Z34">
        <v>4</v>
      </c>
      <c r="AA34">
        <v>20</v>
      </c>
      <c r="AB34">
        <v>3.3332999999999999</v>
      </c>
      <c r="AC34">
        <v>3.3333333333333299</v>
      </c>
    </row>
    <row r="35" spans="1:29" hidden="1" x14ac:dyDescent="0.2">
      <c r="A35" t="s">
        <v>138</v>
      </c>
      <c r="B35" t="s">
        <v>454</v>
      </c>
      <c r="C35" t="s">
        <v>455</v>
      </c>
      <c r="D35">
        <v>2024</v>
      </c>
      <c r="E35" t="s">
        <v>339</v>
      </c>
      <c r="G35" t="s">
        <v>339</v>
      </c>
      <c r="H35">
        <v>1</v>
      </c>
      <c r="I35" t="s">
        <v>340</v>
      </c>
      <c r="J35" s="1">
        <v>45474.492326388892</v>
      </c>
      <c r="L35" t="s">
        <v>445</v>
      </c>
      <c r="O35" t="s">
        <v>449</v>
      </c>
      <c r="P35" t="s">
        <v>446</v>
      </c>
      <c r="Q35" t="s">
        <v>445</v>
      </c>
      <c r="S35" t="s">
        <v>31</v>
      </c>
      <c r="T35" t="s">
        <v>63</v>
      </c>
      <c r="U35" t="s">
        <v>125</v>
      </c>
      <c r="V35" t="s">
        <v>125</v>
      </c>
      <c r="W35" t="s">
        <v>365</v>
      </c>
      <c r="X35">
        <v>4</v>
      </c>
      <c r="Y35">
        <v>4</v>
      </c>
      <c r="Z35">
        <v>4</v>
      </c>
      <c r="AA35">
        <v>20</v>
      </c>
      <c r="AB35">
        <v>3.3332999999999999</v>
      </c>
      <c r="AC35">
        <v>3.3333333333333299</v>
      </c>
    </row>
    <row r="36" spans="1:29" hidden="1" x14ac:dyDescent="0.2">
      <c r="A36" t="s">
        <v>138</v>
      </c>
      <c r="B36" t="s">
        <v>454</v>
      </c>
      <c r="C36" t="s">
        <v>455</v>
      </c>
      <c r="D36">
        <v>2024</v>
      </c>
      <c r="E36" t="s">
        <v>339</v>
      </c>
      <c r="G36" t="s">
        <v>339</v>
      </c>
      <c r="H36">
        <v>1</v>
      </c>
      <c r="I36" t="s">
        <v>340</v>
      </c>
      <c r="J36" s="1">
        <v>45474.492326388892</v>
      </c>
      <c r="L36" t="s">
        <v>445</v>
      </c>
      <c r="O36" t="s">
        <v>449</v>
      </c>
      <c r="P36" t="s">
        <v>446</v>
      </c>
      <c r="Q36" t="s">
        <v>445</v>
      </c>
      <c r="S36" t="s">
        <v>31</v>
      </c>
      <c r="T36" t="s">
        <v>63</v>
      </c>
      <c r="U36" t="s">
        <v>124</v>
      </c>
      <c r="V36" t="s">
        <v>124</v>
      </c>
      <c r="W36" t="s">
        <v>366</v>
      </c>
      <c r="X36">
        <v>4</v>
      </c>
      <c r="Y36">
        <v>4</v>
      </c>
      <c r="Z36">
        <v>4</v>
      </c>
      <c r="AA36">
        <v>20</v>
      </c>
      <c r="AB36">
        <v>3.3332999999999999</v>
      </c>
      <c r="AC36">
        <v>3.3333333333333299</v>
      </c>
    </row>
    <row r="37" spans="1:29" hidden="1" x14ac:dyDescent="0.2">
      <c r="A37" t="s">
        <v>138</v>
      </c>
      <c r="B37" t="s">
        <v>454</v>
      </c>
      <c r="C37" t="s">
        <v>455</v>
      </c>
      <c r="D37">
        <v>2024</v>
      </c>
      <c r="E37" t="s">
        <v>339</v>
      </c>
      <c r="G37" t="s">
        <v>339</v>
      </c>
      <c r="H37">
        <v>1</v>
      </c>
      <c r="I37" t="s">
        <v>340</v>
      </c>
      <c r="J37" s="1">
        <v>45474.492326388892</v>
      </c>
      <c r="L37" t="s">
        <v>445</v>
      </c>
      <c r="O37" t="s">
        <v>449</v>
      </c>
      <c r="P37" t="s">
        <v>446</v>
      </c>
      <c r="Q37" t="s">
        <v>445</v>
      </c>
      <c r="S37" t="s">
        <v>31</v>
      </c>
      <c r="T37" t="s">
        <v>63</v>
      </c>
      <c r="U37" t="s">
        <v>123</v>
      </c>
      <c r="V37" t="s">
        <v>123</v>
      </c>
      <c r="W37" t="s">
        <v>377</v>
      </c>
      <c r="X37">
        <v>4</v>
      </c>
      <c r="Y37">
        <v>4</v>
      </c>
      <c r="Z37">
        <v>4</v>
      </c>
      <c r="AA37">
        <v>20</v>
      </c>
      <c r="AB37">
        <v>3.3332999999999999</v>
      </c>
      <c r="AC37">
        <v>3.3333333333333299</v>
      </c>
    </row>
    <row r="38" spans="1:29" hidden="1" x14ac:dyDescent="0.2">
      <c r="A38" t="s">
        <v>138</v>
      </c>
      <c r="B38" t="s">
        <v>454</v>
      </c>
      <c r="C38" t="s">
        <v>455</v>
      </c>
      <c r="D38">
        <v>2024</v>
      </c>
      <c r="E38" t="s">
        <v>339</v>
      </c>
      <c r="G38" t="s">
        <v>339</v>
      </c>
      <c r="H38">
        <v>1</v>
      </c>
      <c r="I38" t="s">
        <v>340</v>
      </c>
      <c r="J38" s="1">
        <v>45474.492326388892</v>
      </c>
      <c r="L38" t="s">
        <v>445</v>
      </c>
      <c r="O38" t="s">
        <v>449</v>
      </c>
      <c r="P38" t="s">
        <v>446</v>
      </c>
      <c r="Q38" t="s">
        <v>445</v>
      </c>
      <c r="S38" t="s">
        <v>31</v>
      </c>
      <c r="T38" t="s">
        <v>63</v>
      </c>
      <c r="U38" t="s">
        <v>458</v>
      </c>
      <c r="V38" t="s">
        <v>458</v>
      </c>
      <c r="W38" t="s">
        <v>368</v>
      </c>
      <c r="X38">
        <v>4</v>
      </c>
      <c r="Y38">
        <v>4</v>
      </c>
      <c r="Z38">
        <v>4</v>
      </c>
      <c r="AA38">
        <v>20</v>
      </c>
      <c r="AB38">
        <v>3.3332999999999999</v>
      </c>
      <c r="AC38">
        <v>3.3333333333333299</v>
      </c>
    </row>
    <row r="39" spans="1:29" hidden="1" x14ac:dyDescent="0.2">
      <c r="A39" t="s">
        <v>138</v>
      </c>
      <c r="B39" t="s">
        <v>454</v>
      </c>
      <c r="C39" t="s">
        <v>455</v>
      </c>
      <c r="D39">
        <v>2024</v>
      </c>
      <c r="E39" t="s">
        <v>339</v>
      </c>
      <c r="G39" t="s">
        <v>339</v>
      </c>
      <c r="H39">
        <v>1</v>
      </c>
      <c r="I39" t="s">
        <v>340</v>
      </c>
      <c r="J39" s="1">
        <v>45502.967719907407</v>
      </c>
      <c r="L39" t="s">
        <v>445</v>
      </c>
      <c r="O39" t="s">
        <v>449</v>
      </c>
      <c r="P39" t="s">
        <v>446</v>
      </c>
      <c r="Q39" t="s">
        <v>445</v>
      </c>
      <c r="S39" t="s">
        <v>31</v>
      </c>
      <c r="T39" t="s">
        <v>62</v>
      </c>
      <c r="U39" t="s">
        <v>399</v>
      </c>
      <c r="V39" t="s">
        <v>399</v>
      </c>
      <c r="W39" t="s">
        <v>369</v>
      </c>
      <c r="X39">
        <v>4</v>
      </c>
      <c r="Y39">
        <v>4</v>
      </c>
      <c r="Z39">
        <v>4</v>
      </c>
      <c r="AA39">
        <v>20</v>
      </c>
      <c r="AB39">
        <v>10</v>
      </c>
      <c r="AC39">
        <v>10</v>
      </c>
    </row>
    <row r="40" spans="1:29" hidden="1" x14ac:dyDescent="0.2">
      <c r="A40" t="s">
        <v>138</v>
      </c>
      <c r="B40" t="s">
        <v>454</v>
      </c>
      <c r="C40" t="s">
        <v>455</v>
      </c>
      <c r="D40">
        <v>2024</v>
      </c>
      <c r="E40" t="s">
        <v>339</v>
      </c>
      <c r="G40" t="s">
        <v>339</v>
      </c>
      <c r="H40">
        <v>1</v>
      </c>
      <c r="I40" t="s">
        <v>340</v>
      </c>
      <c r="J40" s="1">
        <v>45502.967719907407</v>
      </c>
      <c r="L40" t="s">
        <v>445</v>
      </c>
      <c r="O40" t="s">
        <v>449</v>
      </c>
      <c r="P40" t="s">
        <v>446</v>
      </c>
      <c r="Q40" t="s">
        <v>445</v>
      </c>
      <c r="S40" t="s">
        <v>31</v>
      </c>
      <c r="T40" t="s">
        <v>62</v>
      </c>
      <c r="U40" t="s">
        <v>459</v>
      </c>
      <c r="V40" t="s">
        <v>459</v>
      </c>
      <c r="W40" t="s">
        <v>344</v>
      </c>
      <c r="X40">
        <v>3</v>
      </c>
      <c r="Y40">
        <v>3</v>
      </c>
      <c r="Z40">
        <v>4</v>
      </c>
      <c r="AA40">
        <v>20</v>
      </c>
      <c r="AB40">
        <v>10</v>
      </c>
      <c r="AC40">
        <v>10</v>
      </c>
    </row>
    <row r="41" spans="1:29" x14ac:dyDescent="0.2">
      <c r="A41" t="s">
        <v>138</v>
      </c>
      <c r="B41" t="s">
        <v>454</v>
      </c>
      <c r="C41" t="s">
        <v>455</v>
      </c>
      <c r="D41">
        <v>2024</v>
      </c>
      <c r="E41" t="s">
        <v>339</v>
      </c>
      <c r="G41" t="s">
        <v>339</v>
      </c>
      <c r="H41">
        <v>1</v>
      </c>
      <c r="I41" t="s">
        <v>340</v>
      </c>
      <c r="J41" s="1">
        <v>45474.501493055555</v>
      </c>
      <c r="L41" t="s">
        <v>445</v>
      </c>
      <c r="O41" t="s">
        <v>449</v>
      </c>
      <c r="P41" t="s">
        <v>446</v>
      </c>
      <c r="Q41" t="s">
        <v>445</v>
      </c>
      <c r="S41" t="s">
        <v>31</v>
      </c>
      <c r="T41" t="s">
        <v>64</v>
      </c>
      <c r="U41" t="s">
        <v>408</v>
      </c>
      <c r="V41" t="s">
        <v>408</v>
      </c>
      <c r="W41" t="s">
        <v>345</v>
      </c>
      <c r="X41">
        <v>3</v>
      </c>
      <c r="Y41">
        <v>3</v>
      </c>
      <c r="Z41">
        <v>4</v>
      </c>
      <c r="AA41">
        <v>15</v>
      </c>
      <c r="AB41">
        <v>1.5</v>
      </c>
      <c r="AC41">
        <v>1.875</v>
      </c>
    </row>
    <row r="42" spans="1:29" x14ac:dyDescent="0.2">
      <c r="A42" t="s">
        <v>138</v>
      </c>
      <c r="B42" t="s">
        <v>454</v>
      </c>
      <c r="C42" t="s">
        <v>455</v>
      </c>
      <c r="D42">
        <v>2024</v>
      </c>
      <c r="E42" t="s">
        <v>339</v>
      </c>
      <c r="G42" t="s">
        <v>339</v>
      </c>
      <c r="H42">
        <v>1</v>
      </c>
      <c r="I42" t="s">
        <v>340</v>
      </c>
      <c r="J42" s="1">
        <v>45474.501493055555</v>
      </c>
      <c r="L42" t="s">
        <v>445</v>
      </c>
      <c r="O42" t="s">
        <v>449</v>
      </c>
      <c r="P42" t="s">
        <v>446</v>
      </c>
      <c r="Q42" t="s">
        <v>445</v>
      </c>
      <c r="S42" t="s">
        <v>31</v>
      </c>
      <c r="T42" t="s">
        <v>64</v>
      </c>
      <c r="U42" t="s">
        <v>409</v>
      </c>
      <c r="V42" t="s">
        <v>409</v>
      </c>
      <c r="W42" t="s">
        <v>343</v>
      </c>
      <c r="X42">
        <v>4</v>
      </c>
      <c r="Y42">
        <v>4</v>
      </c>
      <c r="Z42">
        <v>4</v>
      </c>
      <c r="AA42">
        <v>15</v>
      </c>
      <c r="AB42">
        <v>1.5</v>
      </c>
      <c r="AC42">
        <v>1.875</v>
      </c>
    </row>
    <row r="43" spans="1:29" hidden="1" x14ac:dyDescent="0.2">
      <c r="A43" t="s">
        <v>138</v>
      </c>
      <c r="B43" t="s">
        <v>454</v>
      </c>
      <c r="C43" t="s">
        <v>455</v>
      </c>
      <c r="D43">
        <v>2024</v>
      </c>
      <c r="E43" t="s">
        <v>339</v>
      </c>
      <c r="G43" t="s">
        <v>339</v>
      </c>
      <c r="H43">
        <v>1</v>
      </c>
      <c r="I43" t="s">
        <v>340</v>
      </c>
      <c r="J43" s="1">
        <v>45495.359351851854</v>
      </c>
      <c r="L43" t="s">
        <v>445</v>
      </c>
      <c r="O43" t="s">
        <v>449</v>
      </c>
      <c r="P43" t="s">
        <v>446</v>
      </c>
      <c r="Q43" t="s">
        <v>445</v>
      </c>
      <c r="S43" t="s">
        <v>31</v>
      </c>
      <c r="T43" t="s">
        <v>64</v>
      </c>
      <c r="U43" t="s">
        <v>460</v>
      </c>
      <c r="V43" t="s">
        <v>460</v>
      </c>
      <c r="W43" t="s">
        <v>370</v>
      </c>
      <c r="X43">
        <v>4</v>
      </c>
      <c r="Y43">
        <v>4</v>
      </c>
      <c r="Z43">
        <v>4</v>
      </c>
      <c r="AA43">
        <v>15</v>
      </c>
      <c r="AB43">
        <v>1.5</v>
      </c>
      <c r="AC43">
        <v>1.875</v>
      </c>
    </row>
    <row r="44" spans="1:29" hidden="1" x14ac:dyDescent="0.2">
      <c r="A44" t="s">
        <v>138</v>
      </c>
      <c r="B44" t="s">
        <v>454</v>
      </c>
      <c r="C44" t="s">
        <v>455</v>
      </c>
      <c r="D44">
        <v>2024</v>
      </c>
      <c r="E44" t="s">
        <v>339</v>
      </c>
      <c r="G44" t="s">
        <v>339</v>
      </c>
      <c r="H44">
        <v>1</v>
      </c>
      <c r="I44" t="s">
        <v>340</v>
      </c>
      <c r="J44" s="1">
        <v>45474.492326388892</v>
      </c>
      <c r="L44" t="s">
        <v>445</v>
      </c>
      <c r="O44" t="s">
        <v>449</v>
      </c>
      <c r="P44" t="s">
        <v>446</v>
      </c>
      <c r="Q44" t="s">
        <v>445</v>
      </c>
      <c r="S44" t="s">
        <v>31</v>
      </c>
      <c r="T44" t="s">
        <v>64</v>
      </c>
      <c r="U44" t="s">
        <v>460</v>
      </c>
      <c r="V44" t="s">
        <v>460</v>
      </c>
      <c r="W44" t="s">
        <v>370</v>
      </c>
      <c r="X44">
        <v>4</v>
      </c>
      <c r="Y44">
        <v>4</v>
      </c>
      <c r="Z44">
        <v>4</v>
      </c>
      <c r="AA44">
        <v>15</v>
      </c>
      <c r="AB44">
        <v>1.5</v>
      </c>
      <c r="AC44">
        <v>1.875</v>
      </c>
    </row>
    <row r="45" spans="1:29" hidden="1" x14ac:dyDescent="0.2">
      <c r="A45" t="s">
        <v>138</v>
      </c>
      <c r="B45" t="s">
        <v>454</v>
      </c>
      <c r="C45" t="s">
        <v>455</v>
      </c>
      <c r="D45">
        <v>2024</v>
      </c>
      <c r="E45" t="s">
        <v>339</v>
      </c>
      <c r="G45" t="s">
        <v>339</v>
      </c>
      <c r="H45">
        <v>1</v>
      </c>
      <c r="I45" t="s">
        <v>340</v>
      </c>
      <c r="J45" s="1">
        <v>45502.967719907407</v>
      </c>
      <c r="L45" t="s">
        <v>445</v>
      </c>
      <c r="O45" t="s">
        <v>449</v>
      </c>
      <c r="P45" t="s">
        <v>446</v>
      </c>
      <c r="Q45" t="s">
        <v>445</v>
      </c>
      <c r="S45" t="s">
        <v>31</v>
      </c>
      <c r="T45" t="s">
        <v>64</v>
      </c>
      <c r="U45" t="s">
        <v>460</v>
      </c>
      <c r="V45" t="s">
        <v>460</v>
      </c>
      <c r="W45" t="s">
        <v>370</v>
      </c>
      <c r="X45">
        <v>4</v>
      </c>
      <c r="Y45">
        <v>4</v>
      </c>
      <c r="Z45">
        <v>4</v>
      </c>
      <c r="AA45">
        <v>15</v>
      </c>
      <c r="AB45">
        <v>1.5</v>
      </c>
      <c r="AC45">
        <v>1.875</v>
      </c>
    </row>
    <row r="46" spans="1:29" hidden="1" x14ac:dyDescent="0.2">
      <c r="A46" t="s">
        <v>138</v>
      </c>
      <c r="B46" t="s">
        <v>454</v>
      </c>
      <c r="C46" t="s">
        <v>455</v>
      </c>
      <c r="D46">
        <v>2024</v>
      </c>
      <c r="E46" t="s">
        <v>339</v>
      </c>
      <c r="G46" t="s">
        <v>339</v>
      </c>
      <c r="H46">
        <v>1</v>
      </c>
      <c r="I46" t="s">
        <v>340</v>
      </c>
      <c r="J46" s="1">
        <v>45495.359351851854</v>
      </c>
      <c r="L46" t="s">
        <v>445</v>
      </c>
      <c r="O46" t="s">
        <v>449</v>
      </c>
      <c r="P46" t="s">
        <v>446</v>
      </c>
      <c r="Q46" t="s">
        <v>445</v>
      </c>
      <c r="S46" t="s">
        <v>31</v>
      </c>
      <c r="T46" t="s">
        <v>64</v>
      </c>
      <c r="U46" t="s">
        <v>461</v>
      </c>
      <c r="V46" t="s">
        <v>461</v>
      </c>
      <c r="W46" t="s">
        <v>462</v>
      </c>
      <c r="X46">
        <v>3</v>
      </c>
      <c r="Y46">
        <v>3</v>
      </c>
      <c r="Z46">
        <v>4</v>
      </c>
      <c r="AA46">
        <v>15</v>
      </c>
      <c r="AB46">
        <v>1.5</v>
      </c>
      <c r="AC46">
        <v>1.875</v>
      </c>
    </row>
    <row r="47" spans="1:29" hidden="1" x14ac:dyDescent="0.2">
      <c r="A47" t="s">
        <v>138</v>
      </c>
      <c r="B47" t="s">
        <v>454</v>
      </c>
      <c r="C47" t="s">
        <v>455</v>
      </c>
      <c r="D47">
        <v>2024</v>
      </c>
      <c r="E47" t="s">
        <v>339</v>
      </c>
      <c r="G47" t="s">
        <v>339</v>
      </c>
      <c r="H47">
        <v>1</v>
      </c>
      <c r="I47" t="s">
        <v>340</v>
      </c>
      <c r="J47" s="1">
        <v>45502.967719907407</v>
      </c>
      <c r="L47" t="s">
        <v>445</v>
      </c>
      <c r="O47" t="s">
        <v>449</v>
      </c>
      <c r="P47" t="s">
        <v>446</v>
      </c>
      <c r="Q47" t="s">
        <v>445</v>
      </c>
      <c r="S47" t="s">
        <v>31</v>
      </c>
      <c r="T47" t="s">
        <v>64</v>
      </c>
      <c r="U47" t="s">
        <v>463</v>
      </c>
      <c r="V47" t="s">
        <v>463</v>
      </c>
      <c r="W47" t="s">
        <v>464</v>
      </c>
      <c r="X47">
        <v>4</v>
      </c>
      <c r="Y47">
        <v>4</v>
      </c>
      <c r="Z47">
        <v>4</v>
      </c>
      <c r="AA47">
        <v>15</v>
      </c>
      <c r="AB47">
        <v>1.5</v>
      </c>
      <c r="AC47">
        <v>1.875</v>
      </c>
    </row>
    <row r="48" spans="1:29" hidden="1" x14ac:dyDescent="0.2">
      <c r="A48" t="s">
        <v>138</v>
      </c>
      <c r="B48" t="s">
        <v>454</v>
      </c>
      <c r="C48" t="s">
        <v>455</v>
      </c>
      <c r="D48">
        <v>2024</v>
      </c>
      <c r="E48" t="s">
        <v>339</v>
      </c>
      <c r="G48" t="s">
        <v>339</v>
      </c>
      <c r="H48">
        <v>1</v>
      </c>
      <c r="I48" t="s">
        <v>340</v>
      </c>
      <c r="J48" s="1">
        <v>45474.492326388892</v>
      </c>
      <c r="L48" t="s">
        <v>445</v>
      </c>
      <c r="O48" t="s">
        <v>449</v>
      </c>
      <c r="P48" t="s">
        <v>446</v>
      </c>
      <c r="Q48" t="s">
        <v>445</v>
      </c>
      <c r="S48" t="s">
        <v>31</v>
      </c>
      <c r="T48" t="s">
        <v>64</v>
      </c>
      <c r="U48" t="s">
        <v>465</v>
      </c>
      <c r="V48" t="s">
        <v>465</v>
      </c>
      <c r="W48" t="s">
        <v>466</v>
      </c>
      <c r="X48">
        <v>4</v>
      </c>
      <c r="Y48">
        <v>4</v>
      </c>
      <c r="Z48">
        <v>4</v>
      </c>
      <c r="AA48">
        <v>15</v>
      </c>
      <c r="AB48">
        <v>1.5</v>
      </c>
      <c r="AC48">
        <v>1.875</v>
      </c>
    </row>
    <row r="49" spans="1:29" hidden="1" x14ac:dyDescent="0.2">
      <c r="A49" t="s">
        <v>138</v>
      </c>
      <c r="B49" t="s">
        <v>454</v>
      </c>
      <c r="C49" t="s">
        <v>455</v>
      </c>
      <c r="D49">
        <v>2024</v>
      </c>
      <c r="E49" t="s">
        <v>339</v>
      </c>
      <c r="G49" t="s">
        <v>339</v>
      </c>
      <c r="H49">
        <v>1</v>
      </c>
      <c r="I49" t="s">
        <v>340</v>
      </c>
      <c r="J49" s="1">
        <v>45495.359351851854</v>
      </c>
      <c r="L49" t="s">
        <v>445</v>
      </c>
      <c r="O49" t="s">
        <v>449</v>
      </c>
      <c r="P49" t="s">
        <v>446</v>
      </c>
      <c r="Q49" t="s">
        <v>445</v>
      </c>
      <c r="S49" t="s">
        <v>31</v>
      </c>
      <c r="T49" t="s">
        <v>64</v>
      </c>
      <c r="U49" t="s">
        <v>467</v>
      </c>
      <c r="V49" t="s">
        <v>467</v>
      </c>
      <c r="W49" t="s">
        <v>468</v>
      </c>
      <c r="X49">
        <v>4</v>
      </c>
      <c r="Y49">
        <v>4</v>
      </c>
      <c r="Z49">
        <v>4</v>
      </c>
      <c r="AA49">
        <v>15</v>
      </c>
      <c r="AB49">
        <v>1.5</v>
      </c>
      <c r="AC49">
        <v>1.875</v>
      </c>
    </row>
    <row r="50" spans="1:29" hidden="1" x14ac:dyDescent="0.2">
      <c r="A50" t="s">
        <v>138</v>
      </c>
      <c r="B50" t="s">
        <v>454</v>
      </c>
      <c r="C50" t="s">
        <v>455</v>
      </c>
      <c r="D50">
        <v>2024</v>
      </c>
      <c r="E50" t="s">
        <v>339</v>
      </c>
      <c r="G50" t="s">
        <v>339</v>
      </c>
      <c r="H50">
        <v>1</v>
      </c>
      <c r="I50" t="s">
        <v>340</v>
      </c>
      <c r="J50" s="1">
        <v>45495.359351851854</v>
      </c>
      <c r="L50" t="s">
        <v>445</v>
      </c>
      <c r="O50" t="s">
        <v>449</v>
      </c>
      <c r="P50" t="s">
        <v>446</v>
      </c>
      <c r="Q50" t="s">
        <v>445</v>
      </c>
      <c r="S50" t="s">
        <v>31</v>
      </c>
      <c r="T50" t="s">
        <v>64</v>
      </c>
      <c r="U50" t="s">
        <v>469</v>
      </c>
      <c r="V50" t="s">
        <v>469</v>
      </c>
      <c r="W50" t="s">
        <v>373</v>
      </c>
      <c r="X50">
        <v>4</v>
      </c>
      <c r="Y50">
        <v>4</v>
      </c>
      <c r="Z50">
        <v>4</v>
      </c>
      <c r="AA50">
        <v>15</v>
      </c>
      <c r="AB50">
        <v>1.5</v>
      </c>
      <c r="AC50">
        <v>1.875</v>
      </c>
    </row>
    <row r="51" spans="1:29" x14ac:dyDescent="0.2">
      <c r="A51" t="s">
        <v>138</v>
      </c>
      <c r="B51" t="s">
        <v>454</v>
      </c>
      <c r="C51" t="s">
        <v>455</v>
      </c>
      <c r="D51">
        <v>2024</v>
      </c>
      <c r="E51" t="s">
        <v>339</v>
      </c>
      <c r="G51" t="s">
        <v>339</v>
      </c>
      <c r="H51">
        <v>1</v>
      </c>
      <c r="I51" t="s">
        <v>340</v>
      </c>
      <c r="J51" s="1">
        <v>45474.501493055555</v>
      </c>
      <c r="L51" t="s">
        <v>445</v>
      </c>
      <c r="O51" t="s">
        <v>449</v>
      </c>
      <c r="P51" t="s">
        <v>446</v>
      </c>
      <c r="Q51" t="s">
        <v>445</v>
      </c>
      <c r="S51" t="s">
        <v>31</v>
      </c>
      <c r="T51" t="s">
        <v>376</v>
      </c>
      <c r="U51" t="s">
        <v>404</v>
      </c>
      <c r="V51" t="s">
        <v>404</v>
      </c>
      <c r="W51" t="s">
        <v>374</v>
      </c>
      <c r="X51">
        <v>4</v>
      </c>
      <c r="Y51">
        <v>4</v>
      </c>
      <c r="Z51">
        <v>4</v>
      </c>
      <c r="AA51">
        <v>15</v>
      </c>
      <c r="AB51">
        <v>15</v>
      </c>
      <c r="AC51">
        <v>15</v>
      </c>
    </row>
    <row r="52" spans="1:29" hidden="1" x14ac:dyDescent="0.2">
      <c r="A52" t="s">
        <v>139</v>
      </c>
      <c r="B52" t="s">
        <v>454</v>
      </c>
      <c r="C52" t="s">
        <v>455</v>
      </c>
      <c r="D52">
        <v>2024</v>
      </c>
      <c r="E52" t="s">
        <v>339</v>
      </c>
      <c r="G52" t="s">
        <v>339</v>
      </c>
      <c r="H52">
        <v>1</v>
      </c>
      <c r="I52" t="s">
        <v>340</v>
      </c>
      <c r="J52" s="1">
        <v>45502.967719907407</v>
      </c>
      <c r="L52" t="s">
        <v>445</v>
      </c>
      <c r="O52" t="s">
        <v>449</v>
      </c>
      <c r="P52" t="s">
        <v>446</v>
      </c>
      <c r="Q52" t="s">
        <v>445</v>
      </c>
      <c r="S52" t="s">
        <v>31</v>
      </c>
      <c r="U52" t="s">
        <v>140</v>
      </c>
      <c r="V52" t="s">
        <v>140</v>
      </c>
      <c r="W52" t="s">
        <v>141</v>
      </c>
      <c r="X52">
        <v>83</v>
      </c>
      <c r="Y52">
        <v>83</v>
      </c>
      <c r="Z52">
        <v>4</v>
      </c>
      <c r="AA52">
        <v>30</v>
      </c>
      <c r="AB52">
        <v>15</v>
      </c>
      <c r="AC52">
        <v>15</v>
      </c>
    </row>
    <row r="53" spans="1:29" x14ac:dyDescent="0.2">
      <c r="A53" t="s">
        <v>142</v>
      </c>
      <c r="B53" t="s">
        <v>454</v>
      </c>
      <c r="C53" t="s">
        <v>455</v>
      </c>
      <c r="D53">
        <v>2024</v>
      </c>
      <c r="E53" t="s">
        <v>339</v>
      </c>
      <c r="G53" t="s">
        <v>339</v>
      </c>
      <c r="H53">
        <v>1</v>
      </c>
      <c r="I53" t="s">
        <v>340</v>
      </c>
      <c r="J53" s="1">
        <v>45474.501493055555</v>
      </c>
      <c r="L53" t="s">
        <v>445</v>
      </c>
      <c r="O53" t="s">
        <v>449</v>
      </c>
      <c r="P53" t="s">
        <v>446</v>
      </c>
      <c r="Q53" t="s">
        <v>445</v>
      </c>
      <c r="S53" t="s">
        <v>31</v>
      </c>
      <c r="T53" t="s">
        <v>61</v>
      </c>
      <c r="U53" t="s">
        <v>146</v>
      </c>
      <c r="V53" t="s">
        <v>146</v>
      </c>
      <c r="W53" t="s">
        <v>346</v>
      </c>
      <c r="X53">
        <v>7.5</v>
      </c>
      <c r="Y53">
        <v>3</v>
      </c>
      <c r="Z53">
        <v>4</v>
      </c>
      <c r="AA53">
        <v>30</v>
      </c>
      <c r="AB53">
        <v>10</v>
      </c>
      <c r="AC53">
        <v>10</v>
      </c>
    </row>
    <row r="54" spans="1:29" x14ac:dyDescent="0.2">
      <c r="A54" t="s">
        <v>142</v>
      </c>
      <c r="B54" t="s">
        <v>454</v>
      </c>
      <c r="C54" t="s">
        <v>455</v>
      </c>
      <c r="D54">
        <v>2024</v>
      </c>
      <c r="E54" t="s">
        <v>339</v>
      </c>
      <c r="G54" t="s">
        <v>339</v>
      </c>
      <c r="H54">
        <v>1</v>
      </c>
      <c r="I54" t="s">
        <v>340</v>
      </c>
      <c r="J54" s="1">
        <v>45474.501493055555</v>
      </c>
      <c r="L54" t="s">
        <v>445</v>
      </c>
      <c r="O54" t="s">
        <v>449</v>
      </c>
      <c r="P54" t="s">
        <v>446</v>
      </c>
      <c r="Q54" t="s">
        <v>445</v>
      </c>
      <c r="S54" t="s">
        <v>31</v>
      </c>
      <c r="T54" t="s">
        <v>61</v>
      </c>
      <c r="U54" t="s">
        <v>147</v>
      </c>
      <c r="V54" t="s">
        <v>147</v>
      </c>
      <c r="W54" t="s">
        <v>362</v>
      </c>
      <c r="X54">
        <v>7.5</v>
      </c>
      <c r="Y54">
        <v>3</v>
      </c>
      <c r="Z54">
        <v>4</v>
      </c>
      <c r="AA54">
        <v>30</v>
      </c>
      <c r="AB54">
        <v>10</v>
      </c>
      <c r="AC54">
        <v>10</v>
      </c>
    </row>
    <row r="55" spans="1:29" x14ac:dyDescent="0.2">
      <c r="A55" t="s">
        <v>142</v>
      </c>
      <c r="B55" t="s">
        <v>454</v>
      </c>
      <c r="C55" t="s">
        <v>455</v>
      </c>
      <c r="D55">
        <v>2024</v>
      </c>
      <c r="E55" t="s">
        <v>339</v>
      </c>
      <c r="G55" t="s">
        <v>339</v>
      </c>
      <c r="H55">
        <v>1</v>
      </c>
      <c r="I55" t="s">
        <v>340</v>
      </c>
      <c r="J55" s="1">
        <v>45474.501493055555</v>
      </c>
      <c r="L55" t="s">
        <v>445</v>
      </c>
      <c r="O55" t="s">
        <v>449</v>
      </c>
      <c r="P55" t="s">
        <v>446</v>
      </c>
      <c r="Q55" t="s">
        <v>445</v>
      </c>
      <c r="S55" t="s">
        <v>31</v>
      </c>
      <c r="T55" t="s">
        <v>61</v>
      </c>
      <c r="U55" t="s">
        <v>143</v>
      </c>
      <c r="V55" t="s">
        <v>143</v>
      </c>
      <c r="W55" t="s">
        <v>363</v>
      </c>
      <c r="X55">
        <v>10</v>
      </c>
      <c r="Y55">
        <v>4</v>
      </c>
      <c r="Z55">
        <v>4</v>
      </c>
      <c r="AA55">
        <v>30</v>
      </c>
      <c r="AB55">
        <v>10</v>
      </c>
      <c r="AC55">
        <v>10</v>
      </c>
    </row>
    <row r="56" spans="1:29" hidden="1" x14ac:dyDescent="0.2">
      <c r="A56" t="s">
        <v>142</v>
      </c>
      <c r="B56" t="s">
        <v>454</v>
      </c>
      <c r="C56" t="s">
        <v>455</v>
      </c>
      <c r="D56">
        <v>2024</v>
      </c>
      <c r="E56" t="s">
        <v>339</v>
      </c>
      <c r="G56" t="s">
        <v>339</v>
      </c>
      <c r="H56">
        <v>1</v>
      </c>
      <c r="I56" t="s">
        <v>340</v>
      </c>
      <c r="J56" s="1">
        <v>45474.492326388892</v>
      </c>
      <c r="L56" t="s">
        <v>445</v>
      </c>
      <c r="O56" t="s">
        <v>449</v>
      </c>
      <c r="P56" t="s">
        <v>446</v>
      </c>
      <c r="Q56" t="s">
        <v>445</v>
      </c>
      <c r="S56" t="s">
        <v>31</v>
      </c>
      <c r="T56" t="s">
        <v>63</v>
      </c>
      <c r="U56" t="s">
        <v>470</v>
      </c>
      <c r="V56" t="s">
        <v>470</v>
      </c>
      <c r="W56" t="s">
        <v>342</v>
      </c>
      <c r="X56">
        <v>3.3332999999999999</v>
      </c>
      <c r="Y56">
        <v>4</v>
      </c>
      <c r="Z56">
        <v>4</v>
      </c>
      <c r="AA56">
        <v>20</v>
      </c>
      <c r="AB56">
        <v>3.3332999999999999</v>
      </c>
      <c r="AC56">
        <v>3.3333333333333299</v>
      </c>
    </row>
    <row r="57" spans="1:29" hidden="1" x14ac:dyDescent="0.2">
      <c r="A57" t="s">
        <v>142</v>
      </c>
      <c r="B57" t="s">
        <v>454</v>
      </c>
      <c r="C57" t="s">
        <v>455</v>
      </c>
      <c r="D57">
        <v>2024</v>
      </c>
      <c r="E57" t="s">
        <v>339</v>
      </c>
      <c r="G57" t="s">
        <v>339</v>
      </c>
      <c r="H57">
        <v>1</v>
      </c>
      <c r="I57" t="s">
        <v>340</v>
      </c>
      <c r="J57" s="1">
        <v>45474.492326388892</v>
      </c>
      <c r="L57" t="s">
        <v>445</v>
      </c>
      <c r="O57" t="s">
        <v>449</v>
      </c>
      <c r="P57" t="s">
        <v>446</v>
      </c>
      <c r="Q57" t="s">
        <v>445</v>
      </c>
      <c r="S57" t="s">
        <v>31</v>
      </c>
      <c r="T57" t="s">
        <v>63</v>
      </c>
      <c r="U57" t="s">
        <v>148</v>
      </c>
      <c r="V57" t="s">
        <v>148</v>
      </c>
      <c r="W57" t="s">
        <v>364</v>
      </c>
      <c r="X57">
        <v>3.3332999999999999</v>
      </c>
      <c r="Y57">
        <v>4</v>
      </c>
      <c r="Z57">
        <v>4</v>
      </c>
      <c r="AA57">
        <v>20</v>
      </c>
      <c r="AB57">
        <v>3.3332999999999999</v>
      </c>
      <c r="AC57">
        <v>3.3333333333333299</v>
      </c>
    </row>
    <row r="58" spans="1:29" hidden="1" x14ac:dyDescent="0.2">
      <c r="A58" t="s">
        <v>142</v>
      </c>
      <c r="B58" t="s">
        <v>454</v>
      </c>
      <c r="C58" t="s">
        <v>455</v>
      </c>
      <c r="D58">
        <v>2024</v>
      </c>
      <c r="E58" t="s">
        <v>339</v>
      </c>
      <c r="G58" t="s">
        <v>339</v>
      </c>
      <c r="H58">
        <v>1</v>
      </c>
      <c r="I58" t="s">
        <v>340</v>
      </c>
      <c r="J58" s="1">
        <v>45474.492326388892</v>
      </c>
      <c r="L58" t="s">
        <v>445</v>
      </c>
      <c r="O58" t="s">
        <v>449</v>
      </c>
      <c r="P58" t="s">
        <v>446</v>
      </c>
      <c r="Q58" t="s">
        <v>445</v>
      </c>
      <c r="S58" t="s">
        <v>31</v>
      </c>
      <c r="T58" t="s">
        <v>63</v>
      </c>
      <c r="U58" t="s">
        <v>149</v>
      </c>
      <c r="V58" t="s">
        <v>149</v>
      </c>
      <c r="W58" t="s">
        <v>365</v>
      </c>
      <c r="X58">
        <v>3.3332999999999999</v>
      </c>
      <c r="Y58">
        <v>4</v>
      </c>
      <c r="Z58">
        <v>4</v>
      </c>
      <c r="AA58">
        <v>20</v>
      </c>
      <c r="AB58">
        <v>3.3332999999999999</v>
      </c>
      <c r="AC58">
        <v>3.3333333333333299</v>
      </c>
    </row>
    <row r="59" spans="1:29" hidden="1" x14ac:dyDescent="0.2">
      <c r="A59" t="s">
        <v>142</v>
      </c>
      <c r="B59" t="s">
        <v>454</v>
      </c>
      <c r="C59" t="s">
        <v>455</v>
      </c>
      <c r="D59">
        <v>2024</v>
      </c>
      <c r="E59" t="s">
        <v>339</v>
      </c>
      <c r="G59" t="s">
        <v>339</v>
      </c>
      <c r="H59">
        <v>1</v>
      </c>
      <c r="I59" t="s">
        <v>340</v>
      </c>
      <c r="J59" s="1">
        <v>45474.492326388892</v>
      </c>
      <c r="L59" t="s">
        <v>445</v>
      </c>
      <c r="O59" t="s">
        <v>449</v>
      </c>
      <c r="P59" t="s">
        <v>446</v>
      </c>
      <c r="Q59" t="s">
        <v>445</v>
      </c>
      <c r="S59" t="s">
        <v>31</v>
      </c>
      <c r="T59" t="s">
        <v>63</v>
      </c>
      <c r="U59" t="s">
        <v>144</v>
      </c>
      <c r="V59" t="s">
        <v>144</v>
      </c>
      <c r="W59" t="s">
        <v>366</v>
      </c>
      <c r="X59">
        <v>3.3332999999999999</v>
      </c>
      <c r="Y59">
        <v>4</v>
      </c>
      <c r="Z59">
        <v>4</v>
      </c>
      <c r="AA59">
        <v>20</v>
      </c>
      <c r="AB59">
        <v>3.3332999999999999</v>
      </c>
      <c r="AC59">
        <v>3.3333333333333299</v>
      </c>
    </row>
    <row r="60" spans="1:29" hidden="1" x14ac:dyDescent="0.2">
      <c r="A60" t="s">
        <v>142</v>
      </c>
      <c r="B60" t="s">
        <v>454</v>
      </c>
      <c r="C60" t="s">
        <v>455</v>
      </c>
      <c r="D60">
        <v>2024</v>
      </c>
      <c r="E60" t="s">
        <v>339</v>
      </c>
      <c r="G60" t="s">
        <v>339</v>
      </c>
      <c r="H60">
        <v>1</v>
      </c>
      <c r="I60" t="s">
        <v>340</v>
      </c>
      <c r="J60" s="1">
        <v>45474.492326388892</v>
      </c>
      <c r="L60" t="s">
        <v>445</v>
      </c>
      <c r="O60" t="s">
        <v>449</v>
      </c>
      <c r="P60" t="s">
        <v>446</v>
      </c>
      <c r="Q60" t="s">
        <v>445</v>
      </c>
      <c r="S60" t="s">
        <v>31</v>
      </c>
      <c r="T60" t="s">
        <v>63</v>
      </c>
      <c r="U60" t="s">
        <v>145</v>
      </c>
      <c r="V60" t="s">
        <v>145</v>
      </c>
      <c r="W60" t="s">
        <v>377</v>
      </c>
      <c r="X60">
        <v>3.3332999999999999</v>
      </c>
      <c r="Y60">
        <v>4</v>
      </c>
      <c r="Z60">
        <v>4</v>
      </c>
      <c r="AA60">
        <v>20</v>
      </c>
      <c r="AB60">
        <v>3.3332999999999999</v>
      </c>
      <c r="AC60">
        <v>3.3333333333333299</v>
      </c>
    </row>
    <row r="61" spans="1:29" hidden="1" x14ac:dyDescent="0.2">
      <c r="A61" t="s">
        <v>142</v>
      </c>
      <c r="B61" t="s">
        <v>454</v>
      </c>
      <c r="C61" t="s">
        <v>455</v>
      </c>
      <c r="D61">
        <v>2024</v>
      </c>
      <c r="E61" t="s">
        <v>339</v>
      </c>
      <c r="G61" t="s">
        <v>339</v>
      </c>
      <c r="H61">
        <v>1</v>
      </c>
      <c r="I61" t="s">
        <v>340</v>
      </c>
      <c r="J61" s="1">
        <v>45474.492326388892</v>
      </c>
      <c r="L61" t="s">
        <v>445</v>
      </c>
      <c r="O61" t="s">
        <v>449</v>
      </c>
      <c r="P61" t="s">
        <v>446</v>
      </c>
      <c r="Q61" t="s">
        <v>445</v>
      </c>
      <c r="S61" t="s">
        <v>31</v>
      </c>
      <c r="T61" t="s">
        <v>63</v>
      </c>
      <c r="U61" t="s">
        <v>471</v>
      </c>
      <c r="V61" t="s">
        <v>471</v>
      </c>
      <c r="W61" t="s">
        <v>368</v>
      </c>
      <c r="X61">
        <v>3.3332999999999999</v>
      </c>
      <c r="Y61">
        <v>4</v>
      </c>
      <c r="Z61">
        <v>4</v>
      </c>
      <c r="AA61">
        <v>20</v>
      </c>
      <c r="AB61">
        <v>3.3332999999999999</v>
      </c>
      <c r="AC61">
        <v>3.3333333333333299</v>
      </c>
    </row>
    <row r="62" spans="1:29" hidden="1" x14ac:dyDescent="0.2">
      <c r="A62" t="s">
        <v>142</v>
      </c>
      <c r="B62" t="s">
        <v>454</v>
      </c>
      <c r="C62" t="s">
        <v>455</v>
      </c>
      <c r="D62">
        <v>2024</v>
      </c>
      <c r="E62" t="s">
        <v>339</v>
      </c>
      <c r="G62" t="s">
        <v>339</v>
      </c>
      <c r="H62">
        <v>1</v>
      </c>
      <c r="I62" t="s">
        <v>340</v>
      </c>
      <c r="J62" s="1">
        <v>45502.967719907407</v>
      </c>
      <c r="L62" t="s">
        <v>445</v>
      </c>
      <c r="O62" t="s">
        <v>449</v>
      </c>
      <c r="P62" t="s">
        <v>446</v>
      </c>
      <c r="Q62" t="s">
        <v>445</v>
      </c>
      <c r="S62" t="s">
        <v>31</v>
      </c>
      <c r="T62" t="s">
        <v>62</v>
      </c>
      <c r="U62" t="s">
        <v>401</v>
      </c>
      <c r="V62" t="s">
        <v>401</v>
      </c>
      <c r="W62" t="s">
        <v>369</v>
      </c>
      <c r="X62">
        <v>10</v>
      </c>
      <c r="Y62">
        <v>4</v>
      </c>
      <c r="Z62">
        <v>4</v>
      </c>
      <c r="AA62">
        <v>20</v>
      </c>
      <c r="AB62">
        <v>10</v>
      </c>
      <c r="AC62">
        <v>10</v>
      </c>
    </row>
    <row r="63" spans="1:29" hidden="1" x14ac:dyDescent="0.2">
      <c r="A63" t="s">
        <v>142</v>
      </c>
      <c r="B63" t="s">
        <v>454</v>
      </c>
      <c r="C63" t="s">
        <v>455</v>
      </c>
      <c r="D63">
        <v>2024</v>
      </c>
      <c r="E63" t="s">
        <v>339</v>
      </c>
      <c r="G63" t="s">
        <v>339</v>
      </c>
      <c r="H63">
        <v>1</v>
      </c>
      <c r="I63" t="s">
        <v>340</v>
      </c>
      <c r="J63" s="1">
        <v>45502.967719907407</v>
      </c>
      <c r="L63" t="s">
        <v>445</v>
      </c>
      <c r="O63" t="s">
        <v>449</v>
      </c>
      <c r="P63" t="s">
        <v>446</v>
      </c>
      <c r="Q63" t="s">
        <v>445</v>
      </c>
      <c r="S63" t="s">
        <v>31</v>
      </c>
      <c r="T63" t="s">
        <v>62</v>
      </c>
      <c r="U63" t="s">
        <v>472</v>
      </c>
      <c r="V63" t="s">
        <v>472</v>
      </c>
      <c r="W63" t="s">
        <v>344</v>
      </c>
      <c r="X63">
        <v>7.5</v>
      </c>
      <c r="Y63">
        <v>3</v>
      </c>
      <c r="Z63">
        <v>4</v>
      </c>
      <c r="AA63">
        <v>20</v>
      </c>
      <c r="AB63">
        <v>10</v>
      </c>
      <c r="AC63">
        <v>10</v>
      </c>
    </row>
    <row r="64" spans="1:29" x14ac:dyDescent="0.2">
      <c r="A64" t="s">
        <v>142</v>
      </c>
      <c r="B64" t="s">
        <v>454</v>
      </c>
      <c r="C64" t="s">
        <v>455</v>
      </c>
      <c r="D64">
        <v>2024</v>
      </c>
      <c r="E64" t="s">
        <v>339</v>
      </c>
      <c r="G64" t="s">
        <v>339</v>
      </c>
      <c r="H64">
        <v>1</v>
      </c>
      <c r="I64" t="s">
        <v>340</v>
      </c>
      <c r="J64" s="1">
        <v>45474.501493055555</v>
      </c>
      <c r="L64" t="s">
        <v>445</v>
      </c>
      <c r="O64" t="s">
        <v>449</v>
      </c>
      <c r="P64" t="s">
        <v>446</v>
      </c>
      <c r="Q64" t="s">
        <v>445</v>
      </c>
      <c r="S64" t="s">
        <v>31</v>
      </c>
      <c r="T64" t="s">
        <v>64</v>
      </c>
      <c r="U64" t="s">
        <v>473</v>
      </c>
      <c r="V64" t="s">
        <v>473</v>
      </c>
      <c r="W64" t="s">
        <v>345</v>
      </c>
      <c r="X64">
        <v>1.125</v>
      </c>
      <c r="Y64">
        <v>3</v>
      </c>
      <c r="Z64">
        <v>4</v>
      </c>
      <c r="AA64">
        <v>15</v>
      </c>
      <c r="AB64">
        <v>1.5</v>
      </c>
      <c r="AC64">
        <v>1.875</v>
      </c>
    </row>
    <row r="65" spans="1:29" x14ac:dyDescent="0.2">
      <c r="A65" t="s">
        <v>142</v>
      </c>
      <c r="B65" t="s">
        <v>454</v>
      </c>
      <c r="C65" t="s">
        <v>455</v>
      </c>
      <c r="D65">
        <v>2024</v>
      </c>
      <c r="E65" t="s">
        <v>339</v>
      </c>
      <c r="G65" t="s">
        <v>339</v>
      </c>
      <c r="H65">
        <v>1</v>
      </c>
      <c r="I65" t="s">
        <v>340</v>
      </c>
      <c r="J65" s="1">
        <v>45474.501493055555</v>
      </c>
      <c r="L65" t="s">
        <v>445</v>
      </c>
      <c r="O65" t="s">
        <v>449</v>
      </c>
      <c r="P65" t="s">
        <v>446</v>
      </c>
      <c r="Q65" t="s">
        <v>445</v>
      </c>
      <c r="S65" t="s">
        <v>31</v>
      </c>
      <c r="T65" t="s">
        <v>64</v>
      </c>
      <c r="U65" t="s">
        <v>474</v>
      </c>
      <c r="V65" t="s">
        <v>474</v>
      </c>
      <c r="W65" t="s">
        <v>343</v>
      </c>
      <c r="X65">
        <v>1.5</v>
      </c>
      <c r="Y65">
        <v>4</v>
      </c>
      <c r="Z65">
        <v>4</v>
      </c>
      <c r="AA65">
        <v>15</v>
      </c>
      <c r="AB65">
        <v>1.5</v>
      </c>
      <c r="AC65">
        <v>1.875</v>
      </c>
    </row>
    <row r="66" spans="1:29" hidden="1" x14ac:dyDescent="0.2">
      <c r="A66" t="s">
        <v>142</v>
      </c>
      <c r="B66" t="s">
        <v>454</v>
      </c>
      <c r="C66" t="s">
        <v>455</v>
      </c>
      <c r="D66">
        <v>2024</v>
      </c>
      <c r="E66" t="s">
        <v>339</v>
      </c>
      <c r="G66" t="s">
        <v>339</v>
      </c>
      <c r="H66">
        <v>1</v>
      </c>
      <c r="I66" t="s">
        <v>340</v>
      </c>
      <c r="J66" s="1">
        <v>45495.359351851854</v>
      </c>
      <c r="L66" t="s">
        <v>445</v>
      </c>
      <c r="O66" t="s">
        <v>449</v>
      </c>
      <c r="P66" t="s">
        <v>446</v>
      </c>
      <c r="Q66" t="s">
        <v>445</v>
      </c>
      <c r="S66" t="s">
        <v>31</v>
      </c>
      <c r="T66" t="s">
        <v>64</v>
      </c>
      <c r="U66" t="s">
        <v>475</v>
      </c>
      <c r="V66" t="s">
        <v>475</v>
      </c>
      <c r="W66" t="s">
        <v>370</v>
      </c>
      <c r="X66">
        <v>1.5</v>
      </c>
      <c r="Y66">
        <v>4</v>
      </c>
      <c r="Z66">
        <v>4</v>
      </c>
      <c r="AA66">
        <v>15</v>
      </c>
      <c r="AB66">
        <v>1.5</v>
      </c>
      <c r="AC66">
        <v>1.875</v>
      </c>
    </row>
    <row r="67" spans="1:29" hidden="1" x14ac:dyDescent="0.2">
      <c r="A67" t="s">
        <v>142</v>
      </c>
      <c r="B67" t="s">
        <v>454</v>
      </c>
      <c r="C67" t="s">
        <v>455</v>
      </c>
      <c r="D67">
        <v>2024</v>
      </c>
      <c r="E67" t="s">
        <v>339</v>
      </c>
      <c r="G67" t="s">
        <v>339</v>
      </c>
      <c r="H67">
        <v>1</v>
      </c>
      <c r="I67" t="s">
        <v>340</v>
      </c>
      <c r="J67" s="1">
        <v>45502.967719907407</v>
      </c>
      <c r="L67" t="s">
        <v>445</v>
      </c>
      <c r="O67" t="s">
        <v>449</v>
      </c>
      <c r="P67" t="s">
        <v>446</v>
      </c>
      <c r="Q67" t="s">
        <v>445</v>
      </c>
      <c r="S67" t="s">
        <v>31</v>
      </c>
      <c r="T67" t="s">
        <v>64</v>
      </c>
      <c r="U67" t="s">
        <v>475</v>
      </c>
      <c r="V67" t="s">
        <v>475</v>
      </c>
      <c r="W67" t="s">
        <v>370</v>
      </c>
      <c r="X67">
        <v>1.5</v>
      </c>
      <c r="Y67">
        <v>4</v>
      </c>
      <c r="Z67">
        <v>4</v>
      </c>
      <c r="AA67">
        <v>15</v>
      </c>
      <c r="AB67">
        <v>1.5</v>
      </c>
      <c r="AC67">
        <v>1.875</v>
      </c>
    </row>
    <row r="68" spans="1:29" hidden="1" x14ac:dyDescent="0.2">
      <c r="A68" t="s">
        <v>142</v>
      </c>
      <c r="B68" t="s">
        <v>454</v>
      </c>
      <c r="C68" t="s">
        <v>455</v>
      </c>
      <c r="D68">
        <v>2024</v>
      </c>
      <c r="E68" t="s">
        <v>339</v>
      </c>
      <c r="G68" t="s">
        <v>339</v>
      </c>
      <c r="H68">
        <v>1</v>
      </c>
      <c r="I68" t="s">
        <v>340</v>
      </c>
      <c r="J68" s="1">
        <v>45474.492326388892</v>
      </c>
      <c r="L68" t="s">
        <v>445</v>
      </c>
      <c r="O68" t="s">
        <v>449</v>
      </c>
      <c r="P68" t="s">
        <v>446</v>
      </c>
      <c r="Q68" t="s">
        <v>445</v>
      </c>
      <c r="S68" t="s">
        <v>31</v>
      </c>
      <c r="T68" t="s">
        <v>64</v>
      </c>
      <c r="U68" t="s">
        <v>475</v>
      </c>
      <c r="V68" t="s">
        <v>475</v>
      </c>
      <c r="W68" t="s">
        <v>370</v>
      </c>
      <c r="X68">
        <v>1.5</v>
      </c>
      <c r="Y68">
        <v>4</v>
      </c>
      <c r="Z68">
        <v>4</v>
      </c>
      <c r="AA68">
        <v>15</v>
      </c>
      <c r="AB68">
        <v>1.5</v>
      </c>
      <c r="AC68">
        <v>1.875</v>
      </c>
    </row>
    <row r="69" spans="1:29" hidden="1" x14ac:dyDescent="0.2">
      <c r="A69" t="s">
        <v>142</v>
      </c>
      <c r="B69" t="s">
        <v>454</v>
      </c>
      <c r="C69" t="s">
        <v>455</v>
      </c>
      <c r="D69">
        <v>2024</v>
      </c>
      <c r="E69" t="s">
        <v>339</v>
      </c>
      <c r="G69" t="s">
        <v>339</v>
      </c>
      <c r="H69">
        <v>1</v>
      </c>
      <c r="I69" t="s">
        <v>340</v>
      </c>
      <c r="J69" s="1">
        <v>45495.359351851854</v>
      </c>
      <c r="L69" t="s">
        <v>445</v>
      </c>
      <c r="O69" t="s">
        <v>449</v>
      </c>
      <c r="P69" t="s">
        <v>446</v>
      </c>
      <c r="Q69" t="s">
        <v>445</v>
      </c>
      <c r="S69" t="s">
        <v>31</v>
      </c>
      <c r="T69" t="s">
        <v>64</v>
      </c>
      <c r="U69" t="s">
        <v>476</v>
      </c>
      <c r="V69" t="s">
        <v>476</v>
      </c>
      <c r="W69" t="s">
        <v>462</v>
      </c>
      <c r="X69">
        <v>1.125</v>
      </c>
      <c r="Y69">
        <v>3</v>
      </c>
      <c r="Z69">
        <v>4</v>
      </c>
      <c r="AA69">
        <v>15</v>
      </c>
      <c r="AB69">
        <v>1.5</v>
      </c>
      <c r="AC69">
        <v>1.875</v>
      </c>
    </row>
    <row r="70" spans="1:29" hidden="1" x14ac:dyDescent="0.2">
      <c r="A70" t="s">
        <v>142</v>
      </c>
      <c r="B70" t="s">
        <v>454</v>
      </c>
      <c r="C70" t="s">
        <v>455</v>
      </c>
      <c r="D70">
        <v>2024</v>
      </c>
      <c r="E70" t="s">
        <v>339</v>
      </c>
      <c r="G70" t="s">
        <v>339</v>
      </c>
      <c r="H70">
        <v>1</v>
      </c>
      <c r="I70" t="s">
        <v>340</v>
      </c>
      <c r="J70" s="1">
        <v>45502.967719907407</v>
      </c>
      <c r="L70" t="s">
        <v>445</v>
      </c>
      <c r="O70" t="s">
        <v>449</v>
      </c>
      <c r="P70" t="s">
        <v>446</v>
      </c>
      <c r="Q70" t="s">
        <v>445</v>
      </c>
      <c r="S70" t="s">
        <v>31</v>
      </c>
      <c r="T70" t="s">
        <v>64</v>
      </c>
      <c r="U70" t="s">
        <v>477</v>
      </c>
      <c r="V70" t="s">
        <v>477</v>
      </c>
      <c r="W70" t="s">
        <v>464</v>
      </c>
      <c r="X70">
        <v>1.5</v>
      </c>
      <c r="Y70">
        <v>4</v>
      </c>
      <c r="Z70">
        <v>4</v>
      </c>
      <c r="AA70">
        <v>15</v>
      </c>
      <c r="AB70">
        <v>1.5</v>
      </c>
      <c r="AC70">
        <v>1.875</v>
      </c>
    </row>
    <row r="71" spans="1:29" hidden="1" x14ac:dyDescent="0.2">
      <c r="A71" t="s">
        <v>142</v>
      </c>
      <c r="B71" t="s">
        <v>454</v>
      </c>
      <c r="C71" t="s">
        <v>455</v>
      </c>
      <c r="D71">
        <v>2024</v>
      </c>
      <c r="E71" t="s">
        <v>339</v>
      </c>
      <c r="G71" t="s">
        <v>339</v>
      </c>
      <c r="H71">
        <v>1</v>
      </c>
      <c r="I71" t="s">
        <v>340</v>
      </c>
      <c r="J71" s="1">
        <v>45474.492326388892</v>
      </c>
      <c r="L71" t="s">
        <v>445</v>
      </c>
      <c r="O71" t="s">
        <v>449</v>
      </c>
      <c r="P71" t="s">
        <v>446</v>
      </c>
      <c r="Q71" t="s">
        <v>445</v>
      </c>
      <c r="S71" t="s">
        <v>31</v>
      </c>
      <c r="T71" t="s">
        <v>64</v>
      </c>
      <c r="U71" t="s">
        <v>478</v>
      </c>
      <c r="V71" t="s">
        <v>478</v>
      </c>
      <c r="W71" t="s">
        <v>466</v>
      </c>
      <c r="X71">
        <v>1.5</v>
      </c>
      <c r="Y71">
        <v>4</v>
      </c>
      <c r="Z71">
        <v>4</v>
      </c>
      <c r="AA71">
        <v>15</v>
      </c>
      <c r="AB71">
        <v>1.5</v>
      </c>
      <c r="AC71">
        <v>1.875</v>
      </c>
    </row>
    <row r="72" spans="1:29" hidden="1" x14ac:dyDescent="0.2">
      <c r="A72" t="s">
        <v>142</v>
      </c>
      <c r="B72" t="s">
        <v>454</v>
      </c>
      <c r="C72" t="s">
        <v>455</v>
      </c>
      <c r="D72">
        <v>2024</v>
      </c>
      <c r="E72" t="s">
        <v>339</v>
      </c>
      <c r="G72" t="s">
        <v>339</v>
      </c>
      <c r="H72">
        <v>1</v>
      </c>
      <c r="I72" t="s">
        <v>340</v>
      </c>
      <c r="J72" s="1">
        <v>45495.359351851854</v>
      </c>
      <c r="L72" t="s">
        <v>445</v>
      </c>
      <c r="O72" t="s">
        <v>449</v>
      </c>
      <c r="P72" t="s">
        <v>446</v>
      </c>
      <c r="Q72" t="s">
        <v>445</v>
      </c>
      <c r="S72" t="s">
        <v>31</v>
      </c>
      <c r="T72" t="s">
        <v>64</v>
      </c>
      <c r="U72" t="s">
        <v>479</v>
      </c>
      <c r="V72" t="s">
        <v>479</v>
      </c>
      <c r="W72" t="s">
        <v>468</v>
      </c>
      <c r="X72">
        <v>1.5</v>
      </c>
      <c r="Y72">
        <v>4</v>
      </c>
      <c r="Z72">
        <v>4</v>
      </c>
      <c r="AA72">
        <v>15</v>
      </c>
      <c r="AB72">
        <v>1.5</v>
      </c>
      <c r="AC72">
        <v>1.875</v>
      </c>
    </row>
    <row r="73" spans="1:29" hidden="1" x14ac:dyDescent="0.2">
      <c r="A73" t="s">
        <v>142</v>
      </c>
      <c r="B73" t="s">
        <v>454</v>
      </c>
      <c r="C73" t="s">
        <v>455</v>
      </c>
      <c r="D73">
        <v>2024</v>
      </c>
      <c r="E73" t="s">
        <v>339</v>
      </c>
      <c r="G73" t="s">
        <v>339</v>
      </c>
      <c r="H73">
        <v>1</v>
      </c>
      <c r="I73" t="s">
        <v>340</v>
      </c>
      <c r="J73" s="1">
        <v>45495.359351851854</v>
      </c>
      <c r="L73" t="s">
        <v>445</v>
      </c>
      <c r="O73" t="s">
        <v>449</v>
      </c>
      <c r="P73" t="s">
        <v>446</v>
      </c>
      <c r="Q73" t="s">
        <v>445</v>
      </c>
      <c r="S73" t="s">
        <v>31</v>
      </c>
      <c r="T73" t="s">
        <v>64</v>
      </c>
      <c r="U73" t="s">
        <v>480</v>
      </c>
      <c r="V73" t="s">
        <v>480</v>
      </c>
      <c r="W73" t="s">
        <v>373</v>
      </c>
      <c r="X73">
        <v>1.5</v>
      </c>
      <c r="Y73">
        <v>4</v>
      </c>
      <c r="Z73">
        <v>4</v>
      </c>
      <c r="AA73">
        <v>15</v>
      </c>
      <c r="AB73">
        <v>1.5</v>
      </c>
      <c r="AC73">
        <v>1.875</v>
      </c>
    </row>
    <row r="74" spans="1:29" x14ac:dyDescent="0.2">
      <c r="A74" t="s">
        <v>142</v>
      </c>
      <c r="B74" t="s">
        <v>454</v>
      </c>
      <c r="C74" t="s">
        <v>455</v>
      </c>
      <c r="D74">
        <v>2024</v>
      </c>
      <c r="E74" t="s">
        <v>339</v>
      </c>
      <c r="G74" t="s">
        <v>339</v>
      </c>
      <c r="H74">
        <v>1</v>
      </c>
      <c r="I74" t="s">
        <v>340</v>
      </c>
      <c r="J74" s="1">
        <v>45474.501493055555</v>
      </c>
      <c r="L74" t="s">
        <v>445</v>
      </c>
      <c r="O74" t="s">
        <v>449</v>
      </c>
      <c r="P74" t="s">
        <v>446</v>
      </c>
      <c r="Q74" t="s">
        <v>445</v>
      </c>
      <c r="S74" t="s">
        <v>31</v>
      </c>
      <c r="T74" t="s">
        <v>376</v>
      </c>
      <c r="U74" t="s">
        <v>481</v>
      </c>
      <c r="V74" t="s">
        <v>481</v>
      </c>
      <c r="W74" t="s">
        <v>374</v>
      </c>
      <c r="X74">
        <v>15</v>
      </c>
      <c r="Y74">
        <v>4</v>
      </c>
      <c r="Z74">
        <v>4</v>
      </c>
      <c r="AA74">
        <v>15</v>
      </c>
      <c r="AB74">
        <v>15</v>
      </c>
      <c r="AC74">
        <v>15</v>
      </c>
    </row>
    <row r="75" spans="1:29" hidden="1" x14ac:dyDescent="0.2">
      <c r="A75" t="s">
        <v>150</v>
      </c>
      <c r="B75" t="s">
        <v>454</v>
      </c>
      <c r="C75" t="s">
        <v>455</v>
      </c>
      <c r="D75">
        <v>2024</v>
      </c>
      <c r="E75" t="s">
        <v>339</v>
      </c>
      <c r="G75" t="s">
        <v>339</v>
      </c>
      <c r="H75">
        <v>1</v>
      </c>
      <c r="I75" t="s">
        <v>340</v>
      </c>
      <c r="J75" s="1">
        <v>45474.492326388892</v>
      </c>
      <c r="L75" t="s">
        <v>445</v>
      </c>
      <c r="O75" t="s">
        <v>449</v>
      </c>
      <c r="P75" t="s">
        <v>446</v>
      </c>
      <c r="Q75" t="s">
        <v>445</v>
      </c>
      <c r="S75" t="s">
        <v>31</v>
      </c>
      <c r="U75" t="s">
        <v>151</v>
      </c>
      <c r="V75" t="s">
        <v>151</v>
      </c>
      <c r="W75" t="s">
        <v>152</v>
      </c>
      <c r="X75">
        <v>22.9998</v>
      </c>
      <c r="Y75">
        <v>32</v>
      </c>
      <c r="Z75">
        <v>4</v>
      </c>
      <c r="AA75">
        <v>20</v>
      </c>
      <c r="AB75">
        <v>3.3332999999999999</v>
      </c>
      <c r="AC75">
        <v>3.3333333333333299</v>
      </c>
    </row>
    <row r="76" spans="1:29" x14ac:dyDescent="0.2">
      <c r="A76" t="s">
        <v>150</v>
      </c>
      <c r="B76" t="s">
        <v>454</v>
      </c>
      <c r="C76" t="s">
        <v>455</v>
      </c>
      <c r="D76">
        <v>2024</v>
      </c>
      <c r="E76" t="s">
        <v>339</v>
      </c>
      <c r="G76" t="s">
        <v>339</v>
      </c>
      <c r="H76">
        <v>1</v>
      </c>
      <c r="I76" t="s">
        <v>340</v>
      </c>
      <c r="J76" s="1">
        <v>45474.501493055555</v>
      </c>
      <c r="L76" t="s">
        <v>445</v>
      </c>
      <c r="O76" t="s">
        <v>449</v>
      </c>
      <c r="P76" t="s">
        <v>446</v>
      </c>
      <c r="Q76" t="s">
        <v>445</v>
      </c>
      <c r="S76" t="s">
        <v>31</v>
      </c>
      <c r="U76" t="s">
        <v>151</v>
      </c>
      <c r="V76" t="s">
        <v>151</v>
      </c>
      <c r="W76" t="s">
        <v>152</v>
      </c>
      <c r="X76">
        <v>42.625</v>
      </c>
      <c r="Y76">
        <v>21</v>
      </c>
      <c r="Z76">
        <v>4</v>
      </c>
      <c r="AA76">
        <v>30</v>
      </c>
      <c r="AB76">
        <v>15</v>
      </c>
      <c r="AC76">
        <v>15</v>
      </c>
    </row>
    <row r="77" spans="1:29" hidden="1" x14ac:dyDescent="0.2">
      <c r="A77" t="s">
        <v>150</v>
      </c>
      <c r="B77" t="s">
        <v>454</v>
      </c>
      <c r="C77" t="s">
        <v>455</v>
      </c>
      <c r="D77">
        <v>2024</v>
      </c>
      <c r="E77" t="s">
        <v>339</v>
      </c>
      <c r="G77" t="s">
        <v>339</v>
      </c>
      <c r="H77">
        <v>1</v>
      </c>
      <c r="I77" t="s">
        <v>340</v>
      </c>
      <c r="J77" s="1">
        <v>45495.359351851854</v>
      </c>
      <c r="L77" t="s">
        <v>445</v>
      </c>
      <c r="O77" t="s">
        <v>449</v>
      </c>
      <c r="P77" t="s">
        <v>446</v>
      </c>
      <c r="Q77" t="s">
        <v>445</v>
      </c>
      <c r="S77" t="s">
        <v>31</v>
      </c>
      <c r="U77" t="s">
        <v>151</v>
      </c>
      <c r="V77" t="s">
        <v>151</v>
      </c>
      <c r="W77" t="s">
        <v>152</v>
      </c>
      <c r="X77">
        <v>5.625</v>
      </c>
      <c r="Y77">
        <v>15</v>
      </c>
      <c r="Z77">
        <v>4</v>
      </c>
      <c r="AA77">
        <v>15</v>
      </c>
      <c r="AB77">
        <v>1.5</v>
      </c>
      <c r="AC77">
        <v>1.875</v>
      </c>
    </row>
    <row r="78" spans="1:29" hidden="1" x14ac:dyDescent="0.2">
      <c r="A78" t="s">
        <v>150</v>
      </c>
      <c r="B78" t="s">
        <v>454</v>
      </c>
      <c r="C78" t="s">
        <v>455</v>
      </c>
      <c r="D78">
        <v>2024</v>
      </c>
      <c r="E78" t="s">
        <v>339</v>
      </c>
      <c r="G78" t="s">
        <v>339</v>
      </c>
      <c r="H78">
        <v>1</v>
      </c>
      <c r="I78" t="s">
        <v>340</v>
      </c>
      <c r="J78" s="1">
        <v>45502.967719907407</v>
      </c>
      <c r="L78" t="s">
        <v>445</v>
      </c>
      <c r="O78" t="s">
        <v>449</v>
      </c>
      <c r="P78" t="s">
        <v>446</v>
      </c>
      <c r="Q78" t="s">
        <v>445</v>
      </c>
      <c r="S78" t="s">
        <v>31</v>
      </c>
      <c r="U78" t="s">
        <v>151</v>
      </c>
      <c r="V78" t="s">
        <v>151</v>
      </c>
      <c r="W78" t="s">
        <v>152</v>
      </c>
      <c r="X78">
        <v>20.5</v>
      </c>
      <c r="Y78">
        <v>15</v>
      </c>
      <c r="Z78">
        <v>4</v>
      </c>
      <c r="AA78">
        <v>20</v>
      </c>
      <c r="AB78">
        <v>10</v>
      </c>
      <c r="AC78">
        <v>10</v>
      </c>
    </row>
    <row r="79" spans="1:29" hidden="1" x14ac:dyDescent="0.2">
      <c r="A79" t="s">
        <v>153</v>
      </c>
      <c r="B79" t="s">
        <v>454</v>
      </c>
      <c r="C79" t="s">
        <v>455</v>
      </c>
      <c r="D79">
        <v>2024</v>
      </c>
      <c r="E79" t="s">
        <v>339</v>
      </c>
      <c r="G79" t="s">
        <v>339</v>
      </c>
      <c r="H79">
        <v>1</v>
      </c>
      <c r="I79" t="s">
        <v>340</v>
      </c>
      <c r="J79" s="1">
        <v>45502.967719907407</v>
      </c>
      <c r="L79" t="s">
        <v>445</v>
      </c>
      <c r="O79" t="s">
        <v>449</v>
      </c>
      <c r="P79" t="s">
        <v>446</v>
      </c>
      <c r="Q79" t="s">
        <v>445</v>
      </c>
      <c r="S79" t="s">
        <v>31</v>
      </c>
      <c r="U79" t="s">
        <v>154</v>
      </c>
      <c r="V79" t="s">
        <v>154</v>
      </c>
      <c r="W79" t="s">
        <v>155</v>
      </c>
      <c r="X79">
        <v>91.749799999999993</v>
      </c>
      <c r="Y79">
        <v>83</v>
      </c>
      <c r="Z79">
        <v>4</v>
      </c>
      <c r="AA79">
        <v>30</v>
      </c>
      <c r="AB79">
        <v>15</v>
      </c>
      <c r="AC79">
        <v>15</v>
      </c>
    </row>
    <row r="80" spans="1:29" hidden="1" x14ac:dyDescent="0.2">
      <c r="A80" t="s">
        <v>156</v>
      </c>
      <c r="B80" t="s">
        <v>454</v>
      </c>
      <c r="C80" t="s">
        <v>455</v>
      </c>
      <c r="D80">
        <v>2024</v>
      </c>
      <c r="E80" t="s">
        <v>339</v>
      </c>
      <c r="G80" t="s">
        <v>339</v>
      </c>
      <c r="H80">
        <v>1</v>
      </c>
      <c r="I80" t="s">
        <v>340</v>
      </c>
      <c r="J80" s="1">
        <v>45502.967719907407</v>
      </c>
      <c r="L80" t="s">
        <v>445</v>
      </c>
      <c r="O80" t="s">
        <v>449</v>
      </c>
      <c r="P80" t="s">
        <v>446</v>
      </c>
      <c r="Q80" t="s">
        <v>445</v>
      </c>
      <c r="S80" t="s">
        <v>31</v>
      </c>
      <c r="U80" t="s">
        <v>103</v>
      </c>
      <c r="V80" t="s">
        <v>157</v>
      </c>
      <c r="W80" t="s">
        <v>158</v>
      </c>
      <c r="X80">
        <v>91.749799999999993</v>
      </c>
      <c r="Y80">
        <v>83</v>
      </c>
      <c r="Z80">
        <v>4</v>
      </c>
      <c r="AA80">
        <v>30</v>
      </c>
      <c r="AB80">
        <v>15</v>
      </c>
      <c r="AC80">
        <v>15</v>
      </c>
    </row>
    <row r="88" spans="1:29" x14ac:dyDescent="0.2">
      <c r="A88" t="s">
        <v>135</v>
      </c>
      <c r="B88" t="s">
        <v>102</v>
      </c>
      <c r="C88" t="s">
        <v>2</v>
      </c>
      <c r="D88" t="s">
        <v>3</v>
      </c>
      <c r="E88" t="s">
        <v>0</v>
      </c>
      <c r="F88" t="s">
        <v>1</v>
      </c>
      <c r="G88" t="s">
        <v>41</v>
      </c>
      <c r="H88" t="s">
        <v>4</v>
      </c>
      <c r="I88" t="s">
        <v>5</v>
      </c>
      <c r="J88" t="s">
        <v>8</v>
      </c>
      <c r="K88" t="s">
        <v>9</v>
      </c>
      <c r="L88" t="s">
        <v>10</v>
      </c>
      <c r="M88" t="s">
        <v>11</v>
      </c>
      <c r="N88" t="s">
        <v>12</v>
      </c>
      <c r="O88" t="s">
        <v>16</v>
      </c>
      <c r="P88" t="s">
        <v>14</v>
      </c>
      <c r="Q88" t="s">
        <v>15</v>
      </c>
      <c r="R88" t="s">
        <v>103</v>
      </c>
      <c r="S88" t="s">
        <v>21</v>
      </c>
      <c r="T88" t="s">
        <v>67</v>
      </c>
      <c r="U88" t="s">
        <v>104</v>
      </c>
      <c r="V88" t="s">
        <v>136</v>
      </c>
      <c r="W88" t="s">
        <v>23</v>
      </c>
      <c r="X88" t="s">
        <v>137</v>
      </c>
      <c r="Y88" t="s">
        <v>25</v>
      </c>
      <c r="Z88" t="s">
        <v>44</v>
      </c>
      <c r="AA88" t="s">
        <v>68</v>
      </c>
      <c r="AB88" t="s">
        <v>87</v>
      </c>
      <c r="AC88" t="s">
        <v>127</v>
      </c>
    </row>
    <row r="89" spans="1:29" x14ac:dyDescent="0.2">
      <c r="A89" t="s">
        <v>138</v>
      </c>
      <c r="B89" t="s">
        <v>398</v>
      </c>
      <c r="C89" t="s">
        <v>378</v>
      </c>
      <c r="D89">
        <v>1999</v>
      </c>
      <c r="E89" t="s">
        <v>379</v>
      </c>
      <c r="G89" t="s">
        <v>379</v>
      </c>
      <c r="H89">
        <v>1</v>
      </c>
      <c r="I89" t="s">
        <v>380</v>
      </c>
      <c r="J89" s="1">
        <v>45646.45208333333</v>
      </c>
      <c r="K89" t="s">
        <v>381</v>
      </c>
      <c r="L89" t="s">
        <v>382</v>
      </c>
      <c r="O89" t="s">
        <v>383</v>
      </c>
      <c r="Q89" t="s">
        <v>31</v>
      </c>
      <c r="R89" t="s">
        <v>384</v>
      </c>
      <c r="S89" t="s">
        <v>31</v>
      </c>
      <c r="T89" t="s">
        <v>61</v>
      </c>
      <c r="U89" t="s">
        <v>117</v>
      </c>
      <c r="V89" t="s">
        <v>117</v>
      </c>
      <c r="W89" t="s">
        <v>385</v>
      </c>
      <c r="X89">
        <v>4</v>
      </c>
      <c r="Y89">
        <v>4</v>
      </c>
      <c r="Z89">
        <v>4</v>
      </c>
      <c r="AA89">
        <v>10</v>
      </c>
      <c r="AB89">
        <v>10</v>
      </c>
      <c r="AC89">
        <v>10</v>
      </c>
    </row>
    <row r="90" spans="1:29" x14ac:dyDescent="0.2">
      <c r="A90" t="s">
        <v>138</v>
      </c>
      <c r="B90" t="s">
        <v>398</v>
      </c>
      <c r="C90" t="s">
        <v>378</v>
      </c>
      <c r="D90">
        <v>1999</v>
      </c>
      <c r="E90" t="s">
        <v>379</v>
      </c>
      <c r="G90" t="s">
        <v>379</v>
      </c>
      <c r="H90">
        <v>1</v>
      </c>
      <c r="I90" t="s">
        <v>380</v>
      </c>
      <c r="J90" s="1">
        <v>45646.45208333333</v>
      </c>
      <c r="K90" t="s">
        <v>381</v>
      </c>
      <c r="L90" t="s">
        <v>382</v>
      </c>
      <c r="O90" t="s">
        <v>383</v>
      </c>
      <c r="Q90" t="s">
        <v>31</v>
      </c>
      <c r="R90" t="s">
        <v>384</v>
      </c>
      <c r="S90" t="s">
        <v>31</v>
      </c>
      <c r="T90" t="s">
        <v>61</v>
      </c>
      <c r="U90" t="s">
        <v>120</v>
      </c>
      <c r="V90" t="s">
        <v>120</v>
      </c>
      <c r="W90" t="s">
        <v>390</v>
      </c>
      <c r="X90">
        <v>4</v>
      </c>
      <c r="Y90">
        <v>4</v>
      </c>
      <c r="Z90">
        <v>4</v>
      </c>
      <c r="AA90">
        <v>10</v>
      </c>
      <c r="AB90">
        <v>10</v>
      </c>
      <c r="AC90">
        <v>10</v>
      </c>
    </row>
    <row r="91" spans="1:29" x14ac:dyDescent="0.2">
      <c r="A91" t="s">
        <v>138</v>
      </c>
      <c r="B91" t="s">
        <v>398</v>
      </c>
      <c r="C91" t="s">
        <v>378</v>
      </c>
      <c r="D91">
        <v>1999</v>
      </c>
      <c r="E91" t="s">
        <v>379</v>
      </c>
      <c r="G91" t="s">
        <v>379</v>
      </c>
      <c r="H91">
        <v>1</v>
      </c>
      <c r="I91" t="s">
        <v>380</v>
      </c>
      <c r="J91" s="1">
        <v>45646.45208333333</v>
      </c>
      <c r="K91" t="s">
        <v>381</v>
      </c>
      <c r="L91" t="s">
        <v>382</v>
      </c>
      <c r="O91" t="s">
        <v>383</v>
      </c>
      <c r="Q91" t="s">
        <v>31</v>
      </c>
      <c r="R91" t="s">
        <v>384</v>
      </c>
      <c r="S91" t="s">
        <v>31</v>
      </c>
      <c r="T91" t="s">
        <v>61</v>
      </c>
      <c r="U91" t="s">
        <v>122</v>
      </c>
      <c r="V91" t="s">
        <v>122</v>
      </c>
      <c r="W91" t="s">
        <v>388</v>
      </c>
      <c r="X91">
        <v>4</v>
      </c>
      <c r="Y91">
        <v>4</v>
      </c>
      <c r="Z91">
        <v>4</v>
      </c>
      <c r="AA91">
        <v>10</v>
      </c>
      <c r="AB91">
        <v>10</v>
      </c>
      <c r="AC91">
        <v>10</v>
      </c>
    </row>
    <row r="92" spans="1:29" x14ac:dyDescent="0.2">
      <c r="A92" t="s">
        <v>138</v>
      </c>
      <c r="B92" t="s">
        <v>398</v>
      </c>
      <c r="C92" t="s">
        <v>378</v>
      </c>
      <c r="D92">
        <v>1999</v>
      </c>
      <c r="E92" t="s">
        <v>379</v>
      </c>
      <c r="G92" t="s">
        <v>379</v>
      </c>
      <c r="H92">
        <v>1</v>
      </c>
      <c r="I92" t="s">
        <v>380</v>
      </c>
      <c r="J92" s="1">
        <v>45646.45208333333</v>
      </c>
      <c r="K92" t="s">
        <v>381</v>
      </c>
      <c r="L92" t="s">
        <v>382</v>
      </c>
      <c r="O92" t="s">
        <v>383</v>
      </c>
      <c r="Q92" t="s">
        <v>31</v>
      </c>
      <c r="R92" t="s">
        <v>384</v>
      </c>
      <c r="S92" t="s">
        <v>31</v>
      </c>
      <c r="T92" t="s">
        <v>63</v>
      </c>
      <c r="U92" t="s">
        <v>121</v>
      </c>
      <c r="V92" t="s">
        <v>121</v>
      </c>
      <c r="W92" t="s">
        <v>387</v>
      </c>
      <c r="X92">
        <v>4</v>
      </c>
      <c r="Y92">
        <v>4</v>
      </c>
      <c r="Z92">
        <v>4</v>
      </c>
      <c r="AA92">
        <v>10</v>
      </c>
      <c r="AB92">
        <v>10</v>
      </c>
      <c r="AC92">
        <v>10</v>
      </c>
    </row>
    <row r="93" spans="1:29" x14ac:dyDescent="0.2">
      <c r="A93" t="s">
        <v>138</v>
      </c>
      <c r="B93" t="s">
        <v>398</v>
      </c>
      <c r="C93" t="s">
        <v>378</v>
      </c>
      <c r="D93">
        <v>1999</v>
      </c>
      <c r="E93" t="s">
        <v>379</v>
      </c>
      <c r="G93" t="s">
        <v>379</v>
      </c>
      <c r="H93">
        <v>1</v>
      </c>
      <c r="I93" t="s">
        <v>380</v>
      </c>
      <c r="J93" s="1">
        <v>45646.45208333333</v>
      </c>
      <c r="K93" t="s">
        <v>381</v>
      </c>
      <c r="L93" t="s">
        <v>382</v>
      </c>
      <c r="O93" t="s">
        <v>383</v>
      </c>
      <c r="Q93" t="s">
        <v>31</v>
      </c>
      <c r="R93" t="s">
        <v>384</v>
      </c>
      <c r="S93" t="s">
        <v>31</v>
      </c>
      <c r="T93" t="s">
        <v>63</v>
      </c>
      <c r="U93" t="s">
        <v>125</v>
      </c>
      <c r="V93" t="s">
        <v>125</v>
      </c>
      <c r="W93" t="s">
        <v>392</v>
      </c>
      <c r="X93">
        <v>4</v>
      </c>
      <c r="Y93">
        <v>4</v>
      </c>
      <c r="Z93">
        <v>4</v>
      </c>
      <c r="AA93">
        <v>15</v>
      </c>
      <c r="AB93">
        <v>15</v>
      </c>
      <c r="AC93">
        <v>15</v>
      </c>
    </row>
    <row r="94" spans="1:29" x14ac:dyDescent="0.2">
      <c r="A94" t="s">
        <v>138</v>
      </c>
      <c r="B94" t="s">
        <v>398</v>
      </c>
      <c r="C94" t="s">
        <v>378</v>
      </c>
      <c r="D94">
        <v>1999</v>
      </c>
      <c r="E94" t="s">
        <v>379</v>
      </c>
      <c r="G94" t="s">
        <v>379</v>
      </c>
      <c r="H94">
        <v>1</v>
      </c>
      <c r="I94" t="s">
        <v>380</v>
      </c>
      <c r="J94" s="1">
        <v>45646.45208333333</v>
      </c>
      <c r="K94" t="s">
        <v>381</v>
      </c>
      <c r="L94" t="s">
        <v>382</v>
      </c>
      <c r="O94" t="s">
        <v>383</v>
      </c>
      <c r="Q94" t="s">
        <v>31</v>
      </c>
      <c r="R94" t="s">
        <v>384</v>
      </c>
      <c r="S94" t="s">
        <v>31</v>
      </c>
      <c r="T94" t="s">
        <v>62</v>
      </c>
      <c r="U94" t="s">
        <v>123</v>
      </c>
      <c r="V94" t="s">
        <v>123</v>
      </c>
      <c r="W94" t="s">
        <v>394</v>
      </c>
      <c r="X94">
        <v>4</v>
      </c>
      <c r="Y94">
        <v>4</v>
      </c>
      <c r="Z94">
        <v>4</v>
      </c>
      <c r="AA94">
        <v>10</v>
      </c>
      <c r="AB94">
        <v>10</v>
      </c>
      <c r="AC94">
        <v>10</v>
      </c>
    </row>
    <row r="95" spans="1:29" x14ac:dyDescent="0.2">
      <c r="A95" t="s">
        <v>138</v>
      </c>
      <c r="B95" t="s">
        <v>398</v>
      </c>
      <c r="C95" t="s">
        <v>378</v>
      </c>
      <c r="D95">
        <v>1999</v>
      </c>
      <c r="E95" t="s">
        <v>379</v>
      </c>
      <c r="G95" t="s">
        <v>379</v>
      </c>
      <c r="H95">
        <v>1</v>
      </c>
      <c r="I95" t="s">
        <v>380</v>
      </c>
      <c r="J95" s="1">
        <v>45646.45208333333</v>
      </c>
      <c r="K95" t="s">
        <v>381</v>
      </c>
      <c r="L95" t="s">
        <v>382</v>
      </c>
      <c r="O95" t="s">
        <v>383</v>
      </c>
      <c r="Q95" t="s">
        <v>31</v>
      </c>
      <c r="R95" t="s">
        <v>384</v>
      </c>
      <c r="S95" t="s">
        <v>31</v>
      </c>
      <c r="T95" t="s">
        <v>64</v>
      </c>
      <c r="U95" t="s">
        <v>399</v>
      </c>
      <c r="V95" t="s">
        <v>399</v>
      </c>
      <c r="W95" t="s">
        <v>386</v>
      </c>
      <c r="X95">
        <v>4</v>
      </c>
      <c r="Y95">
        <v>4</v>
      </c>
      <c r="Z95">
        <v>4</v>
      </c>
      <c r="AA95">
        <v>5</v>
      </c>
      <c r="AB95">
        <v>5</v>
      </c>
      <c r="AC95">
        <v>5</v>
      </c>
    </row>
    <row r="96" spans="1:29" x14ac:dyDescent="0.2">
      <c r="A96" t="s">
        <v>139</v>
      </c>
      <c r="B96" t="s">
        <v>398</v>
      </c>
      <c r="C96" t="s">
        <v>378</v>
      </c>
      <c r="D96">
        <v>1999</v>
      </c>
      <c r="E96" t="s">
        <v>379</v>
      </c>
      <c r="G96" t="s">
        <v>379</v>
      </c>
      <c r="H96">
        <v>1</v>
      </c>
      <c r="I96" t="s">
        <v>380</v>
      </c>
      <c r="J96" s="1">
        <v>45646.45208333333</v>
      </c>
      <c r="K96" t="s">
        <v>381</v>
      </c>
      <c r="L96" t="s">
        <v>382</v>
      </c>
      <c r="O96" t="s">
        <v>383</v>
      </c>
      <c r="Q96" t="s">
        <v>31</v>
      </c>
      <c r="R96" t="s">
        <v>400</v>
      </c>
      <c r="S96" t="s">
        <v>31</v>
      </c>
      <c r="U96" t="s">
        <v>140</v>
      </c>
      <c r="V96" t="s">
        <v>140</v>
      </c>
      <c r="W96" t="s">
        <v>141</v>
      </c>
      <c r="X96">
        <v>28</v>
      </c>
      <c r="Y96">
        <v>28</v>
      </c>
      <c r="Z96">
        <v>4</v>
      </c>
      <c r="AA96">
        <v>15</v>
      </c>
      <c r="AB96">
        <v>15</v>
      </c>
      <c r="AC96">
        <v>15</v>
      </c>
    </row>
    <row r="97" spans="1:31" x14ac:dyDescent="0.2">
      <c r="A97" t="s">
        <v>142</v>
      </c>
      <c r="B97" t="s">
        <v>398</v>
      </c>
      <c r="C97" t="s">
        <v>378</v>
      </c>
      <c r="D97">
        <v>1999</v>
      </c>
      <c r="E97" t="s">
        <v>379</v>
      </c>
      <c r="G97" t="s">
        <v>379</v>
      </c>
      <c r="H97">
        <v>1</v>
      </c>
      <c r="I97" t="s">
        <v>380</v>
      </c>
      <c r="J97" s="1">
        <v>45646.45208333333</v>
      </c>
      <c r="K97" t="s">
        <v>381</v>
      </c>
      <c r="L97" t="s">
        <v>382</v>
      </c>
      <c r="O97" t="s">
        <v>383</v>
      </c>
      <c r="Q97" t="s">
        <v>31</v>
      </c>
      <c r="R97" t="s">
        <v>384</v>
      </c>
      <c r="S97" t="s">
        <v>31</v>
      </c>
      <c r="T97" t="s">
        <v>61</v>
      </c>
      <c r="U97" t="s">
        <v>146</v>
      </c>
      <c r="V97" t="s">
        <v>146</v>
      </c>
      <c r="W97" t="s">
        <v>385</v>
      </c>
      <c r="X97" s="4">
        <v>10</v>
      </c>
      <c r="Y97">
        <v>4</v>
      </c>
      <c r="Z97">
        <v>4</v>
      </c>
      <c r="AA97">
        <v>10</v>
      </c>
      <c r="AB97">
        <v>10</v>
      </c>
      <c r="AC97">
        <v>10</v>
      </c>
      <c r="AD97">
        <f>X97/1/Z97</f>
        <v>2.5</v>
      </c>
      <c r="AE97">
        <f>AD97*AC97</f>
        <v>25</v>
      </c>
    </row>
    <row r="98" spans="1:31" x14ac:dyDescent="0.2">
      <c r="A98" t="s">
        <v>142</v>
      </c>
      <c r="B98" t="s">
        <v>398</v>
      </c>
      <c r="C98" t="s">
        <v>378</v>
      </c>
      <c r="D98">
        <v>1999</v>
      </c>
      <c r="E98" t="s">
        <v>379</v>
      </c>
      <c r="G98" t="s">
        <v>379</v>
      </c>
      <c r="H98">
        <v>1</v>
      </c>
      <c r="I98" t="s">
        <v>380</v>
      </c>
      <c r="J98" s="1">
        <v>45646.45208333333</v>
      </c>
      <c r="K98" t="s">
        <v>381</v>
      </c>
      <c r="L98" t="s">
        <v>382</v>
      </c>
      <c r="O98" t="s">
        <v>383</v>
      </c>
      <c r="Q98" t="s">
        <v>31</v>
      </c>
      <c r="R98" t="s">
        <v>384</v>
      </c>
      <c r="S98" t="s">
        <v>31</v>
      </c>
      <c r="T98" t="s">
        <v>61</v>
      </c>
      <c r="U98" t="s">
        <v>147</v>
      </c>
      <c r="V98" t="s">
        <v>147</v>
      </c>
      <c r="W98" t="s">
        <v>390</v>
      </c>
      <c r="X98" s="4">
        <v>10</v>
      </c>
      <c r="Y98">
        <v>4</v>
      </c>
      <c r="Z98">
        <v>4</v>
      </c>
      <c r="AA98">
        <v>10</v>
      </c>
      <c r="AB98">
        <v>10</v>
      </c>
      <c r="AC98">
        <v>10</v>
      </c>
      <c r="AD98">
        <f t="shared" ref="AD98:AD103" si="0">X98/1/Z98</f>
        <v>2.5</v>
      </c>
      <c r="AE98">
        <f t="shared" ref="AE98:AE103" si="1">AD98*AC98</f>
        <v>25</v>
      </c>
    </row>
    <row r="99" spans="1:31" x14ac:dyDescent="0.2">
      <c r="A99" t="s">
        <v>142</v>
      </c>
      <c r="B99" t="s">
        <v>398</v>
      </c>
      <c r="C99" t="s">
        <v>378</v>
      </c>
      <c r="D99">
        <v>1999</v>
      </c>
      <c r="E99" t="s">
        <v>379</v>
      </c>
      <c r="G99" t="s">
        <v>379</v>
      </c>
      <c r="H99">
        <v>1</v>
      </c>
      <c r="I99" t="s">
        <v>380</v>
      </c>
      <c r="J99" s="1">
        <v>45646.45208333333</v>
      </c>
      <c r="K99" t="s">
        <v>381</v>
      </c>
      <c r="L99" t="s">
        <v>382</v>
      </c>
      <c r="O99" t="s">
        <v>383</v>
      </c>
      <c r="Q99" t="s">
        <v>31</v>
      </c>
      <c r="R99" t="s">
        <v>384</v>
      </c>
      <c r="S99" t="s">
        <v>31</v>
      </c>
      <c r="T99" t="s">
        <v>61</v>
      </c>
      <c r="U99" t="s">
        <v>143</v>
      </c>
      <c r="V99" t="s">
        <v>143</v>
      </c>
      <c r="W99" t="s">
        <v>388</v>
      </c>
      <c r="X99" s="4">
        <v>10</v>
      </c>
      <c r="Y99">
        <v>4</v>
      </c>
      <c r="Z99">
        <v>4</v>
      </c>
      <c r="AA99">
        <v>10</v>
      </c>
      <c r="AB99">
        <v>10</v>
      </c>
      <c r="AC99">
        <v>10</v>
      </c>
      <c r="AD99">
        <f t="shared" si="0"/>
        <v>2.5</v>
      </c>
      <c r="AE99">
        <f t="shared" si="1"/>
        <v>25</v>
      </c>
    </row>
    <row r="100" spans="1:31" x14ac:dyDescent="0.2">
      <c r="A100" t="s">
        <v>142</v>
      </c>
      <c r="B100" t="s">
        <v>398</v>
      </c>
      <c r="C100" t="s">
        <v>378</v>
      </c>
      <c r="D100">
        <v>1999</v>
      </c>
      <c r="E100" t="s">
        <v>379</v>
      </c>
      <c r="G100" t="s">
        <v>379</v>
      </c>
      <c r="H100">
        <v>1</v>
      </c>
      <c r="I100" t="s">
        <v>380</v>
      </c>
      <c r="J100" s="1">
        <v>45646.45208333333</v>
      </c>
      <c r="K100" t="s">
        <v>381</v>
      </c>
      <c r="L100" t="s">
        <v>382</v>
      </c>
      <c r="O100" t="s">
        <v>383</v>
      </c>
      <c r="Q100" t="s">
        <v>31</v>
      </c>
      <c r="R100" t="s">
        <v>384</v>
      </c>
      <c r="S100" t="s">
        <v>31</v>
      </c>
      <c r="T100" t="s">
        <v>63</v>
      </c>
      <c r="U100" t="s">
        <v>148</v>
      </c>
      <c r="V100" t="s">
        <v>148</v>
      </c>
      <c r="W100" t="s">
        <v>387</v>
      </c>
      <c r="X100" s="4">
        <v>10</v>
      </c>
      <c r="Y100">
        <v>4</v>
      </c>
      <c r="Z100">
        <v>4</v>
      </c>
      <c r="AA100">
        <v>10</v>
      </c>
      <c r="AB100">
        <v>10</v>
      </c>
      <c r="AC100">
        <v>10</v>
      </c>
      <c r="AD100">
        <f t="shared" si="0"/>
        <v>2.5</v>
      </c>
      <c r="AE100">
        <f t="shared" si="1"/>
        <v>25</v>
      </c>
    </row>
    <row r="101" spans="1:31" x14ac:dyDescent="0.2">
      <c r="A101" t="s">
        <v>142</v>
      </c>
      <c r="B101" t="s">
        <v>398</v>
      </c>
      <c r="C101" t="s">
        <v>378</v>
      </c>
      <c r="D101">
        <v>1999</v>
      </c>
      <c r="E101" t="s">
        <v>379</v>
      </c>
      <c r="G101" t="s">
        <v>379</v>
      </c>
      <c r="H101">
        <v>1</v>
      </c>
      <c r="I101" t="s">
        <v>380</v>
      </c>
      <c r="J101" s="1">
        <v>45646.45208333333</v>
      </c>
      <c r="K101" t="s">
        <v>381</v>
      </c>
      <c r="L101" t="s">
        <v>382</v>
      </c>
      <c r="O101" t="s">
        <v>383</v>
      </c>
      <c r="Q101" t="s">
        <v>31</v>
      </c>
      <c r="R101" t="s">
        <v>384</v>
      </c>
      <c r="S101" t="s">
        <v>31</v>
      </c>
      <c r="T101" t="s">
        <v>63</v>
      </c>
      <c r="U101" t="s">
        <v>149</v>
      </c>
      <c r="V101" t="s">
        <v>149</v>
      </c>
      <c r="W101" t="s">
        <v>392</v>
      </c>
      <c r="X101" s="4">
        <v>15</v>
      </c>
      <c r="Y101">
        <v>4</v>
      </c>
      <c r="Z101">
        <v>4</v>
      </c>
      <c r="AA101">
        <v>15</v>
      </c>
      <c r="AB101">
        <v>15</v>
      </c>
      <c r="AC101">
        <v>15</v>
      </c>
      <c r="AD101">
        <f t="shared" si="0"/>
        <v>3.75</v>
      </c>
      <c r="AE101">
        <f t="shared" si="1"/>
        <v>56.25</v>
      </c>
    </row>
    <row r="102" spans="1:31" x14ac:dyDescent="0.2">
      <c r="A102" t="s">
        <v>142</v>
      </c>
      <c r="B102" t="s">
        <v>398</v>
      </c>
      <c r="C102" t="s">
        <v>378</v>
      </c>
      <c r="D102">
        <v>1999</v>
      </c>
      <c r="E102" t="s">
        <v>379</v>
      </c>
      <c r="G102" t="s">
        <v>379</v>
      </c>
      <c r="H102">
        <v>1</v>
      </c>
      <c r="I102" t="s">
        <v>380</v>
      </c>
      <c r="J102" s="1">
        <v>45646.45208333333</v>
      </c>
      <c r="K102" t="s">
        <v>381</v>
      </c>
      <c r="L102" t="s">
        <v>382</v>
      </c>
      <c r="O102" t="s">
        <v>383</v>
      </c>
      <c r="Q102" t="s">
        <v>31</v>
      </c>
      <c r="R102" t="s">
        <v>384</v>
      </c>
      <c r="S102" t="s">
        <v>31</v>
      </c>
      <c r="T102" t="s">
        <v>62</v>
      </c>
      <c r="U102" t="s">
        <v>145</v>
      </c>
      <c r="V102" t="s">
        <v>145</v>
      </c>
      <c r="W102" t="s">
        <v>394</v>
      </c>
      <c r="X102" s="4">
        <v>10</v>
      </c>
      <c r="Y102">
        <v>4</v>
      </c>
      <c r="Z102">
        <v>4</v>
      </c>
      <c r="AA102">
        <v>10</v>
      </c>
      <c r="AB102">
        <v>10</v>
      </c>
      <c r="AC102">
        <v>10</v>
      </c>
      <c r="AD102">
        <f t="shared" si="0"/>
        <v>2.5</v>
      </c>
      <c r="AE102">
        <f t="shared" si="1"/>
        <v>25</v>
      </c>
    </row>
    <row r="103" spans="1:31" x14ac:dyDescent="0.2">
      <c r="A103" t="s">
        <v>142</v>
      </c>
      <c r="B103" t="s">
        <v>398</v>
      </c>
      <c r="C103" t="s">
        <v>378</v>
      </c>
      <c r="D103">
        <v>1999</v>
      </c>
      <c r="E103" t="s">
        <v>379</v>
      </c>
      <c r="G103" t="s">
        <v>379</v>
      </c>
      <c r="H103">
        <v>1</v>
      </c>
      <c r="I103" t="s">
        <v>380</v>
      </c>
      <c r="J103" s="1">
        <v>45646.45208333333</v>
      </c>
      <c r="K103" t="s">
        <v>381</v>
      </c>
      <c r="L103" t="s">
        <v>382</v>
      </c>
      <c r="O103" t="s">
        <v>383</v>
      </c>
      <c r="Q103" t="s">
        <v>31</v>
      </c>
      <c r="R103" t="s">
        <v>384</v>
      </c>
      <c r="S103" t="s">
        <v>31</v>
      </c>
      <c r="T103" t="s">
        <v>64</v>
      </c>
      <c r="U103" t="s">
        <v>401</v>
      </c>
      <c r="V103" t="s">
        <v>401</v>
      </c>
      <c r="W103" t="s">
        <v>386</v>
      </c>
      <c r="X103" s="4">
        <v>5</v>
      </c>
      <c r="Y103">
        <v>4</v>
      </c>
      <c r="Z103">
        <v>4</v>
      </c>
      <c r="AA103">
        <v>5</v>
      </c>
      <c r="AB103">
        <v>5</v>
      </c>
      <c r="AC103">
        <v>5</v>
      </c>
      <c r="AD103">
        <f t="shared" si="0"/>
        <v>1.25</v>
      </c>
      <c r="AE103">
        <f t="shared" si="1"/>
        <v>6.25</v>
      </c>
    </row>
    <row r="104" spans="1:31" x14ac:dyDescent="0.2">
      <c r="A104" t="s">
        <v>150</v>
      </c>
      <c r="B104" t="s">
        <v>398</v>
      </c>
      <c r="C104" t="s">
        <v>378</v>
      </c>
      <c r="D104">
        <v>1999</v>
      </c>
      <c r="E104" t="s">
        <v>379</v>
      </c>
      <c r="G104" t="s">
        <v>379</v>
      </c>
      <c r="H104">
        <v>1</v>
      </c>
      <c r="I104" t="s">
        <v>380</v>
      </c>
      <c r="J104" s="1">
        <v>45646.45208333333</v>
      </c>
      <c r="K104" t="s">
        <v>381</v>
      </c>
      <c r="L104" t="s">
        <v>382</v>
      </c>
      <c r="O104" t="s">
        <v>383</v>
      </c>
      <c r="Q104" t="s">
        <v>31</v>
      </c>
      <c r="R104" t="s">
        <v>400</v>
      </c>
      <c r="S104" t="s">
        <v>31</v>
      </c>
      <c r="U104" t="s">
        <v>151</v>
      </c>
      <c r="V104" t="s">
        <v>151</v>
      </c>
      <c r="W104" t="s">
        <v>152</v>
      </c>
      <c r="X104">
        <v>70</v>
      </c>
      <c r="Y104">
        <v>28</v>
      </c>
      <c r="Z104">
        <v>4</v>
      </c>
      <c r="AA104">
        <v>15</v>
      </c>
      <c r="AB104">
        <v>15</v>
      </c>
      <c r="AC104">
        <v>15</v>
      </c>
    </row>
    <row r="105" spans="1:31" x14ac:dyDescent="0.2">
      <c r="A105" t="s">
        <v>153</v>
      </c>
      <c r="B105" t="s">
        <v>398</v>
      </c>
      <c r="C105" t="s">
        <v>378</v>
      </c>
      <c r="D105">
        <v>1999</v>
      </c>
      <c r="E105" t="s">
        <v>379</v>
      </c>
      <c r="G105" t="s">
        <v>379</v>
      </c>
      <c r="H105">
        <v>1</v>
      </c>
      <c r="I105" t="s">
        <v>380</v>
      </c>
      <c r="J105" s="1">
        <v>45646.45208333333</v>
      </c>
      <c r="K105" t="s">
        <v>381</v>
      </c>
      <c r="L105" t="s">
        <v>382</v>
      </c>
      <c r="O105" t="s">
        <v>383</v>
      </c>
      <c r="Q105" t="s">
        <v>31</v>
      </c>
      <c r="R105" t="s">
        <v>400</v>
      </c>
      <c r="S105" t="s">
        <v>31</v>
      </c>
      <c r="U105" t="s">
        <v>154</v>
      </c>
      <c r="V105" t="s">
        <v>154</v>
      </c>
      <c r="W105" t="s">
        <v>155</v>
      </c>
      <c r="X105">
        <v>70</v>
      </c>
      <c r="Y105">
        <v>28</v>
      </c>
      <c r="Z105">
        <v>4</v>
      </c>
      <c r="AA105">
        <v>15</v>
      </c>
      <c r="AB105">
        <v>15</v>
      </c>
      <c r="AC105">
        <v>15</v>
      </c>
    </row>
    <row r="106" spans="1:31" x14ac:dyDescent="0.2">
      <c r="A106" t="s">
        <v>156</v>
      </c>
      <c r="B106" t="s">
        <v>398</v>
      </c>
      <c r="C106" t="s">
        <v>378</v>
      </c>
      <c r="D106">
        <v>1999</v>
      </c>
      <c r="E106" t="s">
        <v>379</v>
      </c>
      <c r="G106" t="s">
        <v>379</v>
      </c>
      <c r="H106">
        <v>1</v>
      </c>
      <c r="I106" t="s">
        <v>380</v>
      </c>
      <c r="J106" s="1">
        <v>45646.45208333333</v>
      </c>
      <c r="K106" t="s">
        <v>381</v>
      </c>
      <c r="L106" t="s">
        <v>382</v>
      </c>
      <c r="O106" t="s">
        <v>383</v>
      </c>
      <c r="Q106" t="s">
        <v>31</v>
      </c>
      <c r="R106" t="s">
        <v>400</v>
      </c>
      <c r="S106" t="s">
        <v>31</v>
      </c>
      <c r="U106" t="s">
        <v>103</v>
      </c>
      <c r="V106" t="s">
        <v>157</v>
      </c>
      <c r="W106" t="s">
        <v>158</v>
      </c>
      <c r="X106">
        <v>70</v>
      </c>
      <c r="Y106">
        <v>28</v>
      </c>
      <c r="Z106">
        <v>4</v>
      </c>
      <c r="AA106">
        <v>15</v>
      </c>
      <c r="AB106">
        <v>15</v>
      </c>
      <c r="AC106">
        <v>15</v>
      </c>
    </row>
    <row r="110" spans="1:31" x14ac:dyDescent="0.2">
      <c r="AA110">
        <v>88.238500000000002</v>
      </c>
      <c r="AC110">
        <v>88.235200000000006</v>
      </c>
    </row>
    <row r="111" spans="1:31" x14ac:dyDescent="0.2">
      <c r="AA111">
        <v>85.714200000000005</v>
      </c>
      <c r="AC111">
        <v>85.714200000000005</v>
      </c>
    </row>
    <row r="112" spans="1:31" x14ac:dyDescent="0.2">
      <c r="G112">
        <v>2.2999999999999998</v>
      </c>
      <c r="AA112">
        <v>85.714200000000005</v>
      </c>
    </row>
    <row r="113" spans="7:32" x14ac:dyDescent="0.2">
      <c r="G113">
        <v>4.0999999999999996</v>
      </c>
      <c r="AA113">
        <v>86.974699999999999</v>
      </c>
    </row>
    <row r="114" spans="7:32" x14ac:dyDescent="0.2">
      <c r="G114">
        <v>4.3</v>
      </c>
      <c r="AA114">
        <v>88.235200000000006</v>
      </c>
    </row>
    <row r="115" spans="7:32" x14ac:dyDescent="0.2">
      <c r="AA115">
        <v>88.235200000000006</v>
      </c>
    </row>
    <row r="116" spans="7:32" x14ac:dyDescent="0.2">
      <c r="AA116">
        <v>88.235200000000006</v>
      </c>
    </row>
    <row r="117" spans="7:32" x14ac:dyDescent="0.2">
      <c r="AA117">
        <f>SUM(AA110:AA116)/COUNT(AA110:AA116)</f>
        <v>87.335314285714276</v>
      </c>
      <c r="AB117">
        <f>SUM(AA110:AA116)/7</f>
        <v>87.335314285714276</v>
      </c>
      <c r="AC117">
        <f>SUM(AC110:AC116)/2</f>
        <v>86.974700000000013</v>
      </c>
    </row>
    <row r="121" spans="7:32" x14ac:dyDescent="0.2">
      <c r="AC121" t="s">
        <v>500</v>
      </c>
    </row>
    <row r="122" spans="7:32" x14ac:dyDescent="0.2">
      <c r="AC122" t="s">
        <v>498</v>
      </c>
      <c r="AE122" t="s">
        <v>499</v>
      </c>
    </row>
    <row r="123" spans="7:32" x14ac:dyDescent="0.2">
      <c r="AC123">
        <v>10</v>
      </c>
      <c r="AD123">
        <f>AC123*100/70</f>
        <v>14.285714285714286</v>
      </c>
      <c r="AE123">
        <v>10</v>
      </c>
      <c r="AF123">
        <f>AE123*100/30</f>
        <v>33.333333333333336</v>
      </c>
    </row>
    <row r="124" spans="7:32" x14ac:dyDescent="0.2">
      <c r="AC124">
        <v>10</v>
      </c>
      <c r="AD124">
        <f t="shared" ref="AD124:AD129" si="2">AC124*100/70</f>
        <v>14.285714285714286</v>
      </c>
      <c r="AE124">
        <v>10</v>
      </c>
      <c r="AF124">
        <f t="shared" ref="AF124:AF125" si="3">AE124*100/30</f>
        <v>33.333333333333336</v>
      </c>
    </row>
    <row r="125" spans="7:32" x14ac:dyDescent="0.2">
      <c r="AC125">
        <v>10</v>
      </c>
      <c r="AD125">
        <f t="shared" si="2"/>
        <v>14.285714285714286</v>
      </c>
      <c r="AE125">
        <v>10</v>
      </c>
      <c r="AF125">
        <f t="shared" si="3"/>
        <v>33.333333333333336</v>
      </c>
    </row>
    <row r="126" spans="7:32" x14ac:dyDescent="0.2">
      <c r="AC126">
        <v>10</v>
      </c>
      <c r="AD126">
        <f t="shared" si="2"/>
        <v>14.285714285714286</v>
      </c>
    </row>
    <row r="127" spans="7:32" x14ac:dyDescent="0.2">
      <c r="AC127">
        <v>10</v>
      </c>
      <c r="AD127">
        <f t="shared" si="2"/>
        <v>14.285714285714286</v>
      </c>
    </row>
    <row r="128" spans="7:32" x14ac:dyDescent="0.2">
      <c r="AC128">
        <v>10</v>
      </c>
      <c r="AD128">
        <f t="shared" si="2"/>
        <v>14.285714285714286</v>
      </c>
    </row>
    <row r="129" spans="29:30" x14ac:dyDescent="0.2">
      <c r="AC129">
        <v>10</v>
      </c>
      <c r="AD129">
        <f t="shared" si="2"/>
        <v>14.285714285714286</v>
      </c>
    </row>
  </sheetData>
  <autoFilter ref="A29:AC80" xr:uid="{88ADBDB1-723C-4D91-8AAF-6BF8F7E57A0C}">
    <filterColumn colId="9">
      <filters>
        <dateGroupItem year="2024" month="7" day="1" hour="12" dateTimeGrouping="hour"/>
      </filters>
    </filterColumn>
  </autoFilter>
  <sortState xmlns:xlrd2="http://schemas.microsoft.com/office/spreadsheetml/2017/richdata2" ref="A30:AC47">
    <sortCondition ref="A30:A47"/>
    <sortCondition ref="W30:W47"/>
  </sortState>
  <pageMargins left="0.7" right="0.7" top="0.75" bottom="0.75" header="0.3" footer="0.3"/>
  <headerFooter>
    <oddFooter>&amp;C_x000D_&amp;1#&amp;"Calibri"&amp;9&amp;K000000 Classified -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Information</vt:lpstr>
      <vt:lpstr>Sheet2</vt:lpstr>
      <vt:lpstr>1. VW_STG_MS_FORM_IT</vt:lpstr>
      <vt:lpstr>2. VW_FORM_01_UNION</vt:lpstr>
      <vt:lpstr>3. VW_FORM_02_UNION_VALUE_MAP</vt:lpstr>
      <vt:lpstr>4. VW_FORM_03_DISTINCT_QUESTION</vt:lpstr>
      <vt:lpstr>5. VW_FORM_04_WEIGHT</vt:lpstr>
      <vt:lpstr>Formula</vt:lpstr>
      <vt:lpstr>6. VW_FORM_05_CALCULATE_WEIGHT</vt:lpstr>
      <vt:lpstr>7. VW_FORM_06_SCORE</vt:lpstr>
      <vt:lpstr>8. VW_FORM_07_SCORE_FIX</vt:lpstr>
      <vt:lpstr>9. VW_FACT_MS_FORM</vt:lpstr>
      <vt:lpstr>10. VW_FACT_MS_FORM_GROUPING</vt:lpstr>
      <vt:lpstr>11. VW_FACT_MS_FORM_REPORT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Sutripat Ngamjittrong</dc:creator>
  <cp:lastModifiedBy>Sutripat Ngamjittrong</cp:lastModifiedBy>
  <dcterms:created xsi:type="dcterms:W3CDTF">2025-04-07T09:36:20Z</dcterms:created>
  <dcterms:modified xsi:type="dcterms:W3CDTF">2025-04-10T16:10:10Z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e5379f-c752-40b7-8c8a-de32cef4862d_Enabled">
    <vt:lpwstr>true</vt:lpwstr>
  </property>
  <property fmtid="{D5CDD505-2E9C-101B-9397-08002B2CF9AE}" pid="3" name="MSIP_Label_e3e5379f-c752-40b7-8c8a-de32cef4862d_SetDate">
    <vt:lpwstr>2025-04-09T10:20:16Z</vt:lpwstr>
  </property>
  <property fmtid="{D5CDD505-2E9C-101B-9397-08002B2CF9AE}" pid="4" name="MSIP_Label_e3e5379f-c752-40b7-8c8a-de32cef4862d_Method">
    <vt:lpwstr>Privileged</vt:lpwstr>
  </property>
  <property fmtid="{D5CDD505-2E9C-101B-9397-08002B2CF9AE}" pid="5" name="MSIP_Label_e3e5379f-c752-40b7-8c8a-de32cef4862d_Name">
    <vt:lpwstr>Internal Use (ภายในบริษัท)</vt:lpwstr>
  </property>
  <property fmtid="{D5CDD505-2E9C-101B-9397-08002B2CF9AE}" pid="6" name="MSIP_Label_e3e5379f-c752-40b7-8c8a-de32cef4862d_SiteId">
    <vt:lpwstr>50243939-22a9-47e3-918e-86b746997bec</vt:lpwstr>
  </property>
  <property fmtid="{D5CDD505-2E9C-101B-9397-08002B2CF9AE}" pid="7" name="MSIP_Label_e3e5379f-c752-40b7-8c8a-de32cef4862d_ActionId">
    <vt:lpwstr>a54d6af6-90e3-43c7-879c-e6977d6d9610</vt:lpwstr>
  </property>
  <property fmtid="{D5CDD505-2E9C-101B-9397-08002B2CF9AE}" pid="8" name="MSIP_Label_e3e5379f-c752-40b7-8c8a-de32cef4862d_ContentBits">
    <vt:lpwstr>2</vt:lpwstr>
  </property>
  <property fmtid="{D5CDD505-2E9C-101B-9397-08002B2CF9AE}" pid="9" name="MSIP_Label_e3e5379f-c752-40b7-8c8a-de32cef4862d_Tag">
    <vt:lpwstr>60, 0, 1, 1</vt:lpwstr>
  </property>
</Properties>
</file>