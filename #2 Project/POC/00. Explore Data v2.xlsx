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79" documentId="8_{2671E8FD-1603-4810-A7D2-37038654FE78}" xr6:coauthVersionLast="47" xr6:coauthVersionMax="47" xr10:uidLastSave="{4D106D6A-005E-F747-8D72-A8FEC7751BB6}"/>
  <bookViews>
    <workbookView xWindow="28680" yWindow="-120" windowWidth="29040" windowHeight="15720" firstSheet="8" activeTab="10" xr2:uid="{E4EECD95-B72D-41CC-82A8-E1ACFDEF6684}"/>
  </bookViews>
  <sheets>
    <sheet name="1. VW_STG_MS_FORM_IT" sheetId="1" state="hidden" r:id="rId1"/>
    <sheet name="2. VW_FORM_01_UNION" sheetId="2" state="hidden" r:id="rId2"/>
    <sheet name="3. VW_FORM_02_UNION_VALUE_MAP" sheetId="3" state="hidden" r:id="rId3"/>
    <sheet name="4. VW_FORM_03_DISTINCT_QUESTION" sheetId="4" state="hidden" r:id="rId4"/>
    <sheet name="5. VW_FORM_04_WEIGHT" sheetId="5" r:id="rId5"/>
    <sheet name="Formula" sheetId="12" r:id="rId6"/>
    <sheet name="6. VW_FORM_05_CALCULATE_WEIGHT" sheetId="6" r:id="rId7"/>
    <sheet name="7. VW_FORM_06_SCORE" sheetId="7" r:id="rId8"/>
    <sheet name="8. VW_FORM_07_SCORE_FIX" sheetId="8" r:id="rId9"/>
    <sheet name="9. VW_FACT_MS_FORM" sheetId="9" r:id="rId10"/>
    <sheet name="10. VW_FACT_MS_FORM_GROUPING" sheetId="10" r:id="rId11"/>
    <sheet name="11. VW_FACT_MS_FORM_REPORT" sheetId="11" r:id="rId12"/>
  </sheets>
  <definedNames>
    <definedName name="_xlnm._FilterDatabase" localSheetId="11" hidden="1">'11. VW_FACT_MS_FORM_REPORT'!$A$1:$AD$19</definedName>
    <definedName name="_xlnm._FilterDatabase" localSheetId="7" hidden="1">'7. VW_FORM_06_SCORE'!$A$25:$AQ$44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10" l="1"/>
  <c r="AE58" i="10"/>
  <c r="AE59" i="10"/>
  <c r="AE60" i="10"/>
  <c r="AE61" i="10"/>
  <c r="AE62" i="10"/>
  <c r="AE63" i="10"/>
  <c r="AE64" i="10"/>
  <c r="AE65" i="10"/>
  <c r="AE66" i="10"/>
  <c r="AE67" i="10"/>
  <c r="AE68" i="10"/>
  <c r="BC44" i="8"/>
  <c r="AM22" i="9"/>
  <c r="BB50" i="8"/>
  <c r="BB51" i="8"/>
  <c r="BB52" i="8"/>
  <c r="BB53" i="8"/>
  <c r="BB54" i="8"/>
  <c r="BB55" i="8"/>
  <c r="BB49" i="8"/>
  <c r="CA38" i="9"/>
</calcChain>
</file>

<file path=xl/sharedStrings.xml><?xml version="1.0" encoding="utf-8"?>
<sst xmlns="http://schemas.openxmlformats.org/spreadsheetml/2006/main" count="5225" uniqueCount="444">
  <si>
    <t>Function_Name</t>
  </si>
  <si>
    <t>Function_SubType</t>
  </si>
  <si>
    <t>UniqueID</t>
  </si>
  <si>
    <t>FormYear</t>
  </si>
  <si>
    <t>RoundYear</t>
  </si>
  <si>
    <t>SharePoint_List</t>
  </si>
  <si>
    <t>Item_ID</t>
  </si>
  <si>
    <t>Title</t>
  </si>
  <si>
    <t>SubmissionTime</t>
  </si>
  <si>
    <t>ResponderEmail</t>
  </si>
  <si>
    <t>Level1</t>
  </si>
  <si>
    <t>Level2</t>
  </si>
  <si>
    <t>Level3</t>
  </si>
  <si>
    <t>Pur_Grp</t>
  </si>
  <si>
    <t>Plant</t>
  </si>
  <si>
    <t>Product</t>
  </si>
  <si>
    <t>Vendor_Name</t>
  </si>
  <si>
    <t>Comment1</t>
  </si>
  <si>
    <t>Comment2</t>
  </si>
  <si>
    <t>Comment3</t>
  </si>
  <si>
    <t>Comment4</t>
  </si>
  <si>
    <t>Above1MB</t>
  </si>
  <si>
    <t>Question_Order</t>
  </si>
  <si>
    <t>Question_Name</t>
  </si>
  <si>
    <t>Response</t>
  </si>
  <si>
    <t>Response_Value</t>
  </si>
  <si>
    <t>IT</t>
  </si>
  <si>
    <t>MS_FORM_IT_0123</t>
  </si>
  <si>
    <t>MS_FORM_IT</t>
  </si>
  <si>
    <t>siri.ro@thainamthip.co.th</t>
  </si>
  <si>
    <t>SERVICE &amp; OTHER</t>
  </si>
  <si>
    <t>NULL</t>
  </si>
  <si>
    <t>9000103576 บริษัท คาร์พิเดียม โซลูชั่นส์ จำกัด</t>
  </si>
  <si>
    <t>1. สินค้า/บริการ ถูกต้องตรงตามคุณสมบัติที่กำหนด (Specification)</t>
  </si>
  <si>
    <t>2. สินค้า/บริการ มีข้อบกพร่อง เช่นสินค้ามีตำหนิ, จำนวนไม่ครบถ้วน/ใช้งานโปรแกรมแล้วพบความผิดปกติ</t>
  </si>
  <si>
    <t>1.ส่งมอบสินค้า/บริการได้ตรงตามเวลาที่กำหนด</t>
  </si>
  <si>
    <t>1. สามารถให้คำปรึกษาและบริการได้ถูกต้อง และมีความรู้ความชำนาญทางด้าน IT</t>
  </si>
  <si>
    <t>2. บริการหลังการขาย สามารถติดต่อได้สะดวก หากพบปัญหาสามารถแก้ไขปัญหาได้รวดเร็ว ข้อเสนอแนะ เพื่อปรับปรุงการบริการของ Vendor</t>
  </si>
  <si>
    <t>ราคาเทียบกับคุณภาพของงาน Price &amp; Quality</t>
  </si>
  <si>
    <t>ราคาสินค้าหรือบริการ เมื่อเปรียบเทียบกับงบประมาณที่แจ้ง</t>
  </si>
  <si>
    <t>Order</t>
  </si>
  <si>
    <t>Scoring_Group</t>
  </si>
  <si>
    <t>Response_Source</t>
  </si>
  <si>
    <t>Response_Value_Source</t>
  </si>
  <si>
    <t>Max_Response_Value</t>
  </si>
  <si>
    <t>SHAREPOINT_LIST</t>
  </si>
  <si>
    <t>YEAR</t>
  </si>
  <si>
    <t>FORM_FULL_NAME</t>
  </si>
  <si>
    <t>FUNCTION_NAME</t>
  </si>
  <si>
    <t>FUNCTION_LEVEL1</t>
  </si>
  <si>
    <t>FUNCTION_LEVEL2</t>
  </si>
  <si>
    <t>FUNCTION_SUBTYPE</t>
  </si>
  <si>
    <t>QUESTION_ORDER</t>
  </si>
  <si>
    <t>QUESTION_NAME</t>
  </si>
  <si>
    <t>GROUP_QUESTION</t>
  </si>
  <si>
    <t>WEIGHT_100</t>
  </si>
  <si>
    <t>TOTAL_WEIGHT</t>
  </si>
  <si>
    <t>WEIGHT_SOURCE</t>
  </si>
  <si>
    <t>MAX_RESPONSE_VALUE</t>
  </si>
  <si>
    <t>UPDATE_DATE</t>
  </si>
  <si>
    <t xml:space="preserve">แบบประเมินคุณภาพการส่งมอบสินค้า/บริการ (For IT User) </t>
  </si>
  <si>
    <t>Quality</t>
  </si>
  <si>
    <t>Price</t>
  </si>
  <si>
    <t>Delivery</t>
  </si>
  <si>
    <t>Service</t>
  </si>
  <si>
    <t>Raw_Score</t>
  </si>
  <si>
    <t>Question_Year</t>
  </si>
  <si>
    <t>Group_Question</t>
  </si>
  <si>
    <t>Weight_Source</t>
  </si>
  <si>
    <t>WeightTotal_Source</t>
  </si>
  <si>
    <t>Weight_100</t>
  </si>
  <si>
    <t>WeightTotal_100</t>
  </si>
  <si>
    <t>Weight_100_NonNull</t>
  </si>
  <si>
    <t>WeightTotal_100_NonNull</t>
  </si>
  <si>
    <t>Score</t>
  </si>
  <si>
    <t>Weight</t>
  </si>
  <si>
    <t>WeightTotal</t>
  </si>
  <si>
    <t>Raw</t>
  </si>
  <si>
    <t>Score_UniqueID</t>
  </si>
  <si>
    <t>Weight_UniqueID</t>
  </si>
  <si>
    <t>WeightTotal_UniqueID</t>
  </si>
  <si>
    <t>Weight_UniqueIDQuestionGroup</t>
  </si>
  <si>
    <t>Weight_WithInGroup_Question</t>
  </si>
  <si>
    <t>Weight_WithInQuestionName</t>
  </si>
  <si>
    <t>Count_WithInQuestionName</t>
  </si>
  <si>
    <t>Weight_VendorPlantProduct</t>
  </si>
  <si>
    <t>Weight_Level</t>
  </si>
  <si>
    <t>Weight_Calc</t>
  </si>
  <si>
    <t>Score_Calc</t>
  </si>
  <si>
    <t>Score_Calc_Format</t>
  </si>
  <si>
    <t>Weight_RM</t>
  </si>
  <si>
    <t>Score_RM</t>
  </si>
  <si>
    <t>Score_RM_Format</t>
  </si>
  <si>
    <t>Weight_PCM</t>
  </si>
  <si>
    <t>Score_PCM</t>
  </si>
  <si>
    <t>Score_PCM_Format</t>
  </si>
  <si>
    <t>1.00 x 15.00 x  Weight (100.00/100.00)</t>
  </si>
  <si>
    <t>0.75 x 30.00 x  Weight (100.00/100.00)</t>
  </si>
  <si>
    <t>0.75 x 5.00 x  Weight (100.00/100.00)</t>
  </si>
  <si>
    <t>1.00 x 5.00 x  Weight (100.00/100.00)</t>
  </si>
  <si>
    <t>0.75 x 15.00 x  Weight (100.00/100.00)</t>
  </si>
  <si>
    <t>UniqueGroupID</t>
  </si>
  <si>
    <t>JoinKey</t>
  </si>
  <si>
    <t>Comment</t>
  </si>
  <si>
    <t>Question_Number</t>
  </si>
  <si>
    <t>GradeByUniqueID</t>
  </si>
  <si>
    <t>RawVendorScore</t>
  </si>
  <si>
    <t>RawVendorFormCount</t>
  </si>
  <si>
    <t>SumScoreByVendor</t>
  </si>
  <si>
    <t>GradeByVendor</t>
  </si>
  <si>
    <t>RawVendorLevelScore</t>
  </si>
  <si>
    <t>RawVendorLevelFormCount</t>
  </si>
  <si>
    <t>SumScoreByVendorLevel</t>
  </si>
  <si>
    <t>GradeByVendorLevel</t>
  </si>
  <si>
    <t>CURRENT_YEAR_INDEX</t>
  </si>
  <si>
    <t>IT__IT_9000103576 บริษัท คาร์พิเดียม โซลูชั่นส์ จำกัด_IT_SERVICE &amp; OTHER_2021</t>
  </si>
  <si>
    <t>IT__9000103576 บริษัท คาร์พิเดียม โซลูชั่นส์ จำกัด_IT__2021_1</t>
  </si>
  <si>
    <t>Q01</t>
  </si>
  <si>
    <t>A</t>
  </si>
  <si>
    <t>B</t>
  </si>
  <si>
    <t>Q02</t>
  </si>
  <si>
    <t>Q04</t>
  </si>
  <si>
    <t>Q03</t>
  </si>
  <si>
    <t>Q07</t>
  </si>
  <si>
    <t>Q06</t>
  </si>
  <si>
    <t>Q05</t>
  </si>
  <si>
    <t>Total_Question_In_Group</t>
  </si>
  <si>
    <t>Weight_Total_Line</t>
  </si>
  <si>
    <t>Weight_Proportion</t>
  </si>
  <si>
    <t>TEXT_CHECK</t>
  </si>
  <si>
    <t>(3/4 ได้  0.75 คะแนน ) * ( น้ำหนัก 30.00 ) = 22.5000</t>
  </si>
  <si>
    <t>(4/4 ได้  1.00 คะแนน ) * ( น้ำหนัก 15.00 ) = 15.0000</t>
  </si>
  <si>
    <t>(3/4 ได้  0.75 คะแนน ) * ( น้ำหนัก 15.00 ) = 11.2500</t>
  </si>
  <si>
    <t>(4/4 ได้  1.00 คะแนน ) * ( น้ำหนัก 5.00 ) = 5.0000</t>
  </si>
  <si>
    <t>(3/4 ได้  0.75 คะแนน ) * ( น้ำหนัก 5.00 ) = 3.7500</t>
  </si>
  <si>
    <t>QueryPart</t>
  </si>
  <si>
    <t>Question_Number_Sort</t>
  </si>
  <si>
    <t>Cell_Value</t>
  </si>
  <si>
    <t>10_QUESTION</t>
  </si>
  <si>
    <t>11_QUESTION_SUM</t>
  </si>
  <si>
    <t>Question Total</t>
  </si>
  <si>
    <t>TOTAL_QUESTION</t>
  </si>
  <si>
    <t>20_SCORE</t>
  </si>
  <si>
    <t>S03</t>
  </si>
  <si>
    <t>S06</t>
  </si>
  <si>
    <t>S07</t>
  </si>
  <si>
    <t>S01</t>
  </si>
  <si>
    <t>S02</t>
  </si>
  <si>
    <t>S04</t>
  </si>
  <si>
    <t>S05</t>
  </si>
  <si>
    <t>21_SCORE_WEIGHT_SUM</t>
  </si>
  <si>
    <t>Score Total</t>
  </si>
  <si>
    <t>TOTAL_SCORE</t>
  </si>
  <si>
    <t>30_SCORE_PCT</t>
  </si>
  <si>
    <t>Total Grade</t>
  </si>
  <si>
    <t>TOTAL_GRADE</t>
  </si>
  <si>
    <t>ZZ_Comment</t>
  </si>
  <si>
    <t>Z-Comment</t>
  </si>
  <si>
    <t>TOTAL_RAW_SCORE</t>
  </si>
  <si>
    <t xml:space="preserve">CASE </t>
  </si>
  <si>
    <t>WHEN Function_Name = 'RM&amp;PKG' AND FormYear = '2021'</t>
  </si>
  <si>
    <t xml:space="preserve">THEN </t>
  </si>
  <si>
    <t>CASE</t>
  </si>
  <si>
    <t>WHEN Question_Name = '3.2) เครดิตการชำระเงิน'</t>
  </si>
  <si>
    <t>WHEN Response = 4 THEN 10</t>
  </si>
  <si>
    <t>WHEN Response = 3 THEN 9</t>
  </si>
  <si>
    <t>WHEN Response = 2 THEN 8</t>
  </si>
  <si>
    <t>WHEN Response = 1 THEN 7</t>
  </si>
  <si>
    <t>WHEN Response = '-' THEN NULL</t>
  </si>
  <si>
    <t xml:space="preserve">ELSE Response END </t>
  </si>
  <si>
    <t xml:space="preserve">ELSE </t>
  </si>
  <si>
    <t>WHEN Response = 3 THEN 8</t>
  </si>
  <si>
    <t>WHEN Response = 2 THEN 6</t>
  </si>
  <si>
    <t>WHEN Response = 1 THEN 4</t>
  </si>
  <si>
    <t>END</t>
  </si>
  <si>
    <t>ELSE Response</t>
  </si>
  <si>
    <t>Response_Source,</t>
  </si>
  <si>
    <t>TRY_CAST(</t>
  </si>
  <si>
    <t>AS DECIMAL(9,4)) AS</t>
  </si>
  <si>
    <t xml:space="preserve">SELECT </t>
  </si>
  <si>
    <t xml:space="preserve">DISTINCT </t>
  </si>
  <si>
    <t>TOP 10000000</t>
  </si>
  <si>
    <t>FROM VW_FORM_01_UNION F</t>
  </si>
  <si>
    <t>LEFT JOIN (</t>
  </si>
  <si>
    <t>FROM VW_FORM_02_UNION_VALUE_MAP</t>
  </si>
  <si>
    <t>GROUP BY FormYear,SharePoint_List</t>
  </si>
  <si>
    <t>) V</t>
  </si>
  <si>
    <t>ON F.SharePoint_List = V.SharePoint_List AND F.FormYear = V.FormYear</t>
  </si>
  <si>
    <t>ORDER BY F.FormYear,F.SharePoint_List,Function_SubType,Question_Order</t>
  </si>
  <si>
    <r>
      <t xml:space="preserve">F.FormYear,F.SharePoint_List,Function_Name,Function_SubType,Question_Order,Question_Name, </t>
    </r>
    <r>
      <rPr>
        <sz val="11"/>
        <color rgb="FFFF0000"/>
        <rFont val="Tahoma"/>
        <family val="2"/>
        <scheme val="minor"/>
      </rPr>
      <t>V.Max_Response_Value</t>
    </r>
  </si>
  <si>
    <r>
      <t xml:space="preserve">SELECT FormYear,SharePoint_List, </t>
    </r>
    <r>
      <rPr>
        <sz val="11"/>
        <color rgb="FFFF0000"/>
        <rFont val="Tahoma"/>
        <family val="2"/>
        <scheme val="minor"/>
      </rPr>
      <t>MAX(Response_Value) AS Max_Response_Value</t>
    </r>
  </si>
  <si>
    <t>(Maximum of value each questions)</t>
  </si>
  <si>
    <t>WHEN COALESCE(F.FUNCTION_NAME, Q.FUNCTION_NAME) IN ('RM&amp;PKG')</t>
  </si>
  <si>
    <t>WHEN GROUP_QUESTION = 'Service'</t>
  </si>
  <si>
    <t xml:space="preserve">THEN CAST(CAST(Q.WEIGHT AS DECIMAL(9,4)) / 10 AS DECIMAL(9,4)) </t>
  </si>
  <si>
    <t>ELSE CAST(CAST(Q.WEIGHT AS DECIMAL(9,4)) / COUNT(Q.QUESTION) OVER (PARTITION BY Q.FUNCTION_NAME, Q.GROUP_QUESTION,Q.YEAR) AS DECIMAL(9,4))   END</t>
  </si>
  <si>
    <t xml:space="preserve">CAST( </t>
  </si>
  <si>
    <t>CAST(Q.WEIGHT AS DECIMAL(9,6))</t>
  </si>
  <si>
    <t>/</t>
  </si>
  <si>
    <t>CAST(SUM(CAST(Q.WEIGHT AS DECIMAL(9,6))) OVER (PARTITION BY F.SHAREPOINT_LIST,  Q.FORM_NAME, Q.YEAR, F.FUNCTION_NAME, F.FUNCTION_SUBTYPE) AS DECIMAL(9,4))</t>
  </si>
  <si>
    <t xml:space="preserve">* 100 </t>
  </si>
  <si>
    <t>AS DECIMAL(9,4))</t>
  </si>
  <si>
    <t>AS WEIGHT_100</t>
  </si>
  <si>
    <t>=-- RM Weighting</t>
  </si>
  <si>
    <t>=-- Non RM Weighting</t>
  </si>
  <si>
    <t>CAST(Q.WEIGHT AS DECIMAL(9,4)) AS WEIGHT_SOURCE</t>
  </si>
  <si>
    <t>F.MAX_RESPONSE_VALUE</t>
  </si>
  <si>
    <t>SELECT A.* ,</t>
  </si>
  <si>
    <t>WHEN FORM_NAME LIKE '%Uniform-DT%' AND [YEAR] = '2021' THEN 'UNIFORM-DT'</t>
  </si>
  <si>
    <t xml:space="preserve">WHEN FORM_NAME LIKE '%Uniform-DT%' AND [YEAR] = '2022' THEN 'UNIFORM' </t>
  </si>
  <si>
    <t>WHEN FORM_NAME LIKE '%Uniform-OF%' THEN 'UNIFORM-OF'</t>
  </si>
  <si>
    <t>WHEN FORM_NAME LIKE '%Uniform-WH%' THEN 'UNIFORM-WH'</t>
  </si>
  <si>
    <t>WHEN FORM_NAME LIKE '%Uniform-S%' THEN 'UNIFORM-S'</t>
  </si>
  <si>
    <t>WHEN FORM_NAME LIKE '%(Uniform) M/F%' THEN 'UNIFORM-M/F'</t>
  </si>
  <si>
    <t>WHEN FUNCTION_NAME = 'Procurement' AND LEVEL1 = 'Internal' THEN 'Internal'</t>
  </si>
  <si>
    <t>WHEN FUNCTION_NAME = 'Procurement' AND LEVEL1 = 'External' THEN 'External'</t>
  </si>
  <si>
    <t>ELSE '' END AS FUNCTION_SUBTYPE</t>
  </si>
  <si>
    <t>FROM</t>
  </si>
  <si>
    <t>STG_QUESTION A</t>
  </si>
  <si>
    <t>Table Q</t>
  </si>
  <si>
    <t>Table F</t>
  </si>
  <si>
    <r>
      <t xml:space="preserve">SELECT * FROM </t>
    </r>
    <r>
      <rPr>
        <sz val="11"/>
        <color rgb="FFFF0000"/>
        <rFont val="Tahoma"/>
        <family val="2"/>
        <scheme val="minor"/>
      </rPr>
      <t xml:space="preserve">VW_FORM_03_DISTINCT_QUESTION </t>
    </r>
  </si>
  <si>
    <r>
      <rPr>
        <sz val="11"/>
        <color rgb="FFFF0000"/>
        <rFont val="Tahoma"/>
        <family val="2"/>
        <scheme val="minor"/>
      </rPr>
      <t>SUM(CAST(Q.WEIGHT AS DECIMAL(9,4))) OVER (PARTITION BY F.SHAREPOINT_LIST, Q.FORM_NAME, Q.YEAR, F.FUNCTION_NAME, F.FUNCTION_SUBTYPE)</t>
    </r>
    <r>
      <rPr>
        <sz val="11"/>
        <color theme="1"/>
        <rFont val="Tahoma"/>
        <family val="2"/>
        <charset val="222"/>
        <scheme val="minor"/>
      </rPr>
      <t xml:space="preserve"> AS TOTAL_WEIGHT</t>
    </r>
  </si>
  <si>
    <t>ถ้าไม่ใช่ RM</t>
  </si>
  <si>
    <t xml:space="preserve">WEIGHT_100 = </t>
  </si>
  <si>
    <t>ถ้าเป็น RM (Service)</t>
  </si>
  <si>
    <t>WEIGHT_100 = Q.WEIGHT</t>
  </si>
  <si>
    <t>ถ้าเป็น RM (ไม่ใช่ Service)</t>
  </si>
  <si>
    <t>WEIGHT_100 = Q.WEIGHT/COUNT(Q.QUESTION) [ตาม Function ปี]</t>
  </si>
  <si>
    <t>Q.WEIGHT/TOTAL_WEIGHT * 100</t>
  </si>
  <si>
    <t>=N2/M2*100</t>
  </si>
  <si>
    <t>ต้นทาง</t>
  </si>
  <si>
    <t>SELECT * FROM VW_FORM_02_UNION_VALUE_MAP</t>
  </si>
  <si>
    <t>VW_FORM_04_WEIGHT Q</t>
  </si>
  <si>
    <t>CAST(F.Response_Value / Q.Max_Response_Value AS DECIMAL(9,4)) AS Raw_Score</t>
  </si>
  <si>
    <t>=AB2/AE2</t>
  </si>
  <si>
    <t xml:space="preserve">SUM(Q.Weight_Source) OVER (PARTITION BY F.UniqueID) </t>
  </si>
  <si>
    <t>AS WeightTotal_Source</t>
  </si>
  <si>
    <t xml:space="preserve">CAST(CASE </t>
  </si>
  <si>
    <t>WHEN F.Function_Name = 'RM&amp;PKG' THEN 100</t>
  </si>
  <si>
    <t xml:space="preserve">ELSE SUM(Q.Weight_100) OVER (PARTITION BY F.UniqueID) </t>
  </si>
  <si>
    <t>END AS DECIMAL(9,4))</t>
  </si>
  <si>
    <t>AS WeightTotal_100</t>
  </si>
  <si>
    <t>WHEN Response_Value IS NOT NULL</t>
  </si>
  <si>
    <t>AS Weight_100_NonNull</t>
  </si>
  <si>
    <t>ELSE NULL END</t>
  </si>
  <si>
    <t xml:space="preserve">WHEN Response_Value IS NOT NULL THEN Q.Weight_100 </t>
  </si>
  <si>
    <t>SUM(</t>
  </si>
  <si>
    <t xml:space="preserve">THEN Q.Weight_100 ELSE NULL END </t>
  </si>
  <si>
    <t>) OVER (PARTITION BY F.UniqueID)</t>
  </si>
  <si>
    <t>AS WeightTotal_100_NonNull</t>
  </si>
  <si>
    <t>(สัดส่วนคะแนนที่ได้</t>
  </si>
  <si>
    <t>เมื่อเทียบกับคะแนนเต็ม)</t>
  </si>
  <si>
    <t>ถ้าเป็น Function ='RM&amp;PKG'</t>
  </si>
  <si>
    <t>WeightTotal_100 = 100</t>
  </si>
  <si>
    <t>ถ้าไม่ใช่</t>
  </si>
  <si>
    <t xml:space="preserve">SUM(Q.Weight_100) OVER (PARTITION BY F.UniqueID) </t>
  </si>
  <si>
    <t>ถ้า Response มีค่า</t>
  </si>
  <si>
    <t xml:space="preserve">= Q.Weight_100 </t>
  </si>
  <si>
    <t>ถ้า Response NULL</t>
  </si>
  <si>
    <t>= NULL</t>
  </si>
  <si>
    <t>=</t>
  </si>
  <si>
    <t>=AK2</t>
  </si>
  <si>
    <t>= SUM(Q.Weight_100) [ตาม 1 FORM 1 การประเมิน]</t>
  </si>
  <si>
    <t>=SUM(AK2:AK8)</t>
  </si>
  <si>
    <t>Columns ต่อไปนี้มาจาก VW_FORM_05_CALCULATE_WEIGHT</t>
  </si>
  <si>
    <t>CAST( F.Raw_Score * F.Weight_100_NonNull AS DECIMAL(9,4)) AS Score</t>
  </si>
  <si>
    <t>=AF2*AM2</t>
  </si>
  <si>
    <t>= CAST(F.Response_Value / Q.Max_Response_Value AS DECIMAL(9,4)) AS Raw_Score *</t>
  </si>
  <si>
    <t xml:space="preserve">= F.Response_Value / Q.Max_Response_Value * Q.Weight_100 </t>
  </si>
  <si>
    <t>=AB2/AE2*AK2</t>
  </si>
  <si>
    <t>Weight ที่ได้เมื่อคิดจากคะแนนประเมิน</t>
  </si>
  <si>
    <t xml:space="preserve">CASE WHEN F.Weight_100_NonNull IS NOT NULL THEN </t>
  </si>
  <si>
    <t xml:space="preserve">SUM(F.Weight_100_NonNull) OVER (PARTITION BY UniqueID) </t>
  </si>
  <si>
    <t>ELSE NULL END AS WeightTotal</t>
  </si>
  <si>
    <t>F.Weight_100_NonNull AS Weight</t>
  </si>
  <si>
    <t>=AM2</t>
  </si>
  <si>
    <t>Columns ต่อไปนี้มาจาก FACT_MS_FORM_SCORE</t>
  </si>
  <si>
    <t>F.Raw_Score AS Raw</t>
  </si>
  <si>
    <t>=AF2</t>
  </si>
  <si>
    <t>Score AS Score_UniqueID</t>
  </si>
  <si>
    <t>=AO2</t>
  </si>
  <si>
    <t>Weight AS Weight_UniqueID</t>
  </si>
  <si>
    <t>=AP2</t>
  </si>
  <si>
    <t>WeightTotal AS WeightTotal_UniqueID</t>
  </si>
  <si>
    <t>=AQ2</t>
  </si>
  <si>
    <t xml:space="preserve">SELECT  </t>
  </si>
  <si>
    <t xml:space="preserve">    FROM</t>
  </si>
  <si>
    <t xml:space="preserve">    (</t>
  </si>
  <si>
    <t xml:space="preserve">        SELECT</t>
  </si>
  <si>
    <t xml:space="preserve">       UniqueID,Group_Question,Weight_Source</t>
  </si>
  <si>
    <t xml:space="preserve">        FROM FACT_MS_FORM_SCORE</t>
  </si>
  <si>
    <t xml:space="preserve">        GROUP BY</t>
  </si>
  <si>
    <t xml:space="preserve">    ) A</t>
  </si>
  <si>
    <t xml:space="preserve">    GROUP BY UniqueID</t>
  </si>
  <si>
    <r>
      <t xml:space="preserve">    UniqueID, </t>
    </r>
    <r>
      <rPr>
        <sz val="11"/>
        <color rgb="FFFF0000"/>
        <rFont val="Tahoma"/>
        <family val="2"/>
        <scheme val="minor"/>
      </rPr>
      <t>SUM(Weight_Source) AS Weight_UniqueIDQuestionGroup</t>
    </r>
  </si>
  <si>
    <r>
      <t xml:space="preserve">       UniqueID,Group_Question,</t>
    </r>
    <r>
      <rPr>
        <sz val="11"/>
        <color rgb="FFFF0000"/>
        <rFont val="Tahoma"/>
        <family val="2"/>
        <scheme val="minor"/>
      </rPr>
      <t>Weight_Source</t>
    </r>
  </si>
  <si>
    <t>QG</t>
  </si>
  <si>
    <t>SUM(F.Weight_UniqueID) OVER (PARTITION BY F.Function_Name,F.Function_SubType,F.Scoring_Group,F.FormYear,F.SharePoint_List,F.Plant,F.Product,F.Vendor_Name,F.Group_Question ) AS Weight_WithInGroup_Question</t>
  </si>
  <si>
    <t>SUM(F.Weight_UniqueID) OVER (PARTITION BY F.Function_Name,F.Function_SubType,F.Scoring_Group,F.FormYear,F.SharePoint_List,F.Plant,F.Product,F.Vendor_Name,F.Pur_Grp/*F.Level1*/,F.Question_Name ) AS Weight_WithInQuestionName</t>
  </si>
  <si>
    <t>COUNT(F.Weight_UniqueID) OVER (PARTITION BY F.Function_Name,F.Function_SubType,F.Scoring_Group,F.FormYear,F.SharePoint_List,F.Plant,F.Product,F.Vendor_Name,F.Pur_Grp/*F.Level1*/,F.Question_Name ) AS Count_WithInQuestionName</t>
  </si>
  <si>
    <t>F.Weight AS Weight_Calc</t>
  </si>
  <si>
    <t>CAST( F.Raw_Score * F.Weight * (100/F.WeightTotal) AS DECIMAL(9,4)) AS Score_Calc</t>
  </si>
  <si>
    <t>* F.Weight</t>
  </si>
  <si>
    <t>CAST( F.Weight * ( F.Weight_Source / F.Weight_WithInGroup_Question )  * ( 100.00 / F.Weight_VendorPlantProduct) AS DECIMAL(9,4)) AS Weight_RM</t>
  </si>
  <si>
    <t>CAST( F.Raw_Score *  F.Weight * ( F.Weight_Source / F.Weight_WithInGroup_Question )  * ( 100.00 / F.Weight_VendorPlantProduct) AS DECIMAL(9,4))  AS Score_RM</t>
  </si>
  <si>
    <t>CAST( F.Weight * ( F.Weight_Source / F.Weight_WithInQuestionName )  * ( 100.00 / F.Weight_Level) AS DECIMAL(9,4)) AS Weight_PCM</t>
  </si>
  <si>
    <t>CAST( F.Raw_Score *  F.Weight * ( F.Weight_Source / F.Weight_WithInQuestionName )  * ( 100.00 / F.Weight_Level) AS DECIMAL(9,4))  AS Score_PCM</t>
  </si>
  <si>
    <t>WHEN F.SumScoreByUniqueID &gt;= 85 THEN 'A'</t>
  </si>
  <si>
    <t>WHEN F.SumScoreByUniqueID &gt;= 68 THEN 'B'</t>
  </si>
  <si>
    <t>WHEN F.SumScoreByUniqueID &gt;= 51 THEN 'C'</t>
  </si>
  <si>
    <t>WHEN F.SumScoreByUniqueID &gt;= 0 THEN 'D'</t>
  </si>
  <si>
    <t xml:space="preserve">ELSE '-' </t>
  </si>
  <si>
    <t>END AS GradeByUniqueID</t>
  </si>
  <si>
    <t xml:space="preserve"> = SUM(Score_Report) OVER (PARTITION BY UniqueID) AS SumScoreByUniqueID</t>
  </si>
  <si>
    <t>= Score_Calc หรือ Score_RM หรือ Score_PCM</t>
  </si>
  <si>
    <t xml:space="preserve"> =SUM(AM2:AM8) ซึ่ง = A</t>
  </si>
  <si>
    <t>WHEN F.SumScoreByVendor &gt;= 85 THEN 'A'</t>
  </si>
  <si>
    <t>WHEN F.SumScoreByVendor &gt;= 68 THEN 'B'</t>
  </si>
  <si>
    <t>WHEN F.SumScoreByVendor &gt;= 51 THEN 'C'</t>
  </si>
  <si>
    <t>WHEN F.SumScoreByVendor &gt;= 0 THEN 'D'</t>
  </si>
  <si>
    <t>END AS GradeByVendor</t>
  </si>
  <si>
    <t>= C.RawVendorScore / C.RawVendorFormCount AS SumScoreByVendor</t>
  </si>
  <si>
    <t>SELECT FormYear,Function_Name, Function_SubType, Vendor_Name, SUM(Score_Report) AS RawVendorScore, COUNT(DISTINCT UniqueID) AS RawVendorFormCount</t>
  </si>
  <si>
    <t>FROM W_FACT</t>
  </si>
  <si>
    <t>GROUP BY FormYear,Function_Name, Function_SubType, Vendor_Name</t>
  </si>
  <si>
    <t>C =</t>
  </si>
  <si>
    <t xml:space="preserve">SELECT FormYear,Function_Name, Function_SubType, Vendor_Name, </t>
  </si>
  <si>
    <t xml:space="preserve">SUM(CASE </t>
  </si>
  <si>
    <t>WHEN Function_Name IN ('RM&amp;PKG')</t>
  </si>
  <si>
    <t>THEN F.Score_RM</t>
  </si>
  <si>
    <t>WHEN Function_Name IN ('Procurement')</t>
  </si>
  <si>
    <t>THEN F.Score_PCM</t>
  </si>
  <si>
    <t xml:space="preserve">ELSE F.Score_Calc END) AS RawVendorScore, </t>
  </si>
  <si>
    <t>COUNT(DISTINCT UniqueID) AS RawVendorFormCount</t>
  </si>
  <si>
    <t>FROM VW_FORM_07_SCORE_FIX F</t>
  </si>
  <si>
    <t>HAVING Function_Name = 'IT'</t>
  </si>
  <si>
    <t>AND FormYear = '2021'</t>
  </si>
  <si>
    <t>AND Vendor_Name = '9000103576 บริษัท คาร์พิเดียม โซลูชั่นส์ จำกัด'</t>
  </si>
  <si>
    <t xml:space="preserve">C = </t>
  </si>
  <si>
    <t>=CF28/CG28</t>
  </si>
  <si>
    <t xml:space="preserve">    CASE</t>
  </si>
  <si>
    <t xml:space="preserve">        WHEN F.SumScoreByVendorLevel &gt;= 85 THEN 'A'</t>
  </si>
  <si>
    <t xml:space="preserve">        WHEN F.SumScoreByVendorLevel &gt;= 68 THEN 'B'</t>
  </si>
  <si>
    <t xml:space="preserve">        WHEN F.SumScoreByVendorLevel &gt;= 51 THEN 'C'</t>
  </si>
  <si>
    <t xml:space="preserve">        WHEN F.SumScoreByVendorLevel &gt;= 0 THEN 'D'</t>
  </si>
  <si>
    <t xml:space="preserve">        ELSE '-' </t>
  </si>
  <si>
    <t xml:space="preserve">    --END </t>
  </si>
  <si>
    <t>END AS GradeByVendorLevel</t>
  </si>
  <si>
    <t>= COALESCE(L.RawVendorLevelFormCount,LP.RawVendorLevelFormCount) AS SumScoreByVendorLevel</t>
  </si>
  <si>
    <t>RM&amp;PKG</t>
  </si>
  <si>
    <t>MS_FORM_RM</t>
  </si>
  <si>
    <t>BARCODE</t>
  </si>
  <si>
    <t>QA</t>
  </si>
  <si>
    <t>9000100317 บริษัท เวเบอร์ มาร์คกิ้ง ซิสเต็มส์(ประเทศไทย) จำกัด</t>
  </si>
  <si>
    <t>2.1) ส่งสินค้าได้ไม่กระทบกับแผนการผลิต (ผลิตตามแผน และ lead time สั่งสินค้าปกติ)</t>
  </si>
  <si>
    <t>4.1.2)ดำเนินการติดตาม CAR และความสำเร็จในการแก้ไขปัญหา</t>
  </si>
  <si>
    <t>3.2) เครดิตการชำระเงิน</t>
  </si>
  <si>
    <t>4.1.1) ตอบและปิด CAR ภายในเวลาที่กำหนด</t>
  </si>
  <si>
    <t>1.1) สินค้าถูกต้องตรงตามข้อกำหนด (Specification) ที่ตกลงกัน</t>
  </si>
  <si>
    <t>= SUM(Q.WEIGHT) [ตาม Function ปี]</t>
  </si>
  <si>
    <t>WEIGHT_100 = Q.WEIGHT/10</t>
  </si>
  <si>
    <t>1.WEIGHT_SOURCE</t>
  </si>
  <si>
    <t>- เอามาจาก ต้นทางเลย</t>
  </si>
  <si>
    <t>5. VW_FORM_04_WEIGHT</t>
  </si>
  <si>
    <t>2. TOTAL_WEIGHT</t>
  </si>
  <si>
    <t>- ดึงทีละ Form แล้วเอา Weight_source มาบวกกัน</t>
  </si>
  <si>
    <t>3. WEIGHT_100</t>
  </si>
  <si>
    <t>- พยายามทำให้ weight รวมกันเป็น 100 ให้ได้</t>
  </si>
  <si>
    <t>CASE WHEN COALESCE(F.FUNCTION_NAME, Q.FUNCTION_NAME) IN ('RM&amp;PKG')</t>
  </si>
  <si>
    <t>CASE WHEN GROUP_QUESTION = 'Service'</t>
  </si>
  <si>
    <r>
      <t xml:space="preserve">CAST( CAST(Q.WEIGHT AS DECIMAL(9,6)) </t>
    </r>
    <r>
      <rPr>
        <sz val="11"/>
        <color theme="9" tint="-0.249977111117893"/>
        <rFont val="Tahoma"/>
        <family val="2"/>
        <scheme val="minor"/>
      </rPr>
      <t>/</t>
    </r>
    <r>
      <rPr>
        <sz val="11"/>
        <color theme="5" tint="-0.249977111117893"/>
        <rFont val="Tahoma"/>
        <family val="2"/>
        <scheme val="minor"/>
      </rPr>
      <t xml:space="preserve"> </t>
    </r>
    <r>
      <rPr>
        <sz val="11"/>
        <color rgb="FFFF0000"/>
        <rFont val="Tahoma"/>
        <family val="2"/>
        <scheme val="minor"/>
      </rPr>
      <t>CAST(SUM(CAST(Q.WEIGHT AS DECIMAL(9,6))) OVER (PARTITION BY F.SHAREPOINT_LIST,  Q.FORM_NAME, Q.YEAR, F.FUNCTION_NAME, F.FUNCTION_SUBTYPE) AS DECIMAL(9,4))</t>
    </r>
    <r>
      <rPr>
        <sz val="11"/>
        <color theme="1"/>
        <rFont val="Tahoma"/>
        <family val="2"/>
        <charset val="222"/>
        <scheme val="minor"/>
      </rPr>
      <t xml:space="preserve"> </t>
    </r>
    <r>
      <rPr>
        <sz val="11"/>
        <color theme="1"/>
        <rFont val="Tahoma"/>
        <family val="2"/>
        <scheme val="minor"/>
      </rPr>
      <t>* 100 AS DECIMAL(9,4))</t>
    </r>
  </si>
  <si>
    <r>
      <rPr>
        <b/>
        <sz val="11"/>
        <color theme="1"/>
        <rFont val="Tahoma"/>
        <family val="2"/>
        <scheme val="minor"/>
      </rPr>
      <t xml:space="preserve">- ถ้าเป็น RM (Service) </t>
    </r>
    <r>
      <rPr>
        <sz val="11"/>
        <color theme="1"/>
        <rFont val="Tahoma"/>
        <family val="2"/>
        <charset val="222"/>
        <scheme val="minor"/>
      </rPr>
      <t>: WEIGHT_100 = Q.WEIGHT/10</t>
    </r>
  </si>
  <si>
    <r>
      <rPr>
        <b/>
        <sz val="11"/>
        <color theme="1"/>
        <rFont val="Tahoma"/>
        <family val="2"/>
        <scheme val="minor"/>
      </rPr>
      <t>- ถ้าเป็น RM (ไม่ใช่ Service)</t>
    </r>
    <r>
      <rPr>
        <sz val="11"/>
        <color theme="1"/>
        <rFont val="Tahoma"/>
        <family val="2"/>
        <charset val="222"/>
        <scheme val="minor"/>
      </rPr>
      <t xml:space="preserve"> : WEIGHT_100 = Q.WEIGHT/COUNT(Q.QUESTION) [ตาม Function ปี]</t>
    </r>
  </si>
  <si>
    <r>
      <rPr>
        <b/>
        <sz val="11"/>
        <color rgb="FFFF0000"/>
        <rFont val="Tahoma"/>
        <family val="2"/>
        <scheme val="minor"/>
      </rPr>
      <t xml:space="preserve">- ถ้าไม่ใช่ RM : </t>
    </r>
    <r>
      <rPr>
        <sz val="11"/>
        <rFont val="Tahoma"/>
        <family val="2"/>
        <scheme val="minor"/>
      </rPr>
      <t>WEIGHT_100</t>
    </r>
    <r>
      <rPr>
        <sz val="11"/>
        <color theme="1"/>
        <rFont val="Tahoma"/>
        <family val="2"/>
        <charset val="222"/>
        <scheme val="minor"/>
      </rPr>
      <t xml:space="preserve"> = Q.WEIGHT/TOTAL_WEIGHT * 100</t>
    </r>
  </si>
  <si>
    <t>MS_FORM_RM_3282</t>
  </si>
  <si>
    <t>Chantawan.Sr@thainamthip.co.th</t>
  </si>
  <si>
    <t>ปทุมธานี</t>
  </si>
  <si>
    <t>1.2) จำนวน CAR ที่ออกทางด้านคุณภาพ</t>
  </si>
  <si>
    <t>1.3) COA ถูกต้องและครบถ้วน</t>
  </si>
  <si>
    <t>2.2) ส่งสินค้าตรงตามที่กำหนด (ไม่กระทบกับการทำงาน)</t>
  </si>
  <si>
    <t>2.3) ส่งสินค้าได้ครบตามจำนวนและชนิดที่สั่ง</t>
  </si>
  <si>
    <t>2.4) ความสะอาดของ package และรถ ความสมบูรณ์  package ภายนอกของสินค้า</t>
  </si>
  <si>
    <t xml:space="preserve">2.5) มีเอกสาร เช่น 1. PO หรือ JIT, COA ครบถ้วน  / 2.ใบส่งของหรือ invoice ถูกและครบถ้วน  </t>
  </si>
  <si>
    <t>2.6)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</si>
  <si>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 ที่ขายวัตถุดิบประเภทเดียวกัน</t>
  </si>
  <si>
    <t>4.2.1 /4.3.1)สามารถติดต่อ และติดตามงานกับเจ้าหน้าที่ของบริษัทได้</t>
  </si>
  <si>
    <t>4.2.2 /4.3.2) ให้ความช่วยเหลือหรือข้อแนะนำใน ด้านข้อมูล ด้านเทคนิคต่าง ๆ หรือการแก้ไขปัญหา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</si>
  <si>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</si>
  <si>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</si>
  <si>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Safty) ของวัตุดิบและบรรจุภัณฑ์ที่ส่งมอบ</t>
  </si>
  <si>
    <t>แบบประเมินคุณภาพการส่งมอบสินค้า/บริการ RAW MATERIAL &amp; PKG</t>
  </si>
  <si>
    <t>Food Safety</t>
  </si>
  <si>
    <t>2.5) มีเอกสาร เช่น 1. PO หรือ JIT, COA ครบถ้วน  / 2.ใบส่งของหรือ invoice ถูกและครบถ้วน</t>
  </si>
  <si>
    <t>MS_FORM_AGILE_0006</t>
  </si>
  <si>
    <t>AGILE</t>
  </si>
  <si>
    <t>MS_FORM_AGILE</t>
  </si>
  <si>
    <t>aunchala.ke@thainamthip.co.th</t>
  </si>
  <si>
    <t>Office Supply</t>
  </si>
  <si>
    <t>9000100857 บริษัท สินสยาม พลัส จำกัด</t>
  </si>
  <si>
    <t>test4</t>
  </si>
  <si>
    <t>1.1 ชิ้นงานหรือตัวสินค้าตรงตามความต้องการ</t>
  </si>
  <si>
    <t>4.2 ให้บริการหลังการขาย/ติดตาม/แก้ไขปัญหาเป็นอย่างดี และรวดเร็ว</t>
  </si>
  <si>
    <t>2.1 การขนส่งสินค้าได้ตามวันและเวลาตามข้อตกลง</t>
  </si>
  <si>
    <t>1.3 ชิ้นงานบรรจุตามจำนวนที่กำหนด</t>
  </si>
  <si>
    <t>4.3 ความรวดเร็วในการช่วยแก้ปัญหา</t>
  </si>
  <si>
    <t>1.2 ผลิตภัณฑ์ได้มาตรฐานและมีคุณภาพ</t>
  </si>
  <si>
    <t>4.1 มีการให้ข้อมูลได้ถูกต้องตามความต้องการ</t>
  </si>
  <si>
    <t>2.2 ความถูกต้องของจำนวนสินค้าตรงตามเอกสารส่งมอบสินค้า</t>
  </si>
  <si>
    <t>2.3 ความเรียบร้อยของผลิตภัณฑ์/บรรจุภัณฑ์ระหว่างการขนส่ง</t>
  </si>
  <si>
    <t>3.1 ราคาซื้อเมื่อเปรียบเทียบกับงบประมาณที่แจ้งมา</t>
  </si>
  <si>
    <t>1.00 x 10.00 x  Weight (100.00/70.00)</t>
  </si>
  <si>
    <t>1.00 x 15.00 x  Weight (100.00/70.00)</t>
  </si>
  <si>
    <t>1.00 x 5.00 x  Weight (100.00/70.00)</t>
  </si>
  <si>
    <t>=AF2 * AP2 * (100/AQ2)</t>
  </si>
  <si>
    <t>AGILE__9000100857 บริษัท สินสยาม พลัส จำกัด_Office Supply__1999_1</t>
  </si>
  <si>
    <t>Q09</t>
  </si>
  <si>
    <t>test4test4test4test4test4test4test4</t>
  </si>
  <si>
    <t>S09</t>
  </si>
  <si>
    <t>AGILE__AGILE_9000100857 บริษัท สินสยาม พลัส จำกัด_Office Supply__1999</t>
  </si>
  <si>
    <t>(4/4 ได้  1.00 คะแนน ) * ( น้ำหนัก 10.00 ) = 10.0000</t>
  </si>
  <si>
    <t>9000100317 บริษัท เวเบอร์ มาร์คกิ้ง ซิสเต็มส์(ประเทศไทย) จำกัด_ปทุมธานี_BARCODE__1</t>
  </si>
  <si>
    <t>Q17</t>
  </si>
  <si>
    <t>(4/4 ได้  1.00 คะแนน ) * ( น้ำหนัก 15.00 คำนวณมาจาก 15/1 )  = 15.0000</t>
  </si>
  <si>
    <t>(3/4 ได้  0.75 คะแนน ) * ( น้ำหนัก 10.00 คำนวณมาจาก 30/3 )  = 7.5000</t>
  </si>
  <si>
    <t>(4/4 ได้  1.00 คะแนน ) * ( น้ำหนัก 10.00 คำนวณมาจาก 30/3 )  = 10.0000</t>
  </si>
  <si>
    <t>Q11</t>
  </si>
  <si>
    <t>(3/4 ได้  0.75 คะแนน ) * ( น้ำหนัก 2.50 คำนวณมาจาก 15/6 )  = 1.8750</t>
  </si>
  <si>
    <t>Q12</t>
  </si>
  <si>
    <t>9000100317 บริษัท เวเบอร์ มาร์คกิ้ง ซิสเต็มส์(ประเทศไทย) จำกัด_ปทุมธานี_BARCODE__2</t>
  </si>
  <si>
    <t>(3/4 ได้  0.75 คะแนน ) * ( น้ำหนัก 15.00 คำนวณมาจาก 15/1 )  = 11.2500</t>
  </si>
  <si>
    <t>(3/4 ได้  0.75 คะแนน ) * ( น้ำหนัก 1.50 คำนวณมาจาก 15/10 )  = 1.1250</t>
  </si>
  <si>
    <t>RM&amp;PKG__RM&amp;PKG_9000100317 บริษัท เวเบอร์ มาร์คกิ้ง ซิสเต็มส์(ประเทศไทย) จำกัด_BARCODE__2023</t>
  </si>
  <si>
    <t>RM&amp;PKG__9000100317 บริษัท เวเบอร์ มาร์คกิ้ง ซิสเต็มส์(ประเทศไทย) จำกัด_BARCODE_ปทุมธานี_2023_1</t>
  </si>
  <si>
    <t>0.75 x 1.50 x  Weight (100.00/48.00)</t>
  </si>
  <si>
    <t>0.75 x 1.50 x  WithinGroup (15.00/24.00) x Weight (100.00/100.00)</t>
  </si>
  <si>
    <t>D</t>
  </si>
  <si>
    <t>0.75 x 10.00 x  Weight (100.00/48.00)</t>
  </si>
  <si>
    <t>0.75 x 10.00 x  WithinGroup (30.00/60.00) x Weight (100.00/100.00)</t>
  </si>
  <si>
    <t>1.00 x 10.00 x  Weight (100.00/48.00)</t>
  </si>
  <si>
    <t>1.00 x 10.00 x  WithinGroup (30.00/60.00) x Weight (100.00/100.00)</t>
  </si>
  <si>
    <t>1.00 x 15.00 x  Weight (100.00/48.00)</t>
  </si>
  <si>
    <t>1.00 x 15.00 x  WithinGroup (15.00/30.00) x Weight (100.00/100.00)</t>
  </si>
  <si>
    <t>CAST( Raw_Score * Weight_Calc * ( Weight_Proportion / Weight_Source ) AS DECIMAL(9,4)) AS Score,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</si>
</sst>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m/d/yy\ h:mm\ AM/PM;@"/>
  </numFmts>
  <fonts count="13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sz val="11"/>
      <color theme="9" tint="-0.249977111117893"/>
      <name val="Tahoma"/>
      <family val="2"/>
      <scheme val="minor"/>
    </font>
    <font>
      <sz val="11"/>
      <color theme="5" tint="-0.249977111117893"/>
      <name val="Tahoma"/>
      <family val="2"/>
      <scheme val="minor"/>
    </font>
    <font>
      <sz val="1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3.5"/>
      <color rgb="FF000000"/>
      <name val="-Webkit-Standard"/>
      <family val="18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22" fontId="0" fillId="0" borderId="0" xfId="0" applyNumberFormat="1"/>
    <xf numFmtId="0" fontId="0" fillId="2" borderId="0" xfId="0" applyFill="1"/>
    <xf numFmtId="187" fontId="0" fillId="0" borderId="0" xfId="0" applyNumberForma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5" fillId="7" borderId="0" xfId="0" applyFont="1" applyFill="1"/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17" borderId="0" xfId="0" applyFont="1" applyFill="1"/>
    <xf numFmtId="0" fontId="2" fillId="18" borderId="0" xfId="0" applyFont="1" applyFill="1"/>
    <xf numFmtId="0" fontId="0" fillId="0" borderId="0" xfId="0" applyFill="1"/>
    <xf numFmtId="0" fontId="0" fillId="0" borderId="0" xfId="0" applyFont="1" applyFill="1"/>
    <xf numFmtId="0" fontId="0" fillId="19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0" applyFont="1" applyFill="1" applyAlignment="1">
      <alignment vertical="top"/>
    </xf>
    <xf numFmtId="0" fontId="0" fillId="0" borderId="0" xfId="0" quotePrefix="1" applyAlignment="1">
      <alignment horizontal="left" vertical="top" indent="2"/>
    </xf>
    <xf numFmtId="0" fontId="0" fillId="0" borderId="0" xfId="0" applyAlignment="1">
      <alignment horizontal="left" vertical="top" indent="3"/>
    </xf>
    <xf numFmtId="0" fontId="6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0" fillId="0" borderId="0" xfId="0" quotePrefix="1" applyAlignment="1">
      <alignment horizontal="left" indent="3"/>
    </xf>
    <xf numFmtId="0" fontId="1" fillId="0" borderId="0" xfId="0" applyFont="1" applyAlignment="1">
      <alignment horizontal="left" indent="3"/>
    </xf>
    <xf numFmtId="47" fontId="0" fillId="0" borderId="0" xfId="0" applyNumberFormat="1"/>
    <xf numFmtId="0" fontId="0" fillId="0" borderId="0" xfId="0" quotePrefix="1" applyAlignment="1">
      <alignment horizontal="left" vertical="top"/>
    </xf>
    <xf numFmtId="0" fontId="4" fillId="5" borderId="0" xfId="0" applyFont="1" applyFill="1"/>
    <xf numFmtId="0" fontId="6" fillId="13" borderId="0" xfId="0" applyFont="1" applyFill="1"/>
    <xf numFmtId="0" fontId="0" fillId="20" borderId="0" xfId="0" applyFill="1"/>
    <xf numFmtId="0" fontId="12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55DC-3B41-46A6-B1C3-8C3BA94472FF}">
  <dimension ref="A1:AC9"/>
  <sheetViews>
    <sheetView topLeftCell="C1" zoomScale="85" zoomScaleNormal="85" workbookViewId="0">
      <pane xSplit="1" topLeftCell="D1" activePane="topRight" state="frozen"/>
      <selection activeCell="I4" sqref="I4"/>
      <selection pane="topRight" activeCell="I4" sqref="I4"/>
    </sheetView>
  </sheetViews>
  <sheetFormatPr defaultRowHeight="14.25" x14ac:dyDescent="0.15"/>
  <cols>
    <col min="1" max="1" width="13.61328125" bestFit="1" customWidth="1"/>
    <col min="2" max="2" width="16.234375" bestFit="1" customWidth="1"/>
    <col min="3" max="3" width="5.6171875" bestFit="1" customWidth="1"/>
    <col min="4" max="4" width="16.984375" bestFit="1" customWidth="1"/>
    <col min="5" max="5" width="8.6171875" bestFit="1" customWidth="1"/>
    <col min="6" max="6" width="16.984375" bestFit="1" customWidth="1"/>
    <col min="7" max="7" width="13.48828125" bestFit="1" customWidth="1"/>
    <col min="8" max="8" width="7.6171875" bestFit="1" customWidth="1"/>
    <col min="9" max="9" width="13.48828125" bestFit="1" customWidth="1"/>
    <col min="10" max="10" width="13.86328125" bestFit="1" customWidth="1"/>
    <col min="11" max="11" width="21.35546875" bestFit="1" customWidth="1"/>
    <col min="12" max="12" width="13.86328125" bestFit="1" customWidth="1"/>
    <col min="13" max="13" width="16.109375" bestFit="1" customWidth="1"/>
    <col min="14" max="14" width="6.1171875" bestFit="1" customWidth="1"/>
    <col min="15" max="15" width="7.4921875" bestFit="1" customWidth="1"/>
    <col min="16" max="16" width="5.1171875" bestFit="1" customWidth="1"/>
    <col min="17" max="17" width="7.3671875" bestFit="1" customWidth="1"/>
    <col min="18" max="18" width="37.21875" bestFit="1" customWidth="1"/>
    <col min="19" max="22" width="9.86328125" bestFit="1" customWidth="1"/>
    <col min="23" max="23" width="9.4921875" bestFit="1" customWidth="1"/>
    <col min="24" max="24" width="13.98828125" bestFit="1" customWidth="1"/>
    <col min="25" max="25" width="9.2421875" bestFit="1" customWidth="1"/>
    <col min="26" max="26" width="8.6171875" bestFit="1" customWidth="1"/>
    <col min="27" max="27" width="14.23828125" bestFit="1" customWidth="1"/>
  </cols>
  <sheetData>
    <row r="1" spans="1:29" x14ac:dyDescent="0.15">
      <c r="A1" t="s">
        <v>0</v>
      </c>
      <c r="B1" t="s">
        <v>1</v>
      </c>
      <c r="C1" s="2" t="s">
        <v>40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15">
      <c r="A2" t="s">
        <v>26</v>
      </c>
      <c r="C2">
        <v>1</v>
      </c>
      <c r="D2" t="s">
        <v>26</v>
      </c>
      <c r="F2" t="s">
        <v>27</v>
      </c>
      <c r="G2">
        <v>2021</v>
      </c>
      <c r="H2">
        <v>1</v>
      </c>
      <c r="I2" t="s">
        <v>28</v>
      </c>
      <c r="J2" s="1">
        <v>123</v>
      </c>
      <c r="K2">
        <v>123</v>
      </c>
      <c r="L2" s="1">
        <v>44414.390844907408</v>
      </c>
      <c r="M2" t="s">
        <v>29</v>
      </c>
      <c r="N2" t="s">
        <v>26</v>
      </c>
      <c r="O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>
        <v>22</v>
      </c>
      <c r="AA2" t="s">
        <v>33</v>
      </c>
      <c r="AB2">
        <v>4</v>
      </c>
      <c r="AC2">
        <v>4</v>
      </c>
    </row>
    <row r="3" spans="1:29" x14ac:dyDescent="0.15">
      <c r="A3" t="s">
        <v>26</v>
      </c>
      <c r="C3">
        <v>2</v>
      </c>
      <c r="D3" t="s">
        <v>26</v>
      </c>
      <c r="F3" t="s">
        <v>27</v>
      </c>
      <c r="G3">
        <v>2021</v>
      </c>
      <c r="H3">
        <v>1</v>
      </c>
      <c r="I3" t="s">
        <v>28</v>
      </c>
      <c r="J3" s="1">
        <v>123</v>
      </c>
      <c r="K3">
        <v>123</v>
      </c>
      <c r="L3" s="1">
        <v>44414.390844907408</v>
      </c>
      <c r="M3" t="s">
        <v>29</v>
      </c>
      <c r="N3" t="s">
        <v>26</v>
      </c>
      <c r="O3" t="s">
        <v>30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>
        <v>23</v>
      </c>
      <c r="AA3" t="s">
        <v>34</v>
      </c>
      <c r="AB3">
        <v>3</v>
      </c>
      <c r="AC3">
        <v>3</v>
      </c>
    </row>
    <row r="4" spans="1:29" x14ac:dyDescent="0.15">
      <c r="A4" t="s">
        <v>26</v>
      </c>
      <c r="C4">
        <v>3</v>
      </c>
      <c r="D4" t="s">
        <v>26</v>
      </c>
      <c r="F4" t="s">
        <v>27</v>
      </c>
      <c r="G4">
        <v>2021</v>
      </c>
      <c r="H4">
        <v>1</v>
      </c>
      <c r="I4" t="s">
        <v>28</v>
      </c>
      <c r="J4" s="1">
        <v>123</v>
      </c>
      <c r="K4">
        <v>123</v>
      </c>
      <c r="L4" s="1">
        <v>44414.390844907408</v>
      </c>
      <c r="M4" t="s">
        <v>29</v>
      </c>
      <c r="N4" t="s">
        <v>26</v>
      </c>
      <c r="O4" t="s">
        <v>30</v>
      </c>
      <c r="P4" t="s">
        <v>31</v>
      </c>
      <c r="Q4" t="s">
        <v>31</v>
      </c>
      <c r="R4" t="s">
        <v>31</v>
      </c>
      <c r="S4" t="s">
        <v>31</v>
      </c>
      <c r="T4" t="s">
        <v>32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>
        <v>24</v>
      </c>
      <c r="AA4" t="s">
        <v>35</v>
      </c>
      <c r="AB4">
        <v>3</v>
      </c>
      <c r="AC4">
        <v>3</v>
      </c>
    </row>
    <row r="5" spans="1:29" x14ac:dyDescent="0.15">
      <c r="A5" t="s">
        <v>26</v>
      </c>
      <c r="C5">
        <v>4</v>
      </c>
      <c r="D5" t="s">
        <v>26</v>
      </c>
      <c r="F5" t="s">
        <v>27</v>
      </c>
      <c r="G5">
        <v>2021</v>
      </c>
      <c r="H5">
        <v>1</v>
      </c>
      <c r="I5" t="s">
        <v>28</v>
      </c>
      <c r="J5" s="1">
        <v>123</v>
      </c>
      <c r="K5">
        <v>123</v>
      </c>
      <c r="L5" s="1">
        <v>44414.390844907408</v>
      </c>
      <c r="M5" t="s">
        <v>29</v>
      </c>
      <c r="N5" t="s">
        <v>26</v>
      </c>
      <c r="O5" t="s">
        <v>30</v>
      </c>
      <c r="P5" t="s">
        <v>31</v>
      </c>
      <c r="Q5" t="s">
        <v>31</v>
      </c>
      <c r="R5" t="s">
        <v>31</v>
      </c>
      <c r="S5" t="s">
        <v>31</v>
      </c>
      <c r="T5" t="s">
        <v>32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>
        <v>25</v>
      </c>
      <c r="AA5" t="s">
        <v>36</v>
      </c>
      <c r="AB5">
        <v>4</v>
      </c>
      <c r="AC5">
        <v>4</v>
      </c>
    </row>
    <row r="6" spans="1:29" x14ac:dyDescent="0.15">
      <c r="A6" t="s">
        <v>26</v>
      </c>
      <c r="C6">
        <v>5</v>
      </c>
      <c r="D6" t="s">
        <v>26</v>
      </c>
      <c r="F6" t="s">
        <v>27</v>
      </c>
      <c r="G6">
        <v>2021</v>
      </c>
      <c r="H6">
        <v>1</v>
      </c>
      <c r="I6" t="s">
        <v>28</v>
      </c>
      <c r="J6" s="1">
        <v>123</v>
      </c>
      <c r="K6">
        <v>123</v>
      </c>
      <c r="L6" s="1">
        <v>44414.390844907408</v>
      </c>
      <c r="M6" t="s">
        <v>29</v>
      </c>
      <c r="N6" t="s">
        <v>26</v>
      </c>
      <c r="O6" t="s">
        <v>30</v>
      </c>
      <c r="P6" t="s">
        <v>31</v>
      </c>
      <c r="Q6" t="s">
        <v>31</v>
      </c>
      <c r="R6" t="s">
        <v>31</v>
      </c>
      <c r="S6" t="s">
        <v>31</v>
      </c>
      <c r="T6" t="s">
        <v>32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>
        <v>26</v>
      </c>
      <c r="AA6" t="s">
        <v>37</v>
      </c>
      <c r="AB6">
        <v>3</v>
      </c>
      <c r="AC6">
        <v>3</v>
      </c>
    </row>
    <row r="7" spans="1:29" x14ac:dyDescent="0.15">
      <c r="A7" t="s">
        <v>26</v>
      </c>
      <c r="C7">
        <v>6</v>
      </c>
      <c r="D7" t="s">
        <v>26</v>
      </c>
      <c r="F7" t="s">
        <v>27</v>
      </c>
      <c r="G7">
        <v>2021</v>
      </c>
      <c r="H7">
        <v>1</v>
      </c>
      <c r="I7" t="s">
        <v>28</v>
      </c>
      <c r="J7" s="1">
        <v>123</v>
      </c>
      <c r="K7">
        <v>123</v>
      </c>
      <c r="L7" s="1">
        <v>44414.390844907408</v>
      </c>
      <c r="M7" t="s">
        <v>29</v>
      </c>
      <c r="N7" t="s">
        <v>26</v>
      </c>
      <c r="O7" t="s">
        <v>30</v>
      </c>
      <c r="P7" t="s">
        <v>31</v>
      </c>
      <c r="Q7" t="s">
        <v>31</v>
      </c>
      <c r="R7" t="s">
        <v>31</v>
      </c>
      <c r="S7" t="s">
        <v>31</v>
      </c>
      <c r="T7" t="s">
        <v>32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>
        <v>30</v>
      </c>
      <c r="AA7" t="s">
        <v>38</v>
      </c>
      <c r="AB7">
        <v>4</v>
      </c>
      <c r="AC7">
        <v>4</v>
      </c>
    </row>
    <row r="8" spans="1:29" x14ac:dyDescent="0.15">
      <c r="A8" t="s">
        <v>26</v>
      </c>
      <c r="C8">
        <v>7</v>
      </c>
      <c r="D8" t="s">
        <v>26</v>
      </c>
      <c r="F8" t="s">
        <v>27</v>
      </c>
      <c r="G8">
        <v>2021</v>
      </c>
      <c r="H8">
        <v>1</v>
      </c>
      <c r="I8" t="s">
        <v>28</v>
      </c>
      <c r="J8" s="1">
        <v>123</v>
      </c>
      <c r="K8">
        <v>123</v>
      </c>
      <c r="L8" s="1">
        <v>44414.390844907408</v>
      </c>
      <c r="M8" t="s">
        <v>29</v>
      </c>
      <c r="N8" t="s">
        <v>26</v>
      </c>
      <c r="O8" t="s">
        <v>30</v>
      </c>
      <c r="P8" t="s">
        <v>31</v>
      </c>
      <c r="Q8" t="s">
        <v>31</v>
      </c>
      <c r="R8" t="s">
        <v>31</v>
      </c>
      <c r="S8" t="s">
        <v>31</v>
      </c>
      <c r="T8" t="s">
        <v>32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>
        <v>31</v>
      </c>
      <c r="AA8" t="s">
        <v>39</v>
      </c>
      <c r="AB8">
        <v>4</v>
      </c>
      <c r="AC8">
        <v>4</v>
      </c>
    </row>
    <row r="9" spans="1:29" x14ac:dyDescent="0.15">
      <c r="A9" t="s">
        <v>26</v>
      </c>
      <c r="J9" s="1"/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D2A1-0F54-498A-8639-1789F6C3859A}">
  <dimension ref="A1:AA35"/>
  <sheetViews>
    <sheetView zoomScale="55" zoomScaleNormal="55" workbookViewId="0">
      <pane xSplit="1" topLeftCell="B1" activePane="topRight" state="frozen"/>
      <selection pane="topRight" activeCell="A17" sqref="A17:A35"/>
    </sheetView>
  </sheetViews>
  <sheetFormatPr defaultRowHeight="14.25" x14ac:dyDescent="0.15"/>
  <cols>
    <col min="1" max="1" width="5.9921875" bestFit="1" customWidth="1"/>
    <col min="2" max="2" width="13.86328125" bestFit="1" customWidth="1"/>
    <col min="3" max="3" width="16.859375" bestFit="1" customWidth="1"/>
    <col min="4" max="4" width="17.109375" bestFit="1" customWidth="1"/>
    <col min="5" max="5" width="8.9921875" bestFit="1" customWidth="1"/>
    <col min="6" max="6" width="10.11328125" bestFit="1" customWidth="1"/>
    <col min="7" max="7" width="13.48828125" bestFit="1" customWidth="1"/>
    <col min="8" max="8" width="7.6171875" bestFit="1" customWidth="1"/>
    <col min="9" max="9" width="4.37109375" bestFit="1" customWidth="1"/>
    <col min="10" max="10" width="13.98828125" bestFit="1" customWidth="1"/>
    <col min="11" max="11" width="21.73046875" bestFit="1" customWidth="1"/>
    <col min="12" max="12" width="6.2421875" bestFit="1" customWidth="1"/>
    <col min="13" max="13" width="17.109375" bestFit="1" customWidth="1"/>
    <col min="14" max="14" width="6.2421875" bestFit="1" customWidth="1"/>
    <col min="15" max="15" width="7.9921875" bestFit="1" customWidth="1"/>
    <col min="16" max="16" width="5.4921875" bestFit="1" customWidth="1"/>
    <col min="17" max="17" width="7.6171875" bestFit="1" customWidth="1"/>
    <col min="18" max="18" width="37.21875" bestFit="1" customWidth="1"/>
    <col min="19" max="22" width="9.73828125" bestFit="1" customWidth="1"/>
    <col min="23" max="23" width="9.98828125" bestFit="1" customWidth="1"/>
    <col min="24" max="24" width="14.23828125" bestFit="1" customWidth="1"/>
    <col min="25" max="25" width="106.28515625" bestFit="1" customWidth="1"/>
    <col min="26" max="26" width="8.7421875" bestFit="1" customWidth="1"/>
    <col min="27" max="27" width="14.11328125" bestFit="1" customWidth="1"/>
  </cols>
  <sheetData>
    <row r="1" spans="1:27" x14ac:dyDescent="0.15">
      <c r="A1" s="2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15">
      <c r="A2">
        <v>1</v>
      </c>
      <c r="B2" t="s">
        <v>26</v>
      </c>
      <c r="D2" t="s">
        <v>27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>
        <v>4</v>
      </c>
      <c r="AA2">
        <v>4</v>
      </c>
    </row>
    <row r="3" spans="1:27" x14ac:dyDescent="0.15">
      <c r="A3">
        <v>2</v>
      </c>
      <c r="B3" t="s">
        <v>26</v>
      </c>
      <c r="D3" t="s">
        <v>27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N3" t="s">
        <v>31</v>
      </c>
      <c r="O3" t="s">
        <v>31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</row>
    <row r="4" spans="1:27" x14ac:dyDescent="0.15">
      <c r="A4">
        <v>3</v>
      </c>
      <c r="B4" t="s">
        <v>26</v>
      </c>
      <c r="D4" t="s">
        <v>27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</row>
    <row r="5" spans="1:27" x14ac:dyDescent="0.15">
      <c r="A5">
        <v>4</v>
      </c>
      <c r="B5" t="s">
        <v>26</v>
      </c>
      <c r="D5" t="s">
        <v>27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</row>
    <row r="6" spans="1:27" x14ac:dyDescent="0.15">
      <c r="A6">
        <v>5</v>
      </c>
      <c r="B6" t="s">
        <v>26</v>
      </c>
      <c r="D6" t="s">
        <v>27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</row>
    <row r="7" spans="1:27" x14ac:dyDescent="0.15">
      <c r="A7">
        <v>6</v>
      </c>
      <c r="B7" t="s">
        <v>26</v>
      </c>
      <c r="D7" t="s">
        <v>27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</row>
    <row r="8" spans="1:27" x14ac:dyDescent="0.15">
      <c r="A8">
        <v>7</v>
      </c>
      <c r="B8" t="s">
        <v>26</v>
      </c>
      <c r="D8" t="s">
        <v>27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</row>
    <row r="16" spans="1:27" x14ac:dyDescent="0.15">
      <c r="A16" s="2" t="s">
        <v>40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24</v>
      </c>
      <c r="AA16" t="s">
        <v>25</v>
      </c>
    </row>
    <row r="17" spans="1:27" x14ac:dyDescent="0.15">
      <c r="A17">
        <v>1</v>
      </c>
      <c r="B17" t="s">
        <v>350</v>
      </c>
      <c r="D17" t="s">
        <v>375</v>
      </c>
      <c r="E17">
        <v>2023</v>
      </c>
      <c r="F17">
        <v>1</v>
      </c>
      <c r="G17" t="s">
        <v>351</v>
      </c>
      <c r="H17">
        <v>3282</v>
      </c>
      <c r="I17">
        <v>3385</v>
      </c>
      <c r="J17" s="1">
        <v>45116.823564814818</v>
      </c>
      <c r="K17" t="s">
        <v>376</v>
      </c>
      <c r="L17" t="s">
        <v>352</v>
      </c>
      <c r="N17" t="s">
        <v>31</v>
      </c>
      <c r="O17" t="s">
        <v>353</v>
      </c>
      <c r="P17" t="s">
        <v>377</v>
      </c>
      <c r="Q17" t="s">
        <v>352</v>
      </c>
      <c r="R17" t="s">
        <v>354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23</v>
      </c>
      <c r="Y17" t="s">
        <v>359</v>
      </c>
      <c r="Z17">
        <v>3</v>
      </c>
      <c r="AA17">
        <v>3</v>
      </c>
    </row>
    <row r="18" spans="1:27" x14ac:dyDescent="0.15">
      <c r="A18">
        <v>2</v>
      </c>
      <c r="B18" t="s">
        <v>350</v>
      </c>
      <c r="D18" t="s">
        <v>375</v>
      </c>
      <c r="E18">
        <v>2023</v>
      </c>
      <c r="F18">
        <v>1</v>
      </c>
      <c r="G18" t="s">
        <v>351</v>
      </c>
      <c r="H18">
        <v>3282</v>
      </c>
      <c r="I18">
        <v>3385</v>
      </c>
      <c r="J18" s="1">
        <v>45116.823564814818</v>
      </c>
      <c r="K18" t="s">
        <v>376</v>
      </c>
      <c r="L18" t="s">
        <v>352</v>
      </c>
      <c r="N18" t="s">
        <v>31</v>
      </c>
      <c r="O18" t="s">
        <v>353</v>
      </c>
      <c r="P18" t="s">
        <v>377</v>
      </c>
      <c r="Q18" t="s">
        <v>352</v>
      </c>
      <c r="R18" t="s">
        <v>354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24</v>
      </c>
      <c r="Y18" t="s">
        <v>378</v>
      </c>
      <c r="Z18">
        <v>3</v>
      </c>
      <c r="AA18">
        <v>3</v>
      </c>
    </row>
    <row r="19" spans="1:27" x14ac:dyDescent="0.15">
      <c r="A19">
        <v>3</v>
      </c>
      <c r="B19" t="s">
        <v>350</v>
      </c>
      <c r="D19" t="s">
        <v>375</v>
      </c>
      <c r="E19">
        <v>2023</v>
      </c>
      <c r="F19">
        <v>1</v>
      </c>
      <c r="G19" t="s">
        <v>351</v>
      </c>
      <c r="H19">
        <v>3282</v>
      </c>
      <c r="I19">
        <v>3385</v>
      </c>
      <c r="J19" s="1">
        <v>45116.823564814818</v>
      </c>
      <c r="K19" t="s">
        <v>376</v>
      </c>
      <c r="L19" t="s">
        <v>352</v>
      </c>
      <c r="N19" t="s">
        <v>31</v>
      </c>
      <c r="O19" t="s">
        <v>353</v>
      </c>
      <c r="P19" t="s">
        <v>377</v>
      </c>
      <c r="Q19" t="s">
        <v>352</v>
      </c>
      <c r="R19" t="s">
        <v>354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25</v>
      </c>
      <c r="Y19" t="s">
        <v>379</v>
      </c>
      <c r="Z19">
        <v>4</v>
      </c>
      <c r="AA19">
        <v>4</v>
      </c>
    </row>
    <row r="20" spans="1:27" x14ac:dyDescent="0.15">
      <c r="A20">
        <v>4</v>
      </c>
      <c r="B20" t="s">
        <v>350</v>
      </c>
      <c r="D20" t="s">
        <v>375</v>
      </c>
      <c r="E20">
        <v>2023</v>
      </c>
      <c r="F20">
        <v>1</v>
      </c>
      <c r="G20" t="s">
        <v>351</v>
      </c>
      <c r="H20">
        <v>3282</v>
      </c>
      <c r="I20">
        <v>3385</v>
      </c>
      <c r="J20" s="1">
        <v>45116.823564814818</v>
      </c>
      <c r="K20" t="s">
        <v>376</v>
      </c>
      <c r="L20" t="s">
        <v>352</v>
      </c>
      <c r="N20" t="s">
        <v>31</v>
      </c>
      <c r="O20" t="s">
        <v>353</v>
      </c>
      <c r="P20" t="s">
        <v>377</v>
      </c>
      <c r="Q20" t="s">
        <v>352</v>
      </c>
      <c r="R20" t="s">
        <v>354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47</v>
      </c>
      <c r="Y20" t="s">
        <v>355</v>
      </c>
      <c r="Z20" t="s">
        <v>31</v>
      </c>
      <c r="AA20" t="s">
        <v>31</v>
      </c>
    </row>
    <row r="21" spans="1:27" x14ac:dyDescent="0.15">
      <c r="A21">
        <v>5</v>
      </c>
      <c r="B21" t="s">
        <v>350</v>
      </c>
      <c r="D21" t="s">
        <v>375</v>
      </c>
      <c r="E21">
        <v>2023</v>
      </c>
      <c r="F21">
        <v>1</v>
      </c>
      <c r="G21" t="s">
        <v>351</v>
      </c>
      <c r="H21">
        <v>3282</v>
      </c>
      <c r="I21">
        <v>3385</v>
      </c>
      <c r="J21" s="1">
        <v>45116.823564814818</v>
      </c>
      <c r="K21" t="s">
        <v>376</v>
      </c>
      <c r="L21" t="s">
        <v>352</v>
      </c>
      <c r="N21" t="s">
        <v>31</v>
      </c>
      <c r="O21" t="s">
        <v>353</v>
      </c>
      <c r="P21" t="s">
        <v>377</v>
      </c>
      <c r="Q21" t="s">
        <v>352</v>
      </c>
      <c r="R21" t="s">
        <v>354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27</v>
      </c>
      <c r="Y21" t="s">
        <v>380</v>
      </c>
      <c r="Z21" t="s">
        <v>31</v>
      </c>
      <c r="AA21" t="s">
        <v>31</v>
      </c>
    </row>
    <row r="22" spans="1:27" x14ac:dyDescent="0.15">
      <c r="A22">
        <v>6</v>
      </c>
      <c r="B22" t="s">
        <v>350</v>
      </c>
      <c r="D22" t="s">
        <v>375</v>
      </c>
      <c r="E22">
        <v>2023</v>
      </c>
      <c r="F22">
        <v>1</v>
      </c>
      <c r="G22" t="s">
        <v>351</v>
      </c>
      <c r="H22">
        <v>3282</v>
      </c>
      <c r="I22">
        <v>3385</v>
      </c>
      <c r="J22" s="1">
        <v>45116.823564814818</v>
      </c>
      <c r="K22" t="s">
        <v>376</v>
      </c>
      <c r="L22" t="s">
        <v>352</v>
      </c>
      <c r="N22" t="s">
        <v>31</v>
      </c>
      <c r="O22" t="s">
        <v>353</v>
      </c>
      <c r="P22" t="s">
        <v>377</v>
      </c>
      <c r="Q22" t="s">
        <v>352</v>
      </c>
      <c r="R22" t="s">
        <v>354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28</v>
      </c>
      <c r="Y22" t="s">
        <v>381</v>
      </c>
      <c r="Z22" t="s">
        <v>31</v>
      </c>
      <c r="AA22" t="s">
        <v>31</v>
      </c>
    </row>
    <row r="23" spans="1:27" x14ac:dyDescent="0.15">
      <c r="A23">
        <v>7</v>
      </c>
      <c r="B23" t="s">
        <v>350</v>
      </c>
      <c r="D23" t="s">
        <v>375</v>
      </c>
      <c r="E23">
        <v>2023</v>
      </c>
      <c r="F23">
        <v>1</v>
      </c>
      <c r="G23" t="s">
        <v>351</v>
      </c>
      <c r="H23">
        <v>3282</v>
      </c>
      <c r="I23">
        <v>3385</v>
      </c>
      <c r="J23" s="1">
        <v>45116.823564814818</v>
      </c>
      <c r="K23" t="s">
        <v>376</v>
      </c>
      <c r="L23" t="s">
        <v>352</v>
      </c>
      <c r="N23" t="s">
        <v>31</v>
      </c>
      <c r="O23" t="s">
        <v>353</v>
      </c>
      <c r="P23" t="s">
        <v>377</v>
      </c>
      <c r="Q23" t="s">
        <v>352</v>
      </c>
      <c r="R23" t="s">
        <v>354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29</v>
      </c>
      <c r="Y23" t="s">
        <v>382</v>
      </c>
      <c r="Z23" t="s">
        <v>31</v>
      </c>
      <c r="AA23" t="s">
        <v>31</v>
      </c>
    </row>
    <row r="24" spans="1:27" x14ac:dyDescent="0.15">
      <c r="A24">
        <v>8</v>
      </c>
      <c r="B24" t="s">
        <v>350</v>
      </c>
      <c r="D24" t="s">
        <v>375</v>
      </c>
      <c r="E24">
        <v>2023</v>
      </c>
      <c r="F24">
        <v>1</v>
      </c>
      <c r="G24" t="s">
        <v>351</v>
      </c>
      <c r="H24">
        <v>3282</v>
      </c>
      <c r="I24">
        <v>3385</v>
      </c>
      <c r="J24" s="1">
        <v>45116.823564814818</v>
      </c>
      <c r="K24" t="s">
        <v>376</v>
      </c>
      <c r="L24" t="s">
        <v>352</v>
      </c>
      <c r="N24" t="s">
        <v>31</v>
      </c>
      <c r="O24" t="s">
        <v>353</v>
      </c>
      <c r="P24" t="s">
        <v>377</v>
      </c>
      <c r="Q24" t="s">
        <v>352</v>
      </c>
      <c r="R24" t="s">
        <v>354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30</v>
      </c>
      <c r="Y24" t="s">
        <v>383</v>
      </c>
      <c r="Z24" t="s">
        <v>31</v>
      </c>
      <c r="AA24" t="s">
        <v>31</v>
      </c>
    </row>
    <row r="25" spans="1:27" x14ac:dyDescent="0.15">
      <c r="A25">
        <v>9</v>
      </c>
      <c r="B25" t="s">
        <v>350</v>
      </c>
      <c r="D25" t="s">
        <v>375</v>
      </c>
      <c r="E25">
        <v>2023</v>
      </c>
      <c r="F25">
        <v>1</v>
      </c>
      <c r="G25" t="s">
        <v>351</v>
      </c>
      <c r="H25">
        <v>3282</v>
      </c>
      <c r="I25">
        <v>3385</v>
      </c>
      <c r="J25" s="1">
        <v>45116.823564814818</v>
      </c>
      <c r="K25" t="s">
        <v>376</v>
      </c>
      <c r="L25" t="s">
        <v>352</v>
      </c>
      <c r="N25" t="s">
        <v>31</v>
      </c>
      <c r="O25" t="s">
        <v>353</v>
      </c>
      <c r="P25" t="s">
        <v>377</v>
      </c>
      <c r="Q25" t="s">
        <v>352</v>
      </c>
      <c r="R25" t="s">
        <v>354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31</v>
      </c>
      <c r="Y25" t="s">
        <v>384</v>
      </c>
      <c r="Z25" t="s">
        <v>31</v>
      </c>
      <c r="AA25" t="s">
        <v>31</v>
      </c>
    </row>
    <row r="26" spans="1:27" x14ac:dyDescent="0.15">
      <c r="A26">
        <v>10</v>
      </c>
      <c r="B26" t="s">
        <v>350</v>
      </c>
      <c r="D26" t="s">
        <v>375</v>
      </c>
      <c r="E26">
        <v>2023</v>
      </c>
      <c r="F26">
        <v>1</v>
      </c>
      <c r="G26" t="s">
        <v>351</v>
      </c>
      <c r="H26">
        <v>3282</v>
      </c>
      <c r="I26">
        <v>3385</v>
      </c>
      <c r="J26" s="1">
        <v>45116.823564814818</v>
      </c>
      <c r="K26" t="s">
        <v>376</v>
      </c>
      <c r="L26" t="s">
        <v>352</v>
      </c>
      <c r="N26" t="s">
        <v>31</v>
      </c>
      <c r="O26" t="s">
        <v>353</v>
      </c>
      <c r="P26" t="s">
        <v>377</v>
      </c>
      <c r="Q26" t="s">
        <v>352</v>
      </c>
      <c r="R26" t="s">
        <v>354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32</v>
      </c>
      <c r="Y26" t="s">
        <v>385</v>
      </c>
      <c r="Z26" t="s">
        <v>31</v>
      </c>
      <c r="AA26" t="s">
        <v>31</v>
      </c>
    </row>
    <row r="27" spans="1:27" x14ac:dyDescent="0.15">
      <c r="A27">
        <v>11</v>
      </c>
      <c r="B27" t="s">
        <v>350</v>
      </c>
      <c r="D27" t="s">
        <v>375</v>
      </c>
      <c r="E27">
        <v>2023</v>
      </c>
      <c r="F27">
        <v>1</v>
      </c>
      <c r="G27" t="s">
        <v>351</v>
      </c>
      <c r="H27">
        <v>3282</v>
      </c>
      <c r="I27">
        <v>3385</v>
      </c>
      <c r="J27" s="1">
        <v>45116.823564814818</v>
      </c>
      <c r="K27" t="s">
        <v>376</v>
      </c>
      <c r="L27" t="s">
        <v>352</v>
      </c>
      <c r="N27" t="s">
        <v>31</v>
      </c>
      <c r="O27" t="s">
        <v>353</v>
      </c>
      <c r="P27" t="s">
        <v>377</v>
      </c>
      <c r="Q27" t="s">
        <v>352</v>
      </c>
      <c r="R27" t="s">
        <v>354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33</v>
      </c>
      <c r="Y27" t="s">
        <v>357</v>
      </c>
      <c r="Z27" t="s">
        <v>31</v>
      </c>
      <c r="AA27" t="s">
        <v>31</v>
      </c>
    </row>
    <row r="28" spans="1:27" x14ac:dyDescent="0.15">
      <c r="A28">
        <v>12</v>
      </c>
      <c r="B28" t="s">
        <v>350</v>
      </c>
      <c r="D28" t="s">
        <v>375</v>
      </c>
      <c r="E28">
        <v>2023</v>
      </c>
      <c r="F28">
        <v>1</v>
      </c>
      <c r="G28" t="s">
        <v>351</v>
      </c>
      <c r="H28">
        <v>3282</v>
      </c>
      <c r="I28">
        <v>3385</v>
      </c>
      <c r="J28" s="1">
        <v>45116.823564814818</v>
      </c>
      <c r="K28" t="s">
        <v>376</v>
      </c>
      <c r="L28" t="s">
        <v>352</v>
      </c>
      <c r="N28" t="s">
        <v>31</v>
      </c>
      <c r="O28" t="s">
        <v>353</v>
      </c>
      <c r="P28" t="s">
        <v>377</v>
      </c>
      <c r="Q28" t="s">
        <v>352</v>
      </c>
      <c r="R28" t="s">
        <v>354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34</v>
      </c>
      <c r="Y28" t="s">
        <v>358</v>
      </c>
      <c r="Z28">
        <v>3</v>
      </c>
      <c r="AA28">
        <v>3</v>
      </c>
    </row>
    <row r="29" spans="1:27" x14ac:dyDescent="0.15">
      <c r="A29">
        <v>13</v>
      </c>
      <c r="B29" t="s">
        <v>350</v>
      </c>
      <c r="D29" t="s">
        <v>375</v>
      </c>
      <c r="E29">
        <v>2023</v>
      </c>
      <c r="F29">
        <v>1</v>
      </c>
      <c r="G29" t="s">
        <v>351</v>
      </c>
      <c r="H29">
        <v>3282</v>
      </c>
      <c r="I29">
        <v>3385</v>
      </c>
      <c r="J29" s="1">
        <v>45116.823564814818</v>
      </c>
      <c r="K29" t="s">
        <v>376</v>
      </c>
      <c r="L29" t="s">
        <v>352</v>
      </c>
      <c r="N29" t="s">
        <v>31</v>
      </c>
      <c r="O29" t="s">
        <v>353</v>
      </c>
      <c r="P29" t="s">
        <v>377</v>
      </c>
      <c r="Q29" t="s">
        <v>352</v>
      </c>
      <c r="R29" t="s">
        <v>354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35</v>
      </c>
      <c r="Y29" t="s">
        <v>356</v>
      </c>
      <c r="Z29">
        <v>3</v>
      </c>
      <c r="AA29">
        <v>3</v>
      </c>
    </row>
    <row r="30" spans="1:27" x14ac:dyDescent="0.15">
      <c r="A30">
        <v>14</v>
      </c>
      <c r="B30" t="s">
        <v>350</v>
      </c>
      <c r="D30" t="s">
        <v>375</v>
      </c>
      <c r="E30">
        <v>2023</v>
      </c>
      <c r="F30">
        <v>1</v>
      </c>
      <c r="G30" t="s">
        <v>351</v>
      </c>
      <c r="H30">
        <v>3282</v>
      </c>
      <c r="I30">
        <v>3385</v>
      </c>
      <c r="J30" s="1">
        <v>45116.823564814818</v>
      </c>
      <c r="K30" t="s">
        <v>376</v>
      </c>
      <c r="L30" t="s">
        <v>352</v>
      </c>
      <c r="N30" t="s">
        <v>31</v>
      </c>
      <c r="O30" t="s">
        <v>353</v>
      </c>
      <c r="P30" t="s">
        <v>377</v>
      </c>
      <c r="Q30" t="s">
        <v>352</v>
      </c>
      <c r="R30" t="s">
        <v>354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36</v>
      </c>
      <c r="Y30" t="s">
        <v>386</v>
      </c>
      <c r="Z30" t="s">
        <v>31</v>
      </c>
      <c r="AA30" t="s">
        <v>31</v>
      </c>
    </row>
    <row r="31" spans="1:27" x14ac:dyDescent="0.15">
      <c r="A31">
        <v>15</v>
      </c>
      <c r="B31" t="s">
        <v>350</v>
      </c>
      <c r="D31" t="s">
        <v>375</v>
      </c>
      <c r="E31">
        <v>2023</v>
      </c>
      <c r="F31">
        <v>1</v>
      </c>
      <c r="G31" t="s">
        <v>351</v>
      </c>
      <c r="H31">
        <v>3282</v>
      </c>
      <c r="I31">
        <v>3385</v>
      </c>
      <c r="J31" s="1">
        <v>45116.823564814818</v>
      </c>
      <c r="K31" t="s">
        <v>376</v>
      </c>
      <c r="L31" t="s">
        <v>352</v>
      </c>
      <c r="N31" t="s">
        <v>31</v>
      </c>
      <c r="O31" t="s">
        <v>353</v>
      </c>
      <c r="P31" t="s">
        <v>377</v>
      </c>
      <c r="Q31" t="s">
        <v>352</v>
      </c>
      <c r="R31" t="s">
        <v>354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37</v>
      </c>
      <c r="Y31" t="s">
        <v>387</v>
      </c>
      <c r="Z31" t="s">
        <v>31</v>
      </c>
      <c r="AA31" t="s">
        <v>31</v>
      </c>
    </row>
    <row r="32" spans="1:27" x14ac:dyDescent="0.15">
      <c r="A32">
        <v>16</v>
      </c>
      <c r="B32" t="s">
        <v>350</v>
      </c>
      <c r="D32" t="s">
        <v>375</v>
      </c>
      <c r="E32">
        <v>2023</v>
      </c>
      <c r="F32">
        <v>1</v>
      </c>
      <c r="G32" t="s">
        <v>351</v>
      </c>
      <c r="H32">
        <v>3282</v>
      </c>
      <c r="I32">
        <v>3385</v>
      </c>
      <c r="J32" s="1">
        <v>45116.823564814818</v>
      </c>
      <c r="K32" t="s">
        <v>376</v>
      </c>
      <c r="L32" t="s">
        <v>352</v>
      </c>
      <c r="N32" t="s">
        <v>31</v>
      </c>
      <c r="O32" t="s">
        <v>353</v>
      </c>
      <c r="P32" t="s">
        <v>377</v>
      </c>
      <c r="Q32" t="s">
        <v>352</v>
      </c>
      <c r="R32" t="s">
        <v>354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>
        <v>38</v>
      </c>
      <c r="Y32" t="s">
        <v>388</v>
      </c>
      <c r="Z32" t="s">
        <v>31</v>
      </c>
      <c r="AA32" t="s">
        <v>31</v>
      </c>
    </row>
    <row r="33" spans="1:27" x14ac:dyDescent="0.15">
      <c r="A33">
        <v>17</v>
      </c>
      <c r="B33" t="s">
        <v>350</v>
      </c>
      <c r="D33" t="s">
        <v>375</v>
      </c>
      <c r="E33">
        <v>2023</v>
      </c>
      <c r="F33">
        <v>1</v>
      </c>
      <c r="G33" t="s">
        <v>351</v>
      </c>
      <c r="H33">
        <v>3282</v>
      </c>
      <c r="I33">
        <v>3385</v>
      </c>
      <c r="J33" s="1">
        <v>45116.823564814818</v>
      </c>
      <c r="K33" t="s">
        <v>376</v>
      </c>
      <c r="L33" t="s">
        <v>352</v>
      </c>
      <c r="N33" t="s">
        <v>31</v>
      </c>
      <c r="O33" t="s">
        <v>353</v>
      </c>
      <c r="P33" t="s">
        <v>377</v>
      </c>
      <c r="Q33" t="s">
        <v>352</v>
      </c>
      <c r="R33" t="s">
        <v>354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>
        <v>39</v>
      </c>
      <c r="Y33" t="s">
        <v>389</v>
      </c>
      <c r="Z33" t="s">
        <v>31</v>
      </c>
      <c r="AA33" t="s">
        <v>31</v>
      </c>
    </row>
    <row r="34" spans="1:27" x14ac:dyDescent="0.15">
      <c r="A34">
        <v>18</v>
      </c>
      <c r="B34" t="s">
        <v>350</v>
      </c>
      <c r="D34" t="s">
        <v>375</v>
      </c>
      <c r="E34">
        <v>2023</v>
      </c>
      <c r="F34">
        <v>1</v>
      </c>
      <c r="G34" t="s">
        <v>351</v>
      </c>
      <c r="H34">
        <v>3282</v>
      </c>
      <c r="I34">
        <v>3385</v>
      </c>
      <c r="J34" s="1">
        <v>45116.823564814818</v>
      </c>
      <c r="K34" t="s">
        <v>376</v>
      </c>
      <c r="L34" t="s">
        <v>352</v>
      </c>
      <c r="N34" t="s">
        <v>31</v>
      </c>
      <c r="O34" t="s">
        <v>353</v>
      </c>
      <c r="P34" t="s">
        <v>377</v>
      </c>
      <c r="Q34" t="s">
        <v>352</v>
      </c>
      <c r="R34" t="s">
        <v>354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>
        <v>40</v>
      </c>
      <c r="Y34" t="s">
        <v>390</v>
      </c>
      <c r="Z34">
        <v>4</v>
      </c>
      <c r="AA34">
        <v>4</v>
      </c>
    </row>
    <row r="35" spans="1:27" x14ac:dyDescent="0.15">
      <c r="A35">
        <v>19</v>
      </c>
      <c r="B35" t="s">
        <v>350</v>
      </c>
      <c r="D35" t="s">
        <v>375</v>
      </c>
      <c r="E35">
        <v>2023</v>
      </c>
      <c r="F35">
        <v>1</v>
      </c>
      <c r="G35" t="s">
        <v>351</v>
      </c>
      <c r="H35">
        <v>3282</v>
      </c>
      <c r="I35">
        <v>3385</v>
      </c>
      <c r="J35" s="1">
        <v>45116.823564814818</v>
      </c>
      <c r="K35" t="s">
        <v>376</v>
      </c>
      <c r="L35" t="s">
        <v>352</v>
      </c>
      <c r="N35" t="s">
        <v>31</v>
      </c>
      <c r="O35" t="s">
        <v>353</v>
      </c>
      <c r="P35" t="s">
        <v>377</v>
      </c>
      <c r="Q35" t="s">
        <v>352</v>
      </c>
      <c r="R35" t="s">
        <v>354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>
        <v>26</v>
      </c>
      <c r="Y35" t="s">
        <v>31</v>
      </c>
      <c r="Z35" t="s">
        <v>31</v>
      </c>
      <c r="AA35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E8B-21E6-4EAA-A4F4-65CD4FF867F4}">
  <dimension ref="A1:AM58"/>
  <sheetViews>
    <sheetView zoomScale="70" zoomScaleNormal="70" workbookViewId="0">
      <pane xSplit="1" topLeftCell="AA1" activePane="topRight" state="frozen"/>
      <selection activeCell="I4" sqref="I4"/>
      <selection pane="topRight" activeCell="I4" sqref="I4"/>
    </sheetView>
  </sheetViews>
  <sheetFormatPr defaultRowHeight="14.25" x14ac:dyDescent="0.15"/>
  <cols>
    <col min="1" max="1" width="5.4921875" bestFit="1" customWidth="1"/>
    <col min="2" max="2" width="17.609375" bestFit="1" customWidth="1"/>
    <col min="3" max="3" width="13.61328125" bestFit="1" customWidth="1"/>
    <col min="4" max="4" width="15.984375" bestFit="1" customWidth="1"/>
    <col min="5" max="5" width="12.61328125" bestFit="1" customWidth="1"/>
    <col min="6" max="6" width="8.9921875" bestFit="1" customWidth="1"/>
    <col min="7" max="7" width="9.86328125" bestFit="1" customWidth="1"/>
    <col min="8" max="8" width="13.23828125" bestFit="1" customWidth="1"/>
    <col min="9" max="9" width="7.8671875" bestFit="1" customWidth="1"/>
    <col min="10" max="10" width="4.24609375" bestFit="1" customWidth="1"/>
    <col min="11" max="11" width="13.98828125" bestFit="1" customWidth="1"/>
    <col min="12" max="12" width="21.35546875" bestFit="1" customWidth="1"/>
    <col min="13" max="13" width="5.9921875" bestFit="1" customWidth="1"/>
    <col min="14" max="14" width="16.609375" bestFit="1" customWidth="1"/>
    <col min="15" max="15" width="5.9921875" bestFit="1" customWidth="1"/>
    <col min="16" max="16" width="7.3671875" bestFit="1" customWidth="1"/>
    <col min="17" max="17" width="5.1171875" bestFit="1" customWidth="1"/>
    <col min="18" max="18" width="6.9921875" bestFit="1" customWidth="1"/>
    <col min="19" max="19" width="37.71875" bestFit="1" customWidth="1"/>
    <col min="20" max="23" width="9.86328125" bestFit="1" customWidth="1"/>
    <col min="24" max="24" width="9.61328125" bestFit="1" customWidth="1"/>
    <col min="25" max="25" width="13.73828125" bestFit="1" customWidth="1"/>
    <col min="26" max="26" width="107.53515625" bestFit="1" customWidth="1"/>
    <col min="27" max="27" width="8.7421875" bestFit="1" customWidth="1"/>
    <col min="28" max="28" width="14.23828125" bestFit="1" customWidth="1"/>
    <col min="29" max="29" width="15.359375" bestFit="1" customWidth="1"/>
    <col min="30" max="30" width="20.85546875" bestFit="1" customWidth="1"/>
    <col min="32" max="32" width="15.359375" bestFit="1" customWidth="1"/>
    <col min="34" max="34" width="20.98046875" bestFit="1" customWidth="1"/>
  </cols>
  <sheetData>
    <row r="1" spans="1:39" x14ac:dyDescent="0.15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4" t="s">
        <v>42</v>
      </c>
      <c r="AD1" s="5" t="s">
        <v>43</v>
      </c>
      <c r="AH1" s="4" t="s">
        <v>42</v>
      </c>
      <c r="AI1" t="s">
        <v>159</v>
      </c>
    </row>
    <row r="2" spans="1:39" x14ac:dyDescent="0.15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25</v>
      </c>
      <c r="Z2" t="s">
        <v>36</v>
      </c>
      <c r="AA2">
        <v>4</v>
      </c>
      <c r="AB2">
        <v>4</v>
      </c>
      <c r="AC2">
        <v>4</v>
      </c>
      <c r="AD2">
        <v>4</v>
      </c>
      <c r="AK2" t="s">
        <v>160</v>
      </c>
    </row>
    <row r="3" spans="1:39" x14ac:dyDescent="0.15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22</v>
      </c>
      <c r="Z3" t="s">
        <v>33</v>
      </c>
      <c r="AA3">
        <v>4</v>
      </c>
      <c r="AB3">
        <v>4</v>
      </c>
      <c r="AC3">
        <v>4</v>
      </c>
      <c r="AD3">
        <v>4</v>
      </c>
      <c r="AK3" t="s">
        <v>161</v>
      </c>
    </row>
    <row r="4" spans="1:39" x14ac:dyDescent="0.15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24</v>
      </c>
      <c r="Z4" t="s">
        <v>35</v>
      </c>
      <c r="AA4">
        <v>3</v>
      </c>
      <c r="AB4">
        <v>3</v>
      </c>
      <c r="AC4">
        <v>3</v>
      </c>
      <c r="AD4">
        <v>3</v>
      </c>
      <c r="AL4" t="s">
        <v>162</v>
      </c>
    </row>
    <row r="5" spans="1:39" x14ac:dyDescent="0.15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26</v>
      </c>
      <c r="Z5" t="s">
        <v>37</v>
      </c>
      <c r="AA5">
        <v>3</v>
      </c>
      <c r="AB5">
        <v>3</v>
      </c>
      <c r="AC5">
        <v>3</v>
      </c>
      <c r="AD5">
        <v>3</v>
      </c>
      <c r="AL5" t="s">
        <v>163</v>
      </c>
    </row>
    <row r="6" spans="1:39" x14ac:dyDescent="0.15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23</v>
      </c>
      <c r="Z6" t="s">
        <v>34</v>
      </c>
      <c r="AA6">
        <v>3</v>
      </c>
      <c r="AB6">
        <v>3</v>
      </c>
      <c r="AC6">
        <v>3</v>
      </c>
      <c r="AD6">
        <v>3</v>
      </c>
      <c r="AL6" t="s">
        <v>161</v>
      </c>
    </row>
    <row r="7" spans="1:39" x14ac:dyDescent="0.15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30</v>
      </c>
      <c r="Z7" t="s">
        <v>38</v>
      </c>
      <c r="AA7">
        <v>4</v>
      </c>
      <c r="AB7">
        <v>4</v>
      </c>
      <c r="AC7">
        <v>4</v>
      </c>
      <c r="AD7">
        <v>4</v>
      </c>
      <c r="AM7" t="s">
        <v>159</v>
      </c>
    </row>
    <row r="8" spans="1:39" x14ac:dyDescent="0.15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31</v>
      </c>
      <c r="Z8" t="s">
        <v>39</v>
      </c>
      <c r="AA8">
        <v>4</v>
      </c>
      <c r="AB8">
        <v>4</v>
      </c>
      <c r="AC8">
        <v>4</v>
      </c>
      <c r="AD8">
        <v>4</v>
      </c>
      <c r="AM8" t="s">
        <v>164</v>
      </c>
    </row>
    <row r="9" spans="1:39" x14ac:dyDescent="0.15">
      <c r="AM9" t="s">
        <v>165</v>
      </c>
    </row>
    <row r="10" spans="1:39" x14ac:dyDescent="0.15">
      <c r="AM10" t="s">
        <v>166</v>
      </c>
    </row>
    <row r="11" spans="1:39" x14ac:dyDescent="0.15">
      <c r="AM11" t="s">
        <v>167</v>
      </c>
    </row>
    <row r="12" spans="1:39" x14ac:dyDescent="0.15">
      <c r="AM12" t="s">
        <v>168</v>
      </c>
    </row>
    <row r="13" spans="1:39" x14ac:dyDescent="0.15">
      <c r="AM13" t="s">
        <v>169</v>
      </c>
    </row>
    <row r="14" spans="1:39" x14ac:dyDescent="0.15">
      <c r="AL14" t="s">
        <v>170</v>
      </c>
    </row>
    <row r="15" spans="1:39" x14ac:dyDescent="0.15">
      <c r="AM15" t="s">
        <v>159</v>
      </c>
    </row>
    <row r="16" spans="1:39" x14ac:dyDescent="0.15">
      <c r="AM16" t="s">
        <v>164</v>
      </c>
    </row>
    <row r="17" spans="34:39" x14ac:dyDescent="0.15">
      <c r="AM17" t="s">
        <v>171</v>
      </c>
    </row>
    <row r="18" spans="34:39" x14ac:dyDescent="0.15">
      <c r="AM18" t="s">
        <v>172</v>
      </c>
    </row>
    <row r="19" spans="34:39" x14ac:dyDescent="0.15">
      <c r="AM19" t="s">
        <v>173</v>
      </c>
    </row>
    <row r="20" spans="34:39" x14ac:dyDescent="0.15">
      <c r="AM20" t="s">
        <v>168</v>
      </c>
    </row>
    <row r="21" spans="34:39" x14ac:dyDescent="0.15">
      <c r="AM21" t="s">
        <v>169</v>
      </c>
    </row>
    <row r="22" spans="34:39" x14ac:dyDescent="0.15">
      <c r="AL22" t="s">
        <v>174</v>
      </c>
    </row>
    <row r="23" spans="34:39" x14ac:dyDescent="0.15">
      <c r="AK23" t="s">
        <v>168</v>
      </c>
    </row>
    <row r="24" spans="34:39" x14ac:dyDescent="0.15">
      <c r="AK24" t="s">
        <v>175</v>
      </c>
    </row>
    <row r="25" spans="34:39" x14ac:dyDescent="0.15">
      <c r="AJ25" t="s">
        <v>174</v>
      </c>
    </row>
    <row r="26" spans="34:39" x14ac:dyDescent="0.15">
      <c r="AJ26" t="s">
        <v>176</v>
      </c>
    </row>
    <row r="31" spans="34:39" x14ac:dyDescent="0.15">
      <c r="AH31" s="5" t="s">
        <v>43</v>
      </c>
      <c r="AI31" t="s">
        <v>177</v>
      </c>
    </row>
    <row r="32" spans="34:39" x14ac:dyDescent="0.15">
      <c r="AI32" t="s">
        <v>159</v>
      </c>
    </row>
    <row r="33" spans="36:38" x14ac:dyDescent="0.15">
      <c r="AJ33" t="s">
        <v>160</v>
      </c>
    </row>
    <row r="34" spans="36:38" x14ac:dyDescent="0.15">
      <c r="AJ34" t="s">
        <v>161</v>
      </c>
    </row>
    <row r="35" spans="36:38" x14ac:dyDescent="0.15">
      <c r="AK35" t="s">
        <v>162</v>
      </c>
    </row>
    <row r="36" spans="36:38" x14ac:dyDescent="0.15">
      <c r="AK36" t="s">
        <v>163</v>
      </c>
    </row>
    <row r="37" spans="36:38" x14ac:dyDescent="0.15">
      <c r="AK37" t="s">
        <v>161</v>
      </c>
    </row>
    <row r="38" spans="36:38" x14ac:dyDescent="0.15">
      <c r="AL38" t="s">
        <v>159</v>
      </c>
    </row>
    <row r="39" spans="36:38" x14ac:dyDescent="0.15">
      <c r="AL39" t="s">
        <v>164</v>
      </c>
    </row>
    <row r="40" spans="36:38" x14ac:dyDescent="0.15">
      <c r="AL40" t="s">
        <v>165</v>
      </c>
    </row>
    <row r="41" spans="36:38" x14ac:dyDescent="0.15">
      <c r="AL41" t="s">
        <v>166</v>
      </c>
    </row>
    <row r="42" spans="36:38" x14ac:dyDescent="0.15">
      <c r="AL42" t="s">
        <v>167</v>
      </c>
    </row>
    <row r="43" spans="36:38" x14ac:dyDescent="0.15">
      <c r="AL43" t="s">
        <v>168</v>
      </c>
    </row>
    <row r="44" spans="36:38" x14ac:dyDescent="0.15">
      <c r="AL44" t="s">
        <v>169</v>
      </c>
    </row>
    <row r="45" spans="36:38" x14ac:dyDescent="0.15">
      <c r="AK45" t="s">
        <v>170</v>
      </c>
    </row>
    <row r="46" spans="36:38" x14ac:dyDescent="0.15">
      <c r="AL46" t="s">
        <v>159</v>
      </c>
    </row>
    <row r="47" spans="36:38" x14ac:dyDescent="0.15">
      <c r="AL47" t="s">
        <v>164</v>
      </c>
    </row>
    <row r="48" spans="36:38" x14ac:dyDescent="0.15">
      <c r="AL48" t="s">
        <v>171</v>
      </c>
    </row>
    <row r="49" spans="35:38" x14ac:dyDescent="0.15">
      <c r="AL49" t="s">
        <v>172</v>
      </c>
    </row>
    <row r="50" spans="35:38" x14ac:dyDescent="0.15">
      <c r="AL50" t="s">
        <v>173</v>
      </c>
    </row>
    <row r="51" spans="35:38" x14ac:dyDescent="0.15">
      <c r="AL51" t="s">
        <v>168</v>
      </c>
    </row>
    <row r="52" spans="35:38" x14ac:dyDescent="0.15">
      <c r="AL52" t="s">
        <v>169</v>
      </c>
    </row>
    <row r="53" spans="35:38" x14ac:dyDescent="0.15">
      <c r="AK53" t="s">
        <v>174</v>
      </c>
    </row>
    <row r="54" spans="35:38" x14ac:dyDescent="0.15">
      <c r="AJ54" t="s">
        <v>168</v>
      </c>
    </row>
    <row r="55" spans="35:38" x14ac:dyDescent="0.15">
      <c r="AJ55" t="s">
        <v>175</v>
      </c>
    </row>
    <row r="56" spans="35:38" x14ac:dyDescent="0.15">
      <c r="AI56" t="s">
        <v>174</v>
      </c>
    </row>
    <row r="57" spans="35:38" x14ac:dyDescent="0.15">
      <c r="AI57" t="s">
        <v>178</v>
      </c>
    </row>
    <row r="58" spans="35:38" x14ac:dyDescent="0.15">
      <c r="AI58" t="s">
        <v>43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264-5982-404D-8463-315882D42D19}">
  <dimension ref="A1:N12"/>
  <sheetViews>
    <sheetView workbookViewId="0">
      <pane xSplit="1" topLeftCell="H1" activePane="topRight" state="frozen"/>
      <selection activeCell="I4" sqref="I4"/>
      <selection pane="topRight" activeCell="I4" sqref="I4"/>
    </sheetView>
  </sheetViews>
  <sheetFormatPr defaultRowHeight="14.25" x14ac:dyDescent="0.15"/>
  <cols>
    <col min="1" max="1" width="5.4921875" bestFit="1" customWidth="1"/>
    <col min="2" max="2" width="8.9921875" bestFit="1" customWidth="1"/>
    <col min="3" max="3" width="13.23828125" bestFit="1" customWidth="1"/>
    <col min="4" max="4" width="13.61328125" bestFit="1" customWidth="1"/>
    <col min="5" max="5" width="15.984375" bestFit="1" customWidth="1"/>
    <col min="6" max="6" width="13.73828125" bestFit="1" customWidth="1"/>
    <col min="7" max="7" width="107.53515625" bestFit="1" customWidth="1"/>
    <col min="8" max="8" width="18.859375" customWidth="1"/>
    <col min="12" max="12" width="34.84375" bestFit="1" customWidth="1"/>
  </cols>
  <sheetData>
    <row r="1" spans="1:14" x14ac:dyDescent="0.15">
      <c r="A1" s="2" t="s">
        <v>40</v>
      </c>
      <c r="B1" t="s">
        <v>3</v>
      </c>
      <c r="C1" t="s">
        <v>5</v>
      </c>
      <c r="D1" t="s">
        <v>0</v>
      </c>
      <c r="E1" t="s">
        <v>1</v>
      </c>
      <c r="F1" t="s">
        <v>22</v>
      </c>
      <c r="G1" t="s">
        <v>23</v>
      </c>
      <c r="H1" s="4" t="s">
        <v>44</v>
      </c>
      <c r="L1" s="4" t="s">
        <v>44</v>
      </c>
      <c r="M1" t="s">
        <v>179</v>
      </c>
    </row>
    <row r="2" spans="1:14" x14ac:dyDescent="0.15">
      <c r="A2">
        <v>1</v>
      </c>
      <c r="B2">
        <v>2021</v>
      </c>
      <c r="C2" t="s">
        <v>28</v>
      </c>
      <c r="D2" t="s">
        <v>26</v>
      </c>
      <c r="F2">
        <v>22</v>
      </c>
      <c r="G2" t="s">
        <v>33</v>
      </c>
      <c r="H2">
        <v>4</v>
      </c>
      <c r="L2" s="6" t="s">
        <v>191</v>
      </c>
      <c r="M2" t="s">
        <v>180</v>
      </c>
    </row>
    <row r="3" spans="1:14" x14ac:dyDescent="0.15">
      <c r="A3">
        <v>2</v>
      </c>
      <c r="B3">
        <v>2021</v>
      </c>
      <c r="C3" t="s">
        <v>28</v>
      </c>
      <c r="D3" t="s">
        <v>26</v>
      </c>
      <c r="F3">
        <v>24</v>
      </c>
      <c r="G3" t="s">
        <v>35</v>
      </c>
      <c r="H3">
        <v>4</v>
      </c>
      <c r="M3" t="s">
        <v>181</v>
      </c>
    </row>
    <row r="4" spans="1:14" x14ac:dyDescent="0.15">
      <c r="A4">
        <v>3</v>
      </c>
      <c r="B4">
        <v>2021</v>
      </c>
      <c r="C4" t="s">
        <v>28</v>
      </c>
      <c r="D4" t="s">
        <v>26</v>
      </c>
      <c r="F4">
        <v>25</v>
      </c>
      <c r="G4" t="s">
        <v>36</v>
      </c>
      <c r="H4">
        <v>4</v>
      </c>
      <c r="M4" t="s">
        <v>189</v>
      </c>
    </row>
    <row r="5" spans="1:14" x14ac:dyDescent="0.15">
      <c r="A5">
        <v>4</v>
      </c>
      <c r="B5">
        <v>2021</v>
      </c>
      <c r="C5" t="s">
        <v>28</v>
      </c>
      <c r="D5" t="s">
        <v>26</v>
      </c>
      <c r="F5">
        <v>23</v>
      </c>
      <c r="G5" t="s">
        <v>34</v>
      </c>
      <c r="H5">
        <v>4</v>
      </c>
      <c r="M5" t="s">
        <v>182</v>
      </c>
    </row>
    <row r="6" spans="1:14" x14ac:dyDescent="0.15">
      <c r="A6">
        <v>5</v>
      </c>
      <c r="B6">
        <v>2021</v>
      </c>
      <c r="C6" t="s">
        <v>28</v>
      </c>
      <c r="D6" t="s">
        <v>26</v>
      </c>
      <c r="F6">
        <v>26</v>
      </c>
      <c r="G6" t="s">
        <v>37</v>
      </c>
      <c r="H6">
        <v>4</v>
      </c>
      <c r="M6" t="s">
        <v>183</v>
      </c>
    </row>
    <row r="7" spans="1:14" x14ac:dyDescent="0.15">
      <c r="A7">
        <v>6</v>
      </c>
      <c r="B7">
        <v>2021</v>
      </c>
      <c r="C7" t="s">
        <v>28</v>
      </c>
      <c r="D7" t="s">
        <v>26</v>
      </c>
      <c r="F7">
        <v>30</v>
      </c>
      <c r="G7" t="s">
        <v>38</v>
      </c>
      <c r="H7">
        <v>4</v>
      </c>
      <c r="N7" t="s">
        <v>190</v>
      </c>
    </row>
    <row r="8" spans="1:14" x14ac:dyDescent="0.15">
      <c r="A8">
        <v>7</v>
      </c>
      <c r="B8">
        <v>2021</v>
      </c>
      <c r="C8" t="s">
        <v>28</v>
      </c>
      <c r="D8" t="s">
        <v>26</v>
      </c>
      <c r="F8">
        <v>31</v>
      </c>
      <c r="G8" t="s">
        <v>39</v>
      </c>
      <c r="H8">
        <v>4</v>
      </c>
      <c r="N8" t="s">
        <v>184</v>
      </c>
    </row>
    <row r="9" spans="1:14" x14ac:dyDescent="0.15">
      <c r="N9" t="s">
        <v>185</v>
      </c>
    </row>
    <row r="10" spans="1:14" x14ac:dyDescent="0.15">
      <c r="M10" t="s">
        <v>186</v>
      </c>
    </row>
    <row r="11" spans="1:14" x14ac:dyDescent="0.15">
      <c r="M11" t="s">
        <v>187</v>
      </c>
    </row>
    <row r="12" spans="1:14" x14ac:dyDescent="0.15">
      <c r="M12" t="s">
        <v>188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1158-7F94-448D-BFF9-D183182611D4}">
  <dimension ref="A1:AH52"/>
  <sheetViews>
    <sheetView topLeftCell="A15" zoomScale="85" zoomScaleNormal="85" workbookViewId="0">
      <pane xSplit="1" topLeftCell="J15" activePane="topRight" state="frozen"/>
      <selection activeCell="AK1" sqref="AK1"/>
      <selection pane="topRight" activeCell="M53" sqref="M53"/>
    </sheetView>
  </sheetViews>
  <sheetFormatPr defaultRowHeight="14.25" x14ac:dyDescent="0.15"/>
  <cols>
    <col min="1" max="1" width="5.4921875" bestFit="1" customWidth="1"/>
    <col min="2" max="2" width="17.109375" bestFit="1" customWidth="1"/>
    <col min="3" max="3" width="5.3671875" bestFit="1" customWidth="1"/>
    <col min="4" max="4" width="47.2109375" bestFit="1" customWidth="1"/>
    <col min="5" max="5" width="16.109375" bestFit="1" customWidth="1"/>
    <col min="6" max="7" width="17.234375" bestFit="1" customWidth="1"/>
    <col min="8" max="8" width="19.23046875" bestFit="1" customWidth="1"/>
    <col min="9" max="9" width="17.234375" bestFit="1" customWidth="1"/>
    <col min="10" max="10" width="107.53515625" bestFit="1" customWidth="1"/>
    <col min="11" max="11" width="17.359375" bestFit="1" customWidth="1"/>
    <col min="12" max="12" width="12.11328125" bestFit="1" customWidth="1"/>
    <col min="13" max="13" width="15.109375" bestFit="1" customWidth="1"/>
    <col min="14" max="14" width="16.109375" bestFit="1" customWidth="1"/>
    <col min="15" max="15" width="20.98046875" bestFit="1" customWidth="1"/>
    <col min="16" max="16" width="19.109375" style="3" customWidth="1"/>
    <col min="32" max="32" width="59.57421875" bestFit="1" customWidth="1"/>
  </cols>
  <sheetData>
    <row r="1" spans="2:34" x14ac:dyDescent="0.15"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s="4" t="s">
        <v>55</v>
      </c>
      <c r="M1" s="2" t="s">
        <v>56</v>
      </c>
      <c r="N1" s="8" t="s">
        <v>57</v>
      </c>
      <c r="O1" s="9" t="s">
        <v>58</v>
      </c>
      <c r="P1" s="3" t="s">
        <v>59</v>
      </c>
      <c r="U1" s="10" t="s">
        <v>219</v>
      </c>
      <c r="V1" t="s">
        <v>207</v>
      </c>
      <c r="AF1" s="4" t="s">
        <v>55</v>
      </c>
      <c r="AG1" t="s">
        <v>159</v>
      </c>
    </row>
    <row r="2" spans="2:34" x14ac:dyDescent="0.15">
      <c r="B2" t="s">
        <v>28</v>
      </c>
      <c r="C2">
        <v>2021</v>
      </c>
      <c r="D2" t="s">
        <v>60</v>
      </c>
      <c r="E2" t="s">
        <v>26</v>
      </c>
      <c r="F2" t="s">
        <v>26</v>
      </c>
      <c r="G2" t="s">
        <v>26</v>
      </c>
      <c r="I2">
        <v>23</v>
      </c>
      <c r="J2" t="s">
        <v>34</v>
      </c>
      <c r="K2" t="s">
        <v>61</v>
      </c>
      <c r="L2" s="6">
        <v>15</v>
      </c>
      <c r="M2" s="6">
        <v>100</v>
      </c>
      <c r="N2" s="6">
        <v>15</v>
      </c>
      <c r="O2" s="6">
        <v>4</v>
      </c>
      <c r="P2" s="3">
        <v>44727.673432523145</v>
      </c>
      <c r="V2" t="s">
        <v>159</v>
      </c>
      <c r="AG2" t="s">
        <v>192</v>
      </c>
    </row>
    <row r="3" spans="2:34" x14ac:dyDescent="0.15">
      <c r="B3" t="s">
        <v>28</v>
      </c>
      <c r="C3">
        <v>2021</v>
      </c>
      <c r="D3" t="s">
        <v>60</v>
      </c>
      <c r="E3" t="s">
        <v>26</v>
      </c>
      <c r="F3" t="s">
        <v>26</v>
      </c>
      <c r="G3" t="s">
        <v>26</v>
      </c>
      <c r="I3">
        <v>22</v>
      </c>
      <c r="J3" t="s">
        <v>33</v>
      </c>
      <c r="K3" t="s">
        <v>61</v>
      </c>
      <c r="L3">
        <v>15</v>
      </c>
      <c r="M3">
        <v>100</v>
      </c>
      <c r="N3">
        <v>15</v>
      </c>
      <c r="O3">
        <v>4</v>
      </c>
      <c r="P3" s="3">
        <v>44727.673432523145</v>
      </c>
      <c r="V3" t="s">
        <v>208</v>
      </c>
      <c r="AF3" s="6" t="s">
        <v>225</v>
      </c>
      <c r="AG3" s="7" t="s">
        <v>203</v>
      </c>
    </row>
    <row r="4" spans="2:34" x14ac:dyDescent="0.15">
      <c r="B4" t="s">
        <v>28</v>
      </c>
      <c r="C4">
        <v>2021</v>
      </c>
      <c r="D4" t="s">
        <v>60</v>
      </c>
      <c r="E4" t="s">
        <v>26</v>
      </c>
      <c r="F4" t="s">
        <v>26</v>
      </c>
      <c r="G4" t="s">
        <v>26</v>
      </c>
      <c r="I4">
        <v>30</v>
      </c>
      <c r="J4" t="s">
        <v>38</v>
      </c>
      <c r="K4" t="s">
        <v>62</v>
      </c>
      <c r="L4">
        <v>15</v>
      </c>
      <c r="M4">
        <v>100</v>
      </c>
      <c r="N4">
        <v>15</v>
      </c>
      <c r="O4">
        <v>4</v>
      </c>
      <c r="P4" s="3">
        <v>44727.673432523145</v>
      </c>
      <c r="V4" t="s">
        <v>209</v>
      </c>
      <c r="AF4" t="s">
        <v>361</v>
      </c>
      <c r="AG4" t="s">
        <v>161</v>
      </c>
    </row>
    <row r="5" spans="2:34" x14ac:dyDescent="0.15">
      <c r="B5" t="s">
        <v>28</v>
      </c>
      <c r="C5">
        <v>2021</v>
      </c>
      <c r="D5" t="s">
        <v>60</v>
      </c>
      <c r="E5" t="s">
        <v>26</v>
      </c>
      <c r="F5" t="s">
        <v>26</v>
      </c>
      <c r="G5" t="s">
        <v>26</v>
      </c>
      <c r="I5">
        <v>31</v>
      </c>
      <c r="J5" t="s">
        <v>39</v>
      </c>
      <c r="K5" t="s">
        <v>62</v>
      </c>
      <c r="L5">
        <v>15</v>
      </c>
      <c r="M5">
        <v>100</v>
      </c>
      <c r="N5">
        <v>15</v>
      </c>
      <c r="O5">
        <v>4</v>
      </c>
      <c r="P5" s="3">
        <v>44727.673432523145</v>
      </c>
      <c r="V5" t="s">
        <v>210</v>
      </c>
      <c r="AF5" s="6" t="s">
        <v>227</v>
      </c>
      <c r="AH5" t="s">
        <v>159</v>
      </c>
    </row>
    <row r="6" spans="2:34" x14ac:dyDescent="0.15">
      <c r="B6" t="s">
        <v>28</v>
      </c>
      <c r="C6">
        <v>2021</v>
      </c>
      <c r="D6" t="s">
        <v>60</v>
      </c>
      <c r="E6" t="s">
        <v>26</v>
      </c>
      <c r="F6" t="s">
        <v>26</v>
      </c>
      <c r="G6" t="s">
        <v>26</v>
      </c>
      <c r="I6">
        <v>24</v>
      </c>
      <c r="J6" t="s">
        <v>35</v>
      </c>
      <c r="K6" t="s">
        <v>63</v>
      </c>
      <c r="L6">
        <v>30</v>
      </c>
      <c r="M6">
        <v>100</v>
      </c>
      <c r="N6">
        <v>30</v>
      </c>
      <c r="O6">
        <v>4</v>
      </c>
      <c r="P6" s="3">
        <v>44727.673432523145</v>
      </c>
      <c r="V6" t="s">
        <v>211</v>
      </c>
      <c r="AF6" s="7" t="s">
        <v>228</v>
      </c>
      <c r="AH6" t="s">
        <v>193</v>
      </c>
    </row>
    <row r="7" spans="2:34" x14ac:dyDescent="0.15">
      <c r="B7" t="s">
        <v>28</v>
      </c>
      <c r="C7">
        <v>2021</v>
      </c>
      <c r="D7" t="s">
        <v>60</v>
      </c>
      <c r="E7" t="s">
        <v>26</v>
      </c>
      <c r="F7" t="s">
        <v>26</v>
      </c>
      <c r="G7" t="s">
        <v>26</v>
      </c>
      <c r="I7">
        <v>26</v>
      </c>
      <c r="J7" t="s">
        <v>37</v>
      </c>
      <c r="K7" t="s">
        <v>64</v>
      </c>
      <c r="L7">
        <v>5</v>
      </c>
      <c r="M7">
        <v>100</v>
      </c>
      <c r="N7">
        <v>5</v>
      </c>
      <c r="O7">
        <v>4</v>
      </c>
      <c r="P7" s="3">
        <v>44727.673432523145</v>
      </c>
      <c r="V7" t="s">
        <v>212</v>
      </c>
      <c r="AH7" s="11" t="s">
        <v>194</v>
      </c>
    </row>
    <row r="8" spans="2:34" x14ac:dyDescent="0.15">
      <c r="B8" t="s">
        <v>28</v>
      </c>
      <c r="C8">
        <v>2021</v>
      </c>
      <c r="D8" t="s">
        <v>60</v>
      </c>
      <c r="E8" t="s">
        <v>26</v>
      </c>
      <c r="F8" t="s">
        <v>26</v>
      </c>
      <c r="G8" t="s">
        <v>26</v>
      </c>
      <c r="I8">
        <v>25</v>
      </c>
      <c r="J8" t="s">
        <v>36</v>
      </c>
      <c r="K8" t="s">
        <v>64</v>
      </c>
      <c r="L8">
        <v>5</v>
      </c>
      <c r="M8">
        <v>100</v>
      </c>
      <c r="N8">
        <v>5</v>
      </c>
      <c r="O8">
        <v>4</v>
      </c>
      <c r="P8" s="3">
        <v>44727.673432523145</v>
      </c>
      <c r="V8" t="s">
        <v>213</v>
      </c>
      <c r="AH8" s="11" t="s">
        <v>195</v>
      </c>
    </row>
    <row r="9" spans="2:34" x14ac:dyDescent="0.15">
      <c r="V9" t="s">
        <v>214</v>
      </c>
      <c r="AF9" s="6" t="s">
        <v>223</v>
      </c>
      <c r="AG9" s="7" t="s">
        <v>204</v>
      </c>
    </row>
    <row r="10" spans="2:34" x14ac:dyDescent="0.15">
      <c r="V10" t="s">
        <v>215</v>
      </c>
      <c r="AF10" t="s">
        <v>224</v>
      </c>
      <c r="AG10" t="s">
        <v>170</v>
      </c>
    </row>
    <row r="11" spans="2:34" x14ac:dyDescent="0.15">
      <c r="L11" s="7" t="s">
        <v>230</v>
      </c>
      <c r="N11" t="s">
        <v>231</v>
      </c>
      <c r="V11" t="s">
        <v>216</v>
      </c>
      <c r="AF11" t="s">
        <v>229</v>
      </c>
      <c r="AG11" t="s">
        <v>196</v>
      </c>
    </row>
    <row r="12" spans="2:34" x14ac:dyDescent="0.15">
      <c r="V12" t="s">
        <v>217</v>
      </c>
      <c r="AG12" s="11" t="s">
        <v>197</v>
      </c>
    </row>
    <row r="13" spans="2:34" x14ac:dyDescent="0.15">
      <c r="V13" s="11" t="s">
        <v>218</v>
      </c>
      <c r="AG13" s="11" t="s">
        <v>198</v>
      </c>
    </row>
    <row r="14" spans="2:34" x14ac:dyDescent="0.15">
      <c r="AG14" s="11" t="s">
        <v>199</v>
      </c>
    </row>
    <row r="15" spans="2:34" x14ac:dyDescent="0.15">
      <c r="AG15" s="11" t="s">
        <v>200</v>
      </c>
    </row>
    <row r="16" spans="2:34" x14ac:dyDescent="0.15">
      <c r="AG16" t="s">
        <v>201</v>
      </c>
    </row>
    <row r="17" spans="1:33" x14ac:dyDescent="0.15">
      <c r="U17" s="10" t="s">
        <v>220</v>
      </c>
      <c r="V17" t="s">
        <v>221</v>
      </c>
      <c r="AG17" t="s">
        <v>174</v>
      </c>
    </row>
    <row r="18" spans="1:33" x14ac:dyDescent="0.15">
      <c r="AG18" t="s">
        <v>202</v>
      </c>
    </row>
    <row r="22" spans="1:33" x14ac:dyDescent="0.15">
      <c r="AF22" s="2" t="s">
        <v>56</v>
      </c>
      <c r="AG22" s="12" t="s">
        <v>222</v>
      </c>
    </row>
    <row r="23" spans="1:33" x14ac:dyDescent="0.15">
      <c r="AF23" s="7" t="s">
        <v>360</v>
      </c>
    </row>
    <row r="25" spans="1:33" x14ac:dyDescent="0.15">
      <c r="AF25" s="8" t="s">
        <v>57</v>
      </c>
      <c r="AG25" t="s">
        <v>205</v>
      </c>
    </row>
    <row r="26" spans="1:33" x14ac:dyDescent="0.15">
      <c r="A26" s="2" t="s">
        <v>40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s="4" t="s">
        <v>55</v>
      </c>
      <c r="M26" s="2" t="s">
        <v>56</v>
      </c>
      <c r="N26" s="8" t="s">
        <v>57</v>
      </c>
      <c r="O26" s="9" t="s">
        <v>58</v>
      </c>
      <c r="P26" s="3" t="s">
        <v>59</v>
      </c>
    </row>
    <row r="27" spans="1:33" x14ac:dyDescent="0.15">
      <c r="A27">
        <v>1</v>
      </c>
      <c r="B27" t="s">
        <v>351</v>
      </c>
      <c r="C27">
        <v>2023</v>
      </c>
      <c r="D27" t="s">
        <v>391</v>
      </c>
      <c r="E27" t="s">
        <v>350</v>
      </c>
      <c r="F27" t="s">
        <v>350</v>
      </c>
      <c r="G27" t="s">
        <v>350</v>
      </c>
      <c r="I27">
        <v>40</v>
      </c>
      <c r="J27" t="s">
        <v>390</v>
      </c>
      <c r="K27" t="s">
        <v>392</v>
      </c>
      <c r="L27">
        <v>15</v>
      </c>
      <c r="M27">
        <v>355</v>
      </c>
      <c r="N27">
        <v>15</v>
      </c>
      <c r="O27">
        <v>4</v>
      </c>
      <c r="P27" s="37">
        <v>45534.665390891205</v>
      </c>
    </row>
    <row r="28" spans="1:33" x14ac:dyDescent="0.15">
      <c r="A28">
        <v>2</v>
      </c>
      <c r="B28" t="s">
        <v>351</v>
      </c>
      <c r="C28">
        <v>2023</v>
      </c>
      <c r="D28" t="s">
        <v>391</v>
      </c>
      <c r="E28" t="s">
        <v>350</v>
      </c>
      <c r="F28" t="s">
        <v>350</v>
      </c>
      <c r="G28" t="s">
        <v>350</v>
      </c>
      <c r="I28">
        <v>25</v>
      </c>
      <c r="J28" t="s">
        <v>379</v>
      </c>
      <c r="K28" t="s">
        <v>61</v>
      </c>
      <c r="L28">
        <v>10</v>
      </c>
      <c r="M28">
        <v>355</v>
      </c>
      <c r="N28">
        <v>30</v>
      </c>
      <c r="O28">
        <v>4</v>
      </c>
      <c r="P28" s="37">
        <v>45534.665390891205</v>
      </c>
      <c r="AF28" s="9" t="s">
        <v>58</v>
      </c>
      <c r="AG28" t="s">
        <v>206</v>
      </c>
    </row>
    <row r="29" spans="1:33" x14ac:dyDescent="0.15">
      <c r="A29">
        <v>3</v>
      </c>
      <c r="B29" t="s">
        <v>351</v>
      </c>
      <c r="C29">
        <v>2023</v>
      </c>
      <c r="D29" t="s">
        <v>391</v>
      </c>
      <c r="E29" t="s">
        <v>350</v>
      </c>
      <c r="F29" t="s">
        <v>350</v>
      </c>
      <c r="G29" t="s">
        <v>350</v>
      </c>
      <c r="I29">
        <v>23</v>
      </c>
      <c r="J29" t="s">
        <v>359</v>
      </c>
      <c r="K29" t="s">
        <v>61</v>
      </c>
      <c r="L29">
        <v>10</v>
      </c>
      <c r="M29">
        <v>355</v>
      </c>
      <c r="N29">
        <v>30</v>
      </c>
      <c r="O29">
        <v>4</v>
      </c>
      <c r="P29" s="37">
        <v>45534.665390891205</v>
      </c>
    </row>
    <row r="30" spans="1:33" x14ac:dyDescent="0.15">
      <c r="A30">
        <v>4</v>
      </c>
      <c r="B30" t="s">
        <v>351</v>
      </c>
      <c r="C30">
        <v>2023</v>
      </c>
      <c r="D30" t="s">
        <v>391</v>
      </c>
      <c r="E30" t="s">
        <v>350</v>
      </c>
      <c r="F30" t="s">
        <v>350</v>
      </c>
      <c r="G30" t="s">
        <v>350</v>
      </c>
      <c r="I30">
        <v>24</v>
      </c>
      <c r="J30" t="s">
        <v>378</v>
      </c>
      <c r="K30" t="s">
        <v>61</v>
      </c>
      <c r="L30">
        <v>10</v>
      </c>
      <c r="M30">
        <v>355</v>
      </c>
      <c r="N30">
        <v>30</v>
      </c>
      <c r="O30">
        <v>4</v>
      </c>
      <c r="P30" s="37">
        <v>45534.665390891205</v>
      </c>
    </row>
    <row r="31" spans="1:33" x14ac:dyDescent="0.15">
      <c r="A31">
        <v>5</v>
      </c>
      <c r="B31" t="s">
        <v>351</v>
      </c>
      <c r="C31">
        <v>2023</v>
      </c>
      <c r="D31" t="s">
        <v>391</v>
      </c>
      <c r="E31" t="s">
        <v>350</v>
      </c>
      <c r="F31" t="s">
        <v>350</v>
      </c>
      <c r="G31" t="s">
        <v>350</v>
      </c>
      <c r="I31">
        <v>32</v>
      </c>
      <c r="J31" t="s">
        <v>385</v>
      </c>
      <c r="K31" t="s">
        <v>62</v>
      </c>
      <c r="L31">
        <v>10</v>
      </c>
      <c r="M31">
        <v>355</v>
      </c>
      <c r="N31">
        <v>20</v>
      </c>
      <c r="O31">
        <v>4</v>
      </c>
      <c r="P31" s="37">
        <v>45534.665390891205</v>
      </c>
    </row>
    <row r="32" spans="1:33" x14ac:dyDescent="0.15">
      <c r="A32">
        <v>6</v>
      </c>
      <c r="B32" t="s">
        <v>351</v>
      </c>
      <c r="C32">
        <v>2023</v>
      </c>
      <c r="D32" t="s">
        <v>391</v>
      </c>
      <c r="E32" t="s">
        <v>350</v>
      </c>
      <c r="F32" t="s">
        <v>350</v>
      </c>
      <c r="G32" t="s">
        <v>350</v>
      </c>
      <c r="I32">
        <v>33</v>
      </c>
      <c r="J32" t="s">
        <v>357</v>
      </c>
      <c r="K32" t="s">
        <v>62</v>
      </c>
      <c r="L32">
        <v>10</v>
      </c>
      <c r="M32">
        <v>355</v>
      </c>
      <c r="N32">
        <v>20</v>
      </c>
      <c r="O32">
        <v>4</v>
      </c>
      <c r="P32" s="37">
        <v>45534.665390891205</v>
      </c>
    </row>
    <row r="33" spans="1:16" x14ac:dyDescent="0.15">
      <c r="A33">
        <v>7</v>
      </c>
      <c r="B33" t="s">
        <v>351</v>
      </c>
      <c r="C33">
        <v>2023</v>
      </c>
      <c r="D33" t="s">
        <v>391</v>
      </c>
      <c r="E33" t="s">
        <v>350</v>
      </c>
      <c r="F33" t="s">
        <v>350</v>
      </c>
      <c r="G33" t="s">
        <v>350</v>
      </c>
      <c r="I33">
        <v>39</v>
      </c>
      <c r="J33" t="s">
        <v>389</v>
      </c>
      <c r="K33" t="s">
        <v>64</v>
      </c>
      <c r="L33">
        <v>1.5</v>
      </c>
      <c r="M33">
        <v>355</v>
      </c>
      <c r="N33">
        <v>15</v>
      </c>
      <c r="O33">
        <v>4</v>
      </c>
      <c r="P33" s="37">
        <v>45534.665390891205</v>
      </c>
    </row>
    <row r="34" spans="1:16" x14ac:dyDescent="0.15">
      <c r="A34">
        <v>8</v>
      </c>
      <c r="B34" t="s">
        <v>351</v>
      </c>
      <c r="C34">
        <v>2023</v>
      </c>
      <c r="D34" t="s">
        <v>391</v>
      </c>
      <c r="E34" t="s">
        <v>350</v>
      </c>
      <c r="F34" t="s">
        <v>350</v>
      </c>
      <c r="G34" t="s">
        <v>350</v>
      </c>
      <c r="I34">
        <v>38</v>
      </c>
      <c r="J34" t="s">
        <v>388</v>
      </c>
      <c r="K34" t="s">
        <v>64</v>
      </c>
      <c r="L34">
        <v>1.5</v>
      </c>
      <c r="M34">
        <v>355</v>
      </c>
      <c r="N34">
        <v>15</v>
      </c>
      <c r="O34">
        <v>4</v>
      </c>
      <c r="P34" s="37">
        <v>45534.665390891205</v>
      </c>
    </row>
    <row r="35" spans="1:16" x14ac:dyDescent="0.15">
      <c r="A35">
        <v>9</v>
      </c>
      <c r="B35" t="s">
        <v>351</v>
      </c>
      <c r="C35">
        <v>2023</v>
      </c>
      <c r="D35" t="s">
        <v>391</v>
      </c>
      <c r="E35" t="s">
        <v>350</v>
      </c>
      <c r="F35" t="s">
        <v>350</v>
      </c>
      <c r="G35" t="s">
        <v>350</v>
      </c>
      <c r="I35">
        <v>31</v>
      </c>
      <c r="J35" t="s">
        <v>384</v>
      </c>
      <c r="K35" t="s">
        <v>63</v>
      </c>
      <c r="L35">
        <v>3.3332999999999999</v>
      </c>
      <c r="M35">
        <v>355</v>
      </c>
      <c r="N35">
        <v>20</v>
      </c>
      <c r="O35">
        <v>4</v>
      </c>
      <c r="P35" s="37">
        <v>45534.665390891205</v>
      </c>
    </row>
    <row r="36" spans="1:16" x14ac:dyDescent="0.15">
      <c r="A36">
        <v>10</v>
      </c>
      <c r="B36" t="s">
        <v>351</v>
      </c>
      <c r="C36">
        <v>2023</v>
      </c>
      <c r="D36" t="s">
        <v>391</v>
      </c>
      <c r="E36" t="s">
        <v>350</v>
      </c>
      <c r="F36" t="s">
        <v>350</v>
      </c>
      <c r="G36" t="s">
        <v>350</v>
      </c>
      <c r="I36">
        <v>28</v>
      </c>
      <c r="J36" t="s">
        <v>381</v>
      </c>
      <c r="K36" t="s">
        <v>63</v>
      </c>
      <c r="L36">
        <v>3.3332999999999999</v>
      </c>
      <c r="M36">
        <v>355</v>
      </c>
      <c r="N36">
        <v>20</v>
      </c>
      <c r="O36">
        <v>4</v>
      </c>
      <c r="P36" s="37">
        <v>45534.665390891205</v>
      </c>
    </row>
    <row r="37" spans="1:16" x14ac:dyDescent="0.15">
      <c r="A37">
        <v>11</v>
      </c>
      <c r="B37" t="s">
        <v>351</v>
      </c>
      <c r="C37">
        <v>2023</v>
      </c>
      <c r="D37" t="s">
        <v>391</v>
      </c>
      <c r="E37" t="s">
        <v>350</v>
      </c>
      <c r="F37" t="s">
        <v>350</v>
      </c>
      <c r="G37" t="s">
        <v>350</v>
      </c>
      <c r="I37">
        <v>30</v>
      </c>
      <c r="J37" t="s">
        <v>383</v>
      </c>
      <c r="K37" t="s">
        <v>63</v>
      </c>
      <c r="L37">
        <v>3.3332999999999999</v>
      </c>
      <c r="M37">
        <v>355</v>
      </c>
      <c r="N37">
        <v>20</v>
      </c>
      <c r="O37">
        <v>4</v>
      </c>
      <c r="P37" s="37">
        <v>45534.665390891205</v>
      </c>
    </row>
    <row r="38" spans="1:16" x14ac:dyDescent="0.15">
      <c r="A38">
        <v>12</v>
      </c>
      <c r="B38" t="s">
        <v>351</v>
      </c>
      <c r="C38">
        <v>2023</v>
      </c>
      <c r="D38" t="s">
        <v>391</v>
      </c>
      <c r="E38" t="s">
        <v>350</v>
      </c>
      <c r="F38" t="s">
        <v>350</v>
      </c>
      <c r="G38" t="s">
        <v>350</v>
      </c>
      <c r="I38">
        <v>27</v>
      </c>
      <c r="J38" t="s">
        <v>380</v>
      </c>
      <c r="K38" t="s">
        <v>63</v>
      </c>
      <c r="L38">
        <v>3.3332999999999999</v>
      </c>
      <c r="M38">
        <v>355</v>
      </c>
      <c r="N38">
        <v>20</v>
      </c>
      <c r="O38">
        <v>4</v>
      </c>
      <c r="P38" s="37">
        <v>45534.665390891205</v>
      </c>
    </row>
    <row r="39" spans="1:16" x14ac:dyDescent="0.15">
      <c r="A39">
        <v>13</v>
      </c>
      <c r="B39" t="s">
        <v>351</v>
      </c>
      <c r="C39">
        <v>2023</v>
      </c>
      <c r="D39" t="s">
        <v>391</v>
      </c>
      <c r="E39" t="s">
        <v>350</v>
      </c>
      <c r="F39" t="s">
        <v>350</v>
      </c>
      <c r="G39" t="s">
        <v>350</v>
      </c>
      <c r="I39">
        <v>47</v>
      </c>
      <c r="J39" t="s">
        <v>355</v>
      </c>
      <c r="K39" t="s">
        <v>63</v>
      </c>
      <c r="L39">
        <v>3.3332999999999999</v>
      </c>
      <c r="M39">
        <v>355</v>
      </c>
      <c r="N39">
        <v>20</v>
      </c>
      <c r="O39">
        <v>4</v>
      </c>
      <c r="P39" s="37">
        <v>45534.665390891205</v>
      </c>
    </row>
    <row r="40" spans="1:16" x14ac:dyDescent="0.15">
      <c r="A40">
        <v>14</v>
      </c>
      <c r="B40" t="s">
        <v>351</v>
      </c>
      <c r="C40">
        <v>2023</v>
      </c>
      <c r="D40" t="s">
        <v>391</v>
      </c>
      <c r="E40" t="s">
        <v>350</v>
      </c>
      <c r="F40" t="s">
        <v>350</v>
      </c>
      <c r="G40" t="s">
        <v>350</v>
      </c>
      <c r="I40">
        <v>29</v>
      </c>
      <c r="J40" t="s">
        <v>382</v>
      </c>
      <c r="K40" t="s">
        <v>63</v>
      </c>
      <c r="L40">
        <v>3.3332999999999999</v>
      </c>
      <c r="M40">
        <v>355</v>
      </c>
      <c r="N40">
        <v>20</v>
      </c>
      <c r="O40">
        <v>4</v>
      </c>
      <c r="P40" s="37">
        <v>45534.665390891205</v>
      </c>
    </row>
    <row r="41" spans="1:16" x14ac:dyDescent="0.15">
      <c r="A41">
        <v>15</v>
      </c>
      <c r="B41" t="s">
        <v>351</v>
      </c>
      <c r="C41">
        <v>2023</v>
      </c>
      <c r="D41" t="s">
        <v>391</v>
      </c>
      <c r="E41" t="s">
        <v>350</v>
      </c>
      <c r="F41" t="s">
        <v>350</v>
      </c>
      <c r="G41" t="s">
        <v>350</v>
      </c>
      <c r="I41">
        <v>36</v>
      </c>
      <c r="J41" t="s">
        <v>386</v>
      </c>
      <c r="K41" t="s">
        <v>64</v>
      </c>
      <c r="L41">
        <v>1.5</v>
      </c>
      <c r="M41">
        <v>355</v>
      </c>
      <c r="N41">
        <v>15</v>
      </c>
      <c r="O41">
        <v>4</v>
      </c>
      <c r="P41" s="37">
        <v>45534.665390891205</v>
      </c>
    </row>
    <row r="42" spans="1:16" x14ac:dyDescent="0.15">
      <c r="A42">
        <v>16</v>
      </c>
      <c r="B42" t="s">
        <v>351</v>
      </c>
      <c r="C42">
        <v>2023</v>
      </c>
      <c r="D42" t="s">
        <v>391</v>
      </c>
      <c r="E42" t="s">
        <v>350</v>
      </c>
      <c r="F42" t="s">
        <v>350</v>
      </c>
      <c r="G42" t="s">
        <v>350</v>
      </c>
      <c r="I42">
        <v>35</v>
      </c>
      <c r="J42" t="s">
        <v>356</v>
      </c>
      <c r="K42" t="s">
        <v>64</v>
      </c>
      <c r="L42">
        <v>1.5</v>
      </c>
      <c r="M42">
        <v>355</v>
      </c>
      <c r="N42">
        <v>15</v>
      </c>
      <c r="O42">
        <v>4</v>
      </c>
      <c r="P42" s="37">
        <v>45534.665390891205</v>
      </c>
    </row>
    <row r="43" spans="1:16" x14ac:dyDescent="0.15">
      <c r="A43">
        <v>17</v>
      </c>
      <c r="B43" t="s">
        <v>351</v>
      </c>
      <c r="C43">
        <v>2023</v>
      </c>
      <c r="D43" t="s">
        <v>391</v>
      </c>
      <c r="E43" t="s">
        <v>350</v>
      </c>
      <c r="F43" t="s">
        <v>350</v>
      </c>
      <c r="G43" t="s">
        <v>350</v>
      </c>
      <c r="I43">
        <v>34</v>
      </c>
      <c r="J43" t="s">
        <v>358</v>
      </c>
      <c r="K43" t="s">
        <v>64</v>
      </c>
      <c r="L43">
        <v>1.5</v>
      </c>
      <c r="M43">
        <v>355</v>
      </c>
      <c r="N43">
        <v>15</v>
      </c>
      <c r="O43">
        <v>4</v>
      </c>
      <c r="P43" s="37">
        <v>45534.665390891205</v>
      </c>
    </row>
    <row r="44" spans="1:16" x14ac:dyDescent="0.15">
      <c r="A44">
        <v>18</v>
      </c>
      <c r="B44" t="s">
        <v>351</v>
      </c>
      <c r="C44">
        <v>2023</v>
      </c>
      <c r="D44" t="s">
        <v>391</v>
      </c>
      <c r="E44" t="s">
        <v>350</v>
      </c>
      <c r="F44" t="s">
        <v>350</v>
      </c>
      <c r="G44" t="s">
        <v>350</v>
      </c>
      <c r="I44">
        <v>37</v>
      </c>
      <c r="J44" t="s">
        <v>387</v>
      </c>
      <c r="K44" t="s">
        <v>64</v>
      </c>
      <c r="L44">
        <v>1.5</v>
      </c>
      <c r="M44">
        <v>355</v>
      </c>
      <c r="N44">
        <v>15</v>
      </c>
      <c r="O44">
        <v>4</v>
      </c>
      <c r="P44" s="37">
        <v>45534.665390891205</v>
      </c>
    </row>
    <row r="46" spans="1:16" x14ac:dyDescent="0.15">
      <c r="L46" s="7" t="s">
        <v>368</v>
      </c>
    </row>
    <row r="47" spans="1:16" x14ac:dyDescent="0.15">
      <c r="L47" s="38" t="s">
        <v>372</v>
      </c>
    </row>
    <row r="48" spans="1:16" x14ac:dyDescent="0.15">
      <c r="L48" s="38" t="s">
        <v>373</v>
      </c>
    </row>
    <row r="49" spans="12:14" x14ac:dyDescent="0.15">
      <c r="L49" s="38" t="s">
        <v>374</v>
      </c>
    </row>
    <row r="51" spans="12:14" x14ac:dyDescent="0.15">
      <c r="M51" s="38" t="s">
        <v>366</v>
      </c>
    </row>
    <row r="52" spans="12:14" x14ac:dyDescent="0.15">
      <c r="N52" s="38" t="s">
        <v>363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ECA-F8C6-4A7B-AE93-F13EBFA5A59F}">
  <dimension ref="A1:E36"/>
  <sheetViews>
    <sheetView zoomScaleNormal="100" workbookViewId="0">
      <selection activeCell="A9" sqref="A9"/>
    </sheetView>
  </sheetViews>
  <sheetFormatPr defaultRowHeight="14.25" x14ac:dyDescent="0.15"/>
  <cols>
    <col min="1" max="1" width="6.6171875" style="28" customWidth="1"/>
  </cols>
  <sheetData>
    <row r="1" spans="1:5" x14ac:dyDescent="0.15">
      <c r="A1" s="30" t="s">
        <v>364</v>
      </c>
      <c r="B1" s="4"/>
      <c r="C1" s="4"/>
      <c r="D1" s="4"/>
    </row>
    <row r="2" spans="1:5" x14ac:dyDescent="0.15">
      <c r="A2" s="29" t="s">
        <v>362</v>
      </c>
    </row>
    <row r="3" spans="1:5" x14ac:dyDescent="0.15">
      <c r="A3" s="31" t="s">
        <v>363</v>
      </c>
    </row>
    <row r="4" spans="1:5" x14ac:dyDescent="0.15">
      <c r="A4" s="32" t="s">
        <v>205</v>
      </c>
    </row>
    <row r="5" spans="1:5" x14ac:dyDescent="0.15">
      <c r="A5" s="29" t="s">
        <v>365</v>
      </c>
    </row>
    <row r="6" spans="1:5" x14ac:dyDescent="0.15">
      <c r="A6" s="31" t="s">
        <v>366</v>
      </c>
    </row>
    <row r="7" spans="1:5" x14ac:dyDescent="0.15">
      <c r="A7" s="33" t="s">
        <v>222</v>
      </c>
    </row>
    <row r="8" spans="1:5" x14ac:dyDescent="0.15">
      <c r="A8" s="29" t="s">
        <v>367</v>
      </c>
    </row>
    <row r="9" spans="1:5" x14ac:dyDescent="0.15">
      <c r="A9" s="31" t="s">
        <v>368</v>
      </c>
    </row>
    <row r="10" spans="1:5" x14ac:dyDescent="0.15">
      <c r="A10" s="31" t="s">
        <v>372</v>
      </c>
    </row>
    <row r="11" spans="1:5" x14ac:dyDescent="0.15">
      <c r="A11" s="31" t="s">
        <v>373</v>
      </c>
    </row>
    <row r="12" spans="1:5" x14ac:dyDescent="0.15">
      <c r="A12" s="31" t="s">
        <v>374</v>
      </c>
    </row>
    <row r="13" spans="1:5" x14ac:dyDescent="0.15">
      <c r="A13" s="31"/>
    </row>
    <row r="14" spans="1:5" x14ac:dyDescent="0.15">
      <c r="A14" s="34" t="s">
        <v>369</v>
      </c>
      <c r="B14" s="34"/>
      <c r="C14" s="34"/>
      <c r="D14" s="34"/>
      <c r="E14" s="34"/>
    </row>
    <row r="15" spans="1:5" x14ac:dyDescent="0.15">
      <c r="A15" s="35" t="s">
        <v>203</v>
      </c>
      <c r="B15" s="34"/>
      <c r="C15" s="34"/>
      <c r="D15" s="34"/>
      <c r="E15" s="34"/>
    </row>
    <row r="16" spans="1:5" x14ac:dyDescent="0.15">
      <c r="A16" s="34" t="s">
        <v>161</v>
      </c>
      <c r="B16" s="34"/>
      <c r="C16" s="34"/>
      <c r="D16" s="34"/>
      <c r="E16" s="34"/>
    </row>
    <row r="17" spans="1:5" x14ac:dyDescent="0.15">
      <c r="A17" s="32"/>
      <c r="B17" s="34" t="s">
        <v>370</v>
      </c>
      <c r="C17" s="34"/>
      <c r="D17" s="34"/>
      <c r="E17" s="34"/>
    </row>
    <row r="18" spans="1:5" x14ac:dyDescent="0.15">
      <c r="A18" s="34"/>
      <c r="B18" s="36" t="s">
        <v>194</v>
      </c>
      <c r="C18" s="34"/>
      <c r="D18" s="34"/>
      <c r="E18" s="34"/>
    </row>
    <row r="19" spans="1:5" x14ac:dyDescent="0.15">
      <c r="A19" s="34"/>
      <c r="B19" s="36" t="s">
        <v>195</v>
      </c>
      <c r="C19" s="34"/>
      <c r="D19" s="34"/>
      <c r="E19" s="34"/>
    </row>
    <row r="20" spans="1:5" x14ac:dyDescent="0.15">
      <c r="A20" s="35" t="s">
        <v>204</v>
      </c>
      <c r="B20" s="34"/>
      <c r="C20" s="34"/>
      <c r="D20" s="34"/>
      <c r="E20" s="34"/>
    </row>
    <row r="21" spans="1:5" x14ac:dyDescent="0.15">
      <c r="A21" s="34" t="s">
        <v>170</v>
      </c>
      <c r="B21" s="34"/>
      <c r="C21" s="34"/>
      <c r="D21" s="34"/>
      <c r="E21" s="34"/>
    </row>
    <row r="22" spans="1:5" x14ac:dyDescent="0.15">
      <c r="A22" s="34" t="s">
        <v>371</v>
      </c>
      <c r="B22" s="34"/>
      <c r="C22" s="34"/>
      <c r="D22" s="34"/>
      <c r="E22" s="34"/>
    </row>
    <row r="23" spans="1:5" x14ac:dyDescent="0.15">
      <c r="A23" s="34" t="s">
        <v>174</v>
      </c>
      <c r="B23" s="34"/>
      <c r="C23" s="34"/>
      <c r="D23" s="34"/>
      <c r="E23" s="34"/>
    </row>
    <row r="24" spans="1:5" x14ac:dyDescent="0.15">
      <c r="A24" s="34" t="s">
        <v>202</v>
      </c>
      <c r="B24" s="34"/>
      <c r="C24" s="34"/>
      <c r="D24" s="34"/>
      <c r="E24" s="34"/>
    </row>
    <row r="25" spans="1:5" x14ac:dyDescent="0.15">
      <c r="A25" s="11"/>
    </row>
    <row r="26" spans="1:5" x14ac:dyDescent="0.15">
      <c r="A26" s="11"/>
    </row>
    <row r="27" spans="1:5" x14ac:dyDescent="0.15">
      <c r="A27"/>
    </row>
    <row r="30" spans="1:5" x14ac:dyDescent="0.15">
      <c r="B30" s="6"/>
    </row>
    <row r="32" spans="1:5" x14ac:dyDescent="0.15">
      <c r="B32" s="6"/>
    </row>
    <row r="33" spans="2:2" x14ac:dyDescent="0.15">
      <c r="B33" s="7"/>
    </row>
    <row r="36" spans="2:2" x14ac:dyDescent="0.15">
      <c r="B36" s="6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9051-CB1A-44EE-B5E6-75F982D8FC69}">
  <dimension ref="A1:AZ59"/>
  <sheetViews>
    <sheetView zoomScale="55" zoomScaleNormal="55" workbookViewId="0">
      <pane xSplit="1" topLeftCell="AA1" activePane="topRight" state="frozen"/>
      <selection activeCell="AK1" sqref="AK1"/>
      <selection pane="topRight" activeCell="AR32" sqref="AR32"/>
    </sheetView>
  </sheetViews>
  <sheetFormatPr defaultRowHeight="14.25" x14ac:dyDescent="0.15"/>
  <cols>
    <col min="11" max="11" width="13.98828125" bestFit="1" customWidth="1"/>
    <col min="14" max="14" width="16.609375" bestFit="1" customWidth="1"/>
    <col min="26" max="26" width="14.859375" customWidth="1"/>
    <col min="27" max="27" width="8.8671875" customWidth="1"/>
    <col min="28" max="28" width="14.23828125" bestFit="1" customWidth="1"/>
    <col min="29" max="29" width="15.359375" bestFit="1" customWidth="1"/>
    <col min="30" max="30" width="20.85546875" bestFit="1" customWidth="1"/>
    <col min="31" max="31" width="18.859375" bestFit="1" customWidth="1"/>
    <col min="32" max="32" width="9.73828125" bestFit="1" customWidth="1"/>
    <col min="33" max="33" width="12.98828125" bestFit="1" customWidth="1"/>
    <col min="34" max="34" width="13.98828125" bestFit="1" customWidth="1"/>
    <col min="35" max="35" width="13.11328125" bestFit="1" customWidth="1"/>
    <col min="36" max="36" width="17.359375" bestFit="1" customWidth="1"/>
    <col min="37" max="37" width="10.48828125" bestFit="1" customWidth="1"/>
    <col min="38" max="38" width="14.734375" bestFit="1" customWidth="1"/>
    <col min="39" max="39" width="17.859375" bestFit="1" customWidth="1"/>
    <col min="40" max="40" width="22.10546875" customWidth="1"/>
    <col min="50" max="50" width="49.20703125" bestFit="1" customWidth="1"/>
    <col min="51" max="51" width="8.8671875" customWidth="1"/>
  </cols>
  <sheetData>
    <row r="1" spans="1:52" x14ac:dyDescent="0.15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42</v>
      </c>
      <c r="AD1" t="s">
        <v>43</v>
      </c>
      <c r="AE1" t="s">
        <v>44</v>
      </c>
      <c r="AF1" s="8" t="s">
        <v>65</v>
      </c>
      <c r="AG1" t="s">
        <v>66</v>
      </c>
      <c r="AH1" t="s">
        <v>67</v>
      </c>
      <c r="AI1" t="s">
        <v>68</v>
      </c>
      <c r="AJ1" s="2" t="s">
        <v>69</v>
      </c>
      <c r="AK1" t="s">
        <v>70</v>
      </c>
      <c r="AL1" s="9" t="s">
        <v>71</v>
      </c>
      <c r="AM1" s="14" t="s">
        <v>72</v>
      </c>
      <c r="AN1" s="15" t="s">
        <v>73</v>
      </c>
      <c r="AQ1" s="10" t="s">
        <v>220</v>
      </c>
      <c r="AR1" t="s">
        <v>232</v>
      </c>
      <c r="AX1" s="8" t="s">
        <v>65</v>
      </c>
      <c r="AY1" t="s">
        <v>234</v>
      </c>
    </row>
    <row r="2" spans="1:52" x14ac:dyDescent="0.15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24</v>
      </c>
      <c r="Z2" t="s">
        <v>35</v>
      </c>
      <c r="AA2" s="6">
        <v>3</v>
      </c>
      <c r="AB2" s="39">
        <v>3</v>
      </c>
      <c r="AC2" s="6">
        <v>3</v>
      </c>
      <c r="AD2" s="6">
        <v>3</v>
      </c>
      <c r="AE2" s="39">
        <v>4</v>
      </c>
      <c r="AF2" s="6">
        <v>0.75</v>
      </c>
      <c r="AG2" s="6">
        <v>2021</v>
      </c>
      <c r="AH2" s="6" t="s">
        <v>63</v>
      </c>
      <c r="AI2" s="6">
        <v>30</v>
      </c>
      <c r="AJ2" s="6">
        <v>100</v>
      </c>
      <c r="AK2" s="6">
        <v>30</v>
      </c>
      <c r="AL2" s="6">
        <v>100</v>
      </c>
      <c r="AM2" s="6">
        <v>30</v>
      </c>
      <c r="AN2" s="6">
        <v>100</v>
      </c>
      <c r="AX2" s="6" t="s">
        <v>251</v>
      </c>
    </row>
    <row r="3" spans="1:52" x14ac:dyDescent="0.15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25</v>
      </c>
      <c r="Z3" t="s">
        <v>36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64</v>
      </c>
      <c r="AI3">
        <v>5</v>
      </c>
      <c r="AJ3">
        <v>100</v>
      </c>
      <c r="AK3">
        <v>5</v>
      </c>
      <c r="AL3">
        <v>100</v>
      </c>
      <c r="AM3">
        <v>5</v>
      </c>
      <c r="AN3">
        <v>100</v>
      </c>
      <c r="AQ3" s="10" t="s">
        <v>219</v>
      </c>
      <c r="AR3" t="s">
        <v>233</v>
      </c>
      <c r="AX3" s="6" t="s">
        <v>252</v>
      </c>
    </row>
    <row r="4" spans="1:52" x14ac:dyDescent="0.15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30</v>
      </c>
      <c r="Z4" t="s">
        <v>38</v>
      </c>
      <c r="AA4">
        <v>4</v>
      </c>
      <c r="AB4">
        <v>4</v>
      </c>
      <c r="AC4">
        <v>4</v>
      </c>
      <c r="AD4">
        <v>4</v>
      </c>
      <c r="AE4">
        <v>4</v>
      </c>
      <c r="AF4">
        <v>1</v>
      </c>
      <c r="AG4">
        <v>2021</v>
      </c>
      <c r="AH4" t="s">
        <v>62</v>
      </c>
      <c r="AI4">
        <v>15</v>
      </c>
      <c r="AJ4">
        <v>100</v>
      </c>
      <c r="AK4">
        <v>15</v>
      </c>
      <c r="AL4">
        <v>100</v>
      </c>
      <c r="AM4">
        <v>15</v>
      </c>
      <c r="AN4">
        <v>100</v>
      </c>
    </row>
    <row r="5" spans="1:52" x14ac:dyDescent="0.15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23</v>
      </c>
      <c r="Z5" t="s">
        <v>34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61</v>
      </c>
      <c r="AI5">
        <v>15</v>
      </c>
      <c r="AJ5">
        <v>100</v>
      </c>
      <c r="AK5">
        <v>15</v>
      </c>
      <c r="AL5">
        <v>100</v>
      </c>
      <c r="AM5">
        <v>15</v>
      </c>
      <c r="AN5">
        <v>100</v>
      </c>
      <c r="AX5" s="2" t="s">
        <v>69</v>
      </c>
      <c r="AY5" t="s">
        <v>236</v>
      </c>
    </row>
    <row r="6" spans="1:52" x14ac:dyDescent="0.15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26</v>
      </c>
      <c r="Z6" t="s">
        <v>37</v>
      </c>
      <c r="AA6">
        <v>3</v>
      </c>
      <c r="AB6">
        <v>3</v>
      </c>
      <c r="AC6">
        <v>3</v>
      </c>
      <c r="AD6">
        <v>3</v>
      </c>
      <c r="AE6">
        <v>4</v>
      </c>
      <c r="AF6">
        <v>0.75</v>
      </c>
      <c r="AG6">
        <v>2021</v>
      </c>
      <c r="AH6" t="s">
        <v>64</v>
      </c>
      <c r="AI6">
        <v>5</v>
      </c>
      <c r="AJ6">
        <v>100</v>
      </c>
      <c r="AK6">
        <v>5</v>
      </c>
      <c r="AL6">
        <v>100</v>
      </c>
      <c r="AM6">
        <v>5</v>
      </c>
      <c r="AN6">
        <v>100</v>
      </c>
      <c r="AY6" t="s">
        <v>237</v>
      </c>
    </row>
    <row r="7" spans="1:52" x14ac:dyDescent="0.15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22</v>
      </c>
      <c r="Z7" t="s">
        <v>33</v>
      </c>
      <c r="AA7">
        <v>4</v>
      </c>
      <c r="AB7">
        <v>4</v>
      </c>
      <c r="AC7">
        <v>4</v>
      </c>
      <c r="AD7">
        <v>4</v>
      </c>
      <c r="AE7">
        <v>4</v>
      </c>
      <c r="AF7">
        <v>1</v>
      </c>
      <c r="AG7">
        <v>2021</v>
      </c>
      <c r="AH7" t="s">
        <v>61</v>
      </c>
      <c r="AI7">
        <v>15</v>
      </c>
      <c r="AJ7">
        <v>100</v>
      </c>
      <c r="AK7">
        <v>15</v>
      </c>
      <c r="AL7">
        <v>100</v>
      </c>
      <c r="AM7">
        <v>15</v>
      </c>
      <c r="AN7">
        <v>100</v>
      </c>
    </row>
    <row r="8" spans="1:52" x14ac:dyDescent="0.15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31</v>
      </c>
      <c r="Z8" t="s">
        <v>39</v>
      </c>
      <c r="AA8">
        <v>4</v>
      </c>
      <c r="AB8">
        <v>4</v>
      </c>
      <c r="AC8">
        <v>4</v>
      </c>
      <c r="AD8">
        <v>4</v>
      </c>
      <c r="AE8">
        <v>4</v>
      </c>
      <c r="AF8">
        <v>1</v>
      </c>
      <c r="AG8">
        <v>2021</v>
      </c>
      <c r="AH8" t="s">
        <v>62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</row>
    <row r="10" spans="1:52" x14ac:dyDescent="0.15">
      <c r="AF10" s="7" t="s">
        <v>235</v>
      </c>
      <c r="AX10" s="9" t="s">
        <v>71</v>
      </c>
      <c r="AY10" t="s">
        <v>238</v>
      </c>
    </row>
    <row r="11" spans="1:52" x14ac:dyDescent="0.15">
      <c r="AM11" s="7" t="s">
        <v>262</v>
      </c>
      <c r="AN11" s="7" t="s">
        <v>264</v>
      </c>
      <c r="AX11" s="6" t="s">
        <v>253</v>
      </c>
      <c r="AZ11" t="s">
        <v>239</v>
      </c>
    </row>
    <row r="12" spans="1:52" x14ac:dyDescent="0.15">
      <c r="AX12" t="s">
        <v>254</v>
      </c>
      <c r="AY12" t="s">
        <v>240</v>
      </c>
    </row>
    <row r="13" spans="1:52" x14ac:dyDescent="0.15">
      <c r="AX13" s="6" t="s">
        <v>255</v>
      </c>
      <c r="AY13" t="s">
        <v>241</v>
      </c>
    </row>
    <row r="14" spans="1:52" x14ac:dyDescent="0.15">
      <c r="AX14" t="s">
        <v>256</v>
      </c>
      <c r="AY14" t="s">
        <v>242</v>
      </c>
    </row>
    <row r="15" spans="1:52" x14ac:dyDescent="0.15">
      <c r="AC15" s="13"/>
    </row>
    <row r="17" spans="1:52" x14ac:dyDescent="0.15">
      <c r="AX17" s="14" t="s">
        <v>72</v>
      </c>
      <c r="AY17" t="s">
        <v>159</v>
      </c>
    </row>
    <row r="18" spans="1:52" x14ac:dyDescent="0.15">
      <c r="A18" s="2" t="s">
        <v>40</v>
      </c>
      <c r="B18" t="s">
        <v>2</v>
      </c>
      <c r="C18" t="s">
        <v>0</v>
      </c>
      <c r="D18" t="s">
        <v>1</v>
      </c>
      <c r="E18" t="s">
        <v>41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14</v>
      </c>
      <c r="R18" t="s">
        <v>15</v>
      </c>
      <c r="S18" t="s">
        <v>16</v>
      </c>
      <c r="T18" t="s">
        <v>17</v>
      </c>
      <c r="U18" t="s">
        <v>18</v>
      </c>
      <c r="V18" t="s">
        <v>19</v>
      </c>
      <c r="W18" t="s">
        <v>20</v>
      </c>
      <c r="X18" t="s">
        <v>21</v>
      </c>
      <c r="Y18" t="s">
        <v>22</v>
      </c>
      <c r="Z18" t="s">
        <v>23</v>
      </c>
      <c r="AA18" t="s">
        <v>24</v>
      </c>
      <c r="AB18" t="s">
        <v>25</v>
      </c>
      <c r="AC18" t="s">
        <v>42</v>
      </c>
      <c r="AD18" t="s">
        <v>43</v>
      </c>
      <c r="AE18" t="s">
        <v>44</v>
      </c>
      <c r="AF18" s="8" t="s">
        <v>65</v>
      </c>
      <c r="AG18" t="s">
        <v>66</v>
      </c>
      <c r="AH18" t="s">
        <v>67</v>
      </c>
      <c r="AI18" t="s">
        <v>68</v>
      </c>
      <c r="AJ18" s="2" t="s">
        <v>69</v>
      </c>
      <c r="AK18" t="s">
        <v>70</v>
      </c>
      <c r="AL18" s="9" t="s">
        <v>71</v>
      </c>
      <c r="AM18" s="14" t="s">
        <v>72</v>
      </c>
      <c r="AN18" s="15" t="s">
        <v>73</v>
      </c>
      <c r="AX18" s="6" t="s">
        <v>257</v>
      </c>
      <c r="AY18" t="s">
        <v>246</v>
      </c>
    </row>
    <row r="19" spans="1:52" x14ac:dyDescent="0.15">
      <c r="A19">
        <v>1</v>
      </c>
      <c r="B19" t="s">
        <v>375</v>
      </c>
      <c r="C19" t="s">
        <v>350</v>
      </c>
      <c r="E19" t="s">
        <v>350</v>
      </c>
      <c r="F19">
        <v>2023</v>
      </c>
      <c r="G19">
        <v>1</v>
      </c>
      <c r="H19" t="s">
        <v>351</v>
      </c>
      <c r="I19">
        <v>3282</v>
      </c>
      <c r="J19">
        <v>3385</v>
      </c>
      <c r="K19" s="1">
        <v>45116.823564814818</v>
      </c>
      <c r="L19" t="s">
        <v>376</v>
      </c>
      <c r="M19" t="s">
        <v>352</v>
      </c>
      <c r="P19" t="s">
        <v>353</v>
      </c>
      <c r="Q19" t="s">
        <v>377</v>
      </c>
      <c r="R19" t="s">
        <v>352</v>
      </c>
      <c r="S19" t="s">
        <v>354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>
        <v>23</v>
      </c>
      <c r="Z19" t="s">
        <v>359</v>
      </c>
      <c r="AA19">
        <v>3</v>
      </c>
      <c r="AB19" s="8">
        <v>3</v>
      </c>
      <c r="AC19">
        <v>3</v>
      </c>
      <c r="AD19">
        <v>3</v>
      </c>
      <c r="AE19" s="8">
        <v>4</v>
      </c>
      <c r="AF19">
        <v>0.75</v>
      </c>
      <c r="AG19">
        <v>2023</v>
      </c>
      <c r="AH19" t="s">
        <v>61</v>
      </c>
      <c r="AI19">
        <v>30</v>
      </c>
      <c r="AJ19">
        <v>355</v>
      </c>
      <c r="AK19">
        <v>10</v>
      </c>
      <c r="AL19">
        <v>100</v>
      </c>
      <c r="AM19">
        <v>10</v>
      </c>
      <c r="AN19">
        <v>48</v>
      </c>
      <c r="AX19" s="7" t="s">
        <v>258</v>
      </c>
      <c r="AY19" t="s">
        <v>245</v>
      </c>
    </row>
    <row r="20" spans="1:52" x14ac:dyDescent="0.15">
      <c r="A20">
        <v>2</v>
      </c>
      <c r="B20" t="s">
        <v>375</v>
      </c>
      <c r="C20" t="s">
        <v>350</v>
      </c>
      <c r="E20" t="s">
        <v>350</v>
      </c>
      <c r="F20">
        <v>2023</v>
      </c>
      <c r="G20">
        <v>1</v>
      </c>
      <c r="H20" t="s">
        <v>351</v>
      </c>
      <c r="I20">
        <v>3282</v>
      </c>
      <c r="J20">
        <v>3385</v>
      </c>
      <c r="K20" s="1">
        <v>45116.823564814818</v>
      </c>
      <c r="L20" t="s">
        <v>376</v>
      </c>
      <c r="M20" t="s">
        <v>352</v>
      </c>
      <c r="P20" t="s">
        <v>353</v>
      </c>
      <c r="Q20" t="s">
        <v>377</v>
      </c>
      <c r="R20" t="s">
        <v>352</v>
      </c>
      <c r="S20" t="s">
        <v>354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>
        <v>24</v>
      </c>
      <c r="Z20" t="s">
        <v>378</v>
      </c>
      <c r="AA20">
        <v>3</v>
      </c>
      <c r="AB20">
        <v>3</v>
      </c>
      <c r="AC20">
        <v>3</v>
      </c>
      <c r="AD20">
        <v>3</v>
      </c>
      <c r="AE20">
        <v>4</v>
      </c>
      <c r="AF20">
        <v>0.75</v>
      </c>
      <c r="AG20">
        <v>2023</v>
      </c>
      <c r="AH20" t="s">
        <v>61</v>
      </c>
      <c r="AI20">
        <v>30</v>
      </c>
      <c r="AJ20">
        <v>355</v>
      </c>
      <c r="AK20">
        <v>10</v>
      </c>
      <c r="AL20">
        <v>100</v>
      </c>
      <c r="AM20">
        <v>10</v>
      </c>
      <c r="AN20">
        <v>48</v>
      </c>
      <c r="AX20" s="6" t="s">
        <v>259</v>
      </c>
      <c r="AY20" t="s">
        <v>244</v>
      </c>
    </row>
    <row r="21" spans="1:52" x14ac:dyDescent="0.15">
      <c r="A21">
        <v>3</v>
      </c>
      <c r="B21" t="s">
        <v>375</v>
      </c>
      <c r="C21" t="s">
        <v>350</v>
      </c>
      <c r="E21" t="s">
        <v>350</v>
      </c>
      <c r="F21">
        <v>2023</v>
      </c>
      <c r="G21">
        <v>1</v>
      </c>
      <c r="H21" t="s">
        <v>351</v>
      </c>
      <c r="I21">
        <v>3282</v>
      </c>
      <c r="J21">
        <v>3385</v>
      </c>
      <c r="K21" s="1">
        <v>45116.823564814818</v>
      </c>
      <c r="L21" t="s">
        <v>376</v>
      </c>
      <c r="M21" t="s">
        <v>352</v>
      </c>
      <c r="P21" t="s">
        <v>353</v>
      </c>
      <c r="Q21" t="s">
        <v>377</v>
      </c>
      <c r="R21" t="s">
        <v>352</v>
      </c>
      <c r="S21" t="s">
        <v>354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>
        <v>25</v>
      </c>
      <c r="Z21" t="s">
        <v>379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1</v>
      </c>
      <c r="AG21">
        <v>2023</v>
      </c>
      <c r="AH21" t="s">
        <v>61</v>
      </c>
      <c r="AI21">
        <v>30</v>
      </c>
      <c r="AJ21">
        <v>355</v>
      </c>
      <c r="AK21">
        <v>10</v>
      </c>
      <c r="AL21">
        <v>100</v>
      </c>
      <c r="AM21">
        <v>10</v>
      </c>
      <c r="AN21">
        <v>48</v>
      </c>
      <c r="AX21" s="7" t="s">
        <v>260</v>
      </c>
    </row>
    <row r="22" spans="1:52" x14ac:dyDescent="0.15">
      <c r="A22">
        <v>4</v>
      </c>
      <c r="B22" t="s">
        <v>375</v>
      </c>
      <c r="C22" t="s">
        <v>350</v>
      </c>
      <c r="E22" t="s">
        <v>350</v>
      </c>
      <c r="F22">
        <v>2023</v>
      </c>
      <c r="G22">
        <v>1</v>
      </c>
      <c r="H22" t="s">
        <v>351</v>
      </c>
      <c r="I22">
        <v>3282</v>
      </c>
      <c r="J22">
        <v>3385</v>
      </c>
      <c r="K22" s="1">
        <v>45116.823564814818</v>
      </c>
      <c r="L22" t="s">
        <v>376</v>
      </c>
      <c r="M22" t="s">
        <v>352</v>
      </c>
      <c r="P22" t="s">
        <v>353</v>
      </c>
      <c r="Q22" t="s">
        <v>377</v>
      </c>
      <c r="R22" t="s">
        <v>352</v>
      </c>
      <c r="S22" t="s">
        <v>354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>
        <v>47</v>
      </c>
      <c r="Z22" t="s">
        <v>355</v>
      </c>
      <c r="AA22" t="s">
        <v>31</v>
      </c>
      <c r="AB22" t="s">
        <v>31</v>
      </c>
      <c r="AC22" t="s">
        <v>31</v>
      </c>
      <c r="AD22" t="s">
        <v>31</v>
      </c>
      <c r="AE22">
        <v>4</v>
      </c>
      <c r="AF22" t="s">
        <v>31</v>
      </c>
      <c r="AG22">
        <v>2023</v>
      </c>
      <c r="AH22" t="s">
        <v>63</v>
      </c>
      <c r="AI22">
        <v>20</v>
      </c>
      <c r="AJ22">
        <v>355</v>
      </c>
      <c r="AK22">
        <v>3.3332999999999999</v>
      </c>
      <c r="AL22">
        <v>100</v>
      </c>
      <c r="AM22" t="s">
        <v>31</v>
      </c>
      <c r="AN22" t="s">
        <v>31</v>
      </c>
    </row>
    <row r="23" spans="1:52" x14ac:dyDescent="0.15">
      <c r="A23">
        <v>5</v>
      </c>
      <c r="B23" t="s">
        <v>375</v>
      </c>
      <c r="C23" t="s">
        <v>350</v>
      </c>
      <c r="E23" t="s">
        <v>350</v>
      </c>
      <c r="F23">
        <v>2023</v>
      </c>
      <c r="G23">
        <v>1</v>
      </c>
      <c r="H23" t="s">
        <v>351</v>
      </c>
      <c r="I23">
        <v>3282</v>
      </c>
      <c r="J23">
        <v>3385</v>
      </c>
      <c r="K23" s="1">
        <v>45116.823564814818</v>
      </c>
      <c r="L23" t="s">
        <v>376</v>
      </c>
      <c r="M23" t="s">
        <v>352</v>
      </c>
      <c r="P23" t="s">
        <v>353</v>
      </c>
      <c r="Q23" t="s">
        <v>377</v>
      </c>
      <c r="R23" t="s">
        <v>352</v>
      </c>
      <c r="S23" t="s">
        <v>354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>
        <v>27</v>
      </c>
      <c r="Z23" t="s">
        <v>380</v>
      </c>
      <c r="AA23" t="s">
        <v>31</v>
      </c>
      <c r="AB23" t="s">
        <v>31</v>
      </c>
      <c r="AC23" t="s">
        <v>31</v>
      </c>
      <c r="AD23" t="s">
        <v>31</v>
      </c>
      <c r="AE23">
        <v>4</v>
      </c>
      <c r="AF23" t="s">
        <v>31</v>
      </c>
      <c r="AG23">
        <v>2023</v>
      </c>
      <c r="AH23" t="s">
        <v>63</v>
      </c>
      <c r="AI23">
        <v>20</v>
      </c>
      <c r="AJ23">
        <v>355</v>
      </c>
      <c r="AK23">
        <v>3.3332999999999999</v>
      </c>
      <c r="AL23">
        <v>100</v>
      </c>
      <c r="AM23" t="s">
        <v>31</v>
      </c>
      <c r="AN23" t="s">
        <v>31</v>
      </c>
    </row>
    <row r="24" spans="1:52" x14ac:dyDescent="0.15">
      <c r="A24">
        <v>6</v>
      </c>
      <c r="B24" t="s">
        <v>375</v>
      </c>
      <c r="C24" t="s">
        <v>350</v>
      </c>
      <c r="E24" t="s">
        <v>350</v>
      </c>
      <c r="F24">
        <v>2023</v>
      </c>
      <c r="G24">
        <v>1</v>
      </c>
      <c r="H24" t="s">
        <v>351</v>
      </c>
      <c r="I24">
        <v>3282</v>
      </c>
      <c r="J24">
        <v>3385</v>
      </c>
      <c r="K24" s="1">
        <v>45116.823564814818</v>
      </c>
      <c r="L24" t="s">
        <v>376</v>
      </c>
      <c r="M24" t="s">
        <v>352</v>
      </c>
      <c r="P24" t="s">
        <v>353</v>
      </c>
      <c r="Q24" t="s">
        <v>377</v>
      </c>
      <c r="R24" t="s">
        <v>352</v>
      </c>
      <c r="S24" t="s">
        <v>354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>
        <v>28</v>
      </c>
      <c r="Z24" t="s">
        <v>381</v>
      </c>
      <c r="AA24" t="s">
        <v>31</v>
      </c>
      <c r="AB24" t="s">
        <v>31</v>
      </c>
      <c r="AC24" t="s">
        <v>31</v>
      </c>
      <c r="AD24" t="s">
        <v>31</v>
      </c>
      <c r="AE24">
        <v>4</v>
      </c>
      <c r="AF24" t="s">
        <v>31</v>
      </c>
      <c r="AG24">
        <v>2023</v>
      </c>
      <c r="AH24" t="s">
        <v>63</v>
      </c>
      <c r="AI24">
        <v>20</v>
      </c>
      <c r="AJ24">
        <v>355</v>
      </c>
      <c r="AK24">
        <v>3.3332999999999999</v>
      </c>
      <c r="AL24">
        <v>100</v>
      </c>
      <c r="AM24" t="s">
        <v>31</v>
      </c>
      <c r="AN24" t="s">
        <v>31</v>
      </c>
      <c r="AX24" s="15" t="s">
        <v>73</v>
      </c>
      <c r="AY24" t="s">
        <v>159</v>
      </c>
    </row>
    <row r="25" spans="1:52" x14ac:dyDescent="0.15">
      <c r="A25">
        <v>7</v>
      </c>
      <c r="B25" t="s">
        <v>375</v>
      </c>
      <c r="C25" t="s">
        <v>350</v>
      </c>
      <c r="E25" t="s">
        <v>350</v>
      </c>
      <c r="F25">
        <v>2023</v>
      </c>
      <c r="G25">
        <v>1</v>
      </c>
      <c r="H25" t="s">
        <v>351</v>
      </c>
      <c r="I25">
        <v>3282</v>
      </c>
      <c r="J25">
        <v>3385</v>
      </c>
      <c r="K25" s="1">
        <v>45116.823564814818</v>
      </c>
      <c r="L25" t="s">
        <v>376</v>
      </c>
      <c r="M25" t="s">
        <v>352</v>
      </c>
      <c r="P25" t="s">
        <v>353</v>
      </c>
      <c r="Q25" t="s">
        <v>377</v>
      </c>
      <c r="R25" t="s">
        <v>352</v>
      </c>
      <c r="S25" t="s">
        <v>354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>
        <v>29</v>
      </c>
      <c r="Z25" t="s">
        <v>382</v>
      </c>
      <c r="AA25" t="s">
        <v>31</v>
      </c>
      <c r="AB25" t="s">
        <v>31</v>
      </c>
      <c r="AC25" t="s">
        <v>31</v>
      </c>
      <c r="AD25" t="s">
        <v>31</v>
      </c>
      <c r="AE25">
        <v>4</v>
      </c>
      <c r="AF25" t="s">
        <v>31</v>
      </c>
      <c r="AG25">
        <v>2023</v>
      </c>
      <c r="AH25" t="s">
        <v>63</v>
      </c>
      <c r="AI25">
        <v>20</v>
      </c>
      <c r="AJ25">
        <v>355</v>
      </c>
      <c r="AK25">
        <v>3.3332999999999999</v>
      </c>
      <c r="AL25">
        <v>100</v>
      </c>
      <c r="AM25" t="s">
        <v>31</v>
      </c>
      <c r="AN25" t="s">
        <v>31</v>
      </c>
      <c r="AX25" s="6" t="s">
        <v>257</v>
      </c>
      <c r="AY25" t="s">
        <v>243</v>
      </c>
    </row>
    <row r="26" spans="1:52" x14ac:dyDescent="0.15">
      <c r="A26">
        <v>8</v>
      </c>
      <c r="B26" t="s">
        <v>375</v>
      </c>
      <c r="C26" t="s">
        <v>350</v>
      </c>
      <c r="E26" t="s">
        <v>350</v>
      </c>
      <c r="F26">
        <v>2023</v>
      </c>
      <c r="G26">
        <v>1</v>
      </c>
      <c r="H26" t="s">
        <v>351</v>
      </c>
      <c r="I26">
        <v>3282</v>
      </c>
      <c r="J26">
        <v>3385</v>
      </c>
      <c r="K26" s="1">
        <v>45116.823564814818</v>
      </c>
      <c r="L26" t="s">
        <v>376</v>
      </c>
      <c r="M26" t="s">
        <v>352</v>
      </c>
      <c r="P26" t="s">
        <v>353</v>
      </c>
      <c r="Q26" t="s">
        <v>377</v>
      </c>
      <c r="R26" t="s">
        <v>352</v>
      </c>
      <c r="S26" t="s">
        <v>354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>
        <v>30</v>
      </c>
      <c r="Z26" t="s">
        <v>393</v>
      </c>
      <c r="AA26" t="s">
        <v>31</v>
      </c>
      <c r="AB26" t="s">
        <v>31</v>
      </c>
      <c r="AC26" t="s">
        <v>31</v>
      </c>
      <c r="AD26" t="s">
        <v>31</v>
      </c>
      <c r="AE26">
        <v>4</v>
      </c>
      <c r="AF26" t="s">
        <v>31</v>
      </c>
      <c r="AG26">
        <v>2023</v>
      </c>
      <c r="AH26" t="s">
        <v>63</v>
      </c>
      <c r="AI26">
        <v>20</v>
      </c>
      <c r="AJ26">
        <v>355</v>
      </c>
      <c r="AK26">
        <v>3.3332999999999999</v>
      </c>
      <c r="AL26">
        <v>100</v>
      </c>
      <c r="AM26" t="s">
        <v>31</v>
      </c>
      <c r="AN26" t="s">
        <v>31</v>
      </c>
      <c r="AX26" s="7" t="s">
        <v>263</v>
      </c>
      <c r="AY26" t="s">
        <v>161</v>
      </c>
    </row>
    <row r="27" spans="1:52" x14ac:dyDescent="0.15">
      <c r="A27">
        <v>9</v>
      </c>
      <c r="B27" t="s">
        <v>375</v>
      </c>
      <c r="C27" t="s">
        <v>350</v>
      </c>
      <c r="E27" t="s">
        <v>350</v>
      </c>
      <c r="F27">
        <v>2023</v>
      </c>
      <c r="G27">
        <v>1</v>
      </c>
      <c r="H27" t="s">
        <v>351</v>
      </c>
      <c r="I27">
        <v>3282</v>
      </c>
      <c r="J27">
        <v>3385</v>
      </c>
      <c r="K27" s="1">
        <v>45116.823564814818</v>
      </c>
      <c r="L27" t="s">
        <v>376</v>
      </c>
      <c r="M27" t="s">
        <v>352</v>
      </c>
      <c r="P27" t="s">
        <v>353</v>
      </c>
      <c r="Q27" t="s">
        <v>377</v>
      </c>
      <c r="R27" t="s">
        <v>352</v>
      </c>
      <c r="S27" t="s">
        <v>354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>
        <v>31</v>
      </c>
      <c r="Z27" t="s">
        <v>384</v>
      </c>
      <c r="AA27" t="s">
        <v>31</v>
      </c>
      <c r="AB27" t="s">
        <v>31</v>
      </c>
      <c r="AC27" t="s">
        <v>31</v>
      </c>
      <c r="AD27" t="s">
        <v>31</v>
      </c>
      <c r="AE27">
        <v>4</v>
      </c>
      <c r="AF27" t="s">
        <v>31</v>
      </c>
      <c r="AG27">
        <v>2023</v>
      </c>
      <c r="AH27" t="s">
        <v>63</v>
      </c>
      <c r="AI27">
        <v>20</v>
      </c>
      <c r="AJ27">
        <v>355</v>
      </c>
      <c r="AK27">
        <v>3.3332999999999999</v>
      </c>
      <c r="AL27">
        <v>100</v>
      </c>
      <c r="AM27" t="s">
        <v>31</v>
      </c>
      <c r="AN27" t="s">
        <v>31</v>
      </c>
      <c r="AX27" s="6" t="s">
        <v>259</v>
      </c>
      <c r="AZ27" t="s">
        <v>247</v>
      </c>
    </row>
    <row r="28" spans="1:52" x14ac:dyDescent="0.15">
      <c r="A28">
        <v>10</v>
      </c>
      <c r="B28" t="s">
        <v>375</v>
      </c>
      <c r="C28" t="s">
        <v>350</v>
      </c>
      <c r="E28" t="s">
        <v>350</v>
      </c>
      <c r="F28">
        <v>2023</v>
      </c>
      <c r="G28">
        <v>1</v>
      </c>
      <c r="H28" t="s">
        <v>351</v>
      </c>
      <c r="I28">
        <v>3282</v>
      </c>
      <c r="J28">
        <v>3385</v>
      </c>
      <c r="K28" s="1">
        <v>45116.823564814818</v>
      </c>
      <c r="L28" t="s">
        <v>376</v>
      </c>
      <c r="M28" t="s">
        <v>352</v>
      </c>
      <c r="P28" t="s">
        <v>353</v>
      </c>
      <c r="Q28" t="s">
        <v>377</v>
      </c>
      <c r="R28" t="s">
        <v>352</v>
      </c>
      <c r="S28" t="s">
        <v>354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>
        <v>32</v>
      </c>
      <c r="Z28" t="s">
        <v>385</v>
      </c>
      <c r="AA28" t="s">
        <v>31</v>
      </c>
      <c r="AB28" t="s">
        <v>31</v>
      </c>
      <c r="AC28" t="s">
        <v>31</v>
      </c>
      <c r="AD28" t="s">
        <v>31</v>
      </c>
      <c r="AE28">
        <v>4</v>
      </c>
      <c r="AF28" t="s">
        <v>31</v>
      </c>
      <c r="AG28">
        <v>2023</v>
      </c>
      <c r="AH28" t="s">
        <v>62</v>
      </c>
      <c r="AI28">
        <v>20</v>
      </c>
      <c r="AJ28">
        <v>355</v>
      </c>
      <c r="AK28">
        <v>10</v>
      </c>
      <c r="AL28">
        <v>100</v>
      </c>
      <c r="AM28" t="s">
        <v>31</v>
      </c>
      <c r="AN28" t="s">
        <v>31</v>
      </c>
      <c r="AX28" s="7" t="s">
        <v>260</v>
      </c>
      <c r="AZ28" t="s">
        <v>159</v>
      </c>
    </row>
    <row r="29" spans="1:52" x14ac:dyDescent="0.15">
      <c r="A29">
        <v>11</v>
      </c>
      <c r="B29" t="s">
        <v>375</v>
      </c>
      <c r="C29" t="s">
        <v>350</v>
      </c>
      <c r="E29" t="s">
        <v>350</v>
      </c>
      <c r="F29">
        <v>2023</v>
      </c>
      <c r="G29">
        <v>1</v>
      </c>
      <c r="H29" t="s">
        <v>351</v>
      </c>
      <c r="I29">
        <v>3282</v>
      </c>
      <c r="J29">
        <v>3385</v>
      </c>
      <c r="K29" s="1">
        <v>45116.823564814818</v>
      </c>
      <c r="L29" t="s">
        <v>376</v>
      </c>
      <c r="M29" t="s">
        <v>352</v>
      </c>
      <c r="P29" t="s">
        <v>353</v>
      </c>
      <c r="Q29" t="s">
        <v>377</v>
      </c>
      <c r="R29" t="s">
        <v>352</v>
      </c>
      <c r="S29" t="s">
        <v>354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>
        <v>33</v>
      </c>
      <c r="Z29" t="s">
        <v>357</v>
      </c>
      <c r="AA29" t="s">
        <v>31</v>
      </c>
      <c r="AB29" t="s">
        <v>31</v>
      </c>
      <c r="AC29" t="s">
        <v>31</v>
      </c>
      <c r="AD29" t="s">
        <v>31</v>
      </c>
      <c r="AE29">
        <v>4</v>
      </c>
      <c r="AF29" t="s">
        <v>31</v>
      </c>
      <c r="AG29">
        <v>2023</v>
      </c>
      <c r="AH29" t="s">
        <v>62</v>
      </c>
      <c r="AI29">
        <v>20</v>
      </c>
      <c r="AJ29">
        <v>355</v>
      </c>
      <c r="AK29">
        <v>10</v>
      </c>
      <c r="AL29">
        <v>100</v>
      </c>
      <c r="AM29" t="s">
        <v>31</v>
      </c>
      <c r="AN29" t="s">
        <v>31</v>
      </c>
      <c r="AZ29" t="s">
        <v>243</v>
      </c>
    </row>
    <row r="30" spans="1:52" x14ac:dyDescent="0.15">
      <c r="A30">
        <v>12</v>
      </c>
      <c r="B30" t="s">
        <v>375</v>
      </c>
      <c r="C30" t="s">
        <v>350</v>
      </c>
      <c r="E30" t="s">
        <v>350</v>
      </c>
      <c r="F30">
        <v>2023</v>
      </c>
      <c r="G30">
        <v>1</v>
      </c>
      <c r="H30" t="s">
        <v>351</v>
      </c>
      <c r="I30">
        <v>3282</v>
      </c>
      <c r="J30">
        <v>3385</v>
      </c>
      <c r="K30" s="1">
        <v>45116.823564814818</v>
      </c>
      <c r="L30" t="s">
        <v>376</v>
      </c>
      <c r="M30" t="s">
        <v>352</v>
      </c>
      <c r="P30" t="s">
        <v>353</v>
      </c>
      <c r="Q30" t="s">
        <v>377</v>
      </c>
      <c r="R30" t="s">
        <v>352</v>
      </c>
      <c r="S30" t="s">
        <v>354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>
        <v>34</v>
      </c>
      <c r="Z30" t="s">
        <v>358</v>
      </c>
      <c r="AA30">
        <v>3</v>
      </c>
      <c r="AB30">
        <v>3</v>
      </c>
      <c r="AC30">
        <v>3</v>
      </c>
      <c r="AD30">
        <v>3</v>
      </c>
      <c r="AE30">
        <v>4</v>
      </c>
      <c r="AF30">
        <v>0.75</v>
      </c>
      <c r="AG30">
        <v>2023</v>
      </c>
      <c r="AH30" t="s">
        <v>64</v>
      </c>
      <c r="AI30">
        <v>15</v>
      </c>
      <c r="AJ30">
        <v>355</v>
      </c>
      <c r="AK30">
        <v>1.5</v>
      </c>
      <c r="AL30">
        <v>100</v>
      </c>
      <c r="AM30">
        <v>1.5</v>
      </c>
      <c r="AN30">
        <v>48</v>
      </c>
      <c r="AZ30" t="s">
        <v>248</v>
      </c>
    </row>
    <row r="31" spans="1:52" x14ac:dyDescent="0.15">
      <c r="A31">
        <v>13</v>
      </c>
      <c r="B31" t="s">
        <v>375</v>
      </c>
      <c r="C31" t="s">
        <v>350</v>
      </c>
      <c r="E31" t="s">
        <v>350</v>
      </c>
      <c r="F31">
        <v>2023</v>
      </c>
      <c r="G31">
        <v>1</v>
      </c>
      <c r="H31" t="s">
        <v>351</v>
      </c>
      <c r="I31">
        <v>3282</v>
      </c>
      <c r="J31">
        <v>3385</v>
      </c>
      <c r="K31" s="1">
        <v>45116.823564814818</v>
      </c>
      <c r="L31" t="s">
        <v>376</v>
      </c>
      <c r="M31" t="s">
        <v>352</v>
      </c>
      <c r="P31" t="s">
        <v>353</v>
      </c>
      <c r="Q31" t="s">
        <v>377</v>
      </c>
      <c r="R31" t="s">
        <v>352</v>
      </c>
      <c r="S31" t="s">
        <v>354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35</v>
      </c>
      <c r="Z31" t="s">
        <v>356</v>
      </c>
      <c r="AA31">
        <v>3</v>
      </c>
      <c r="AB31">
        <v>3</v>
      </c>
      <c r="AC31">
        <v>3</v>
      </c>
      <c r="AD31">
        <v>3</v>
      </c>
      <c r="AE31">
        <v>4</v>
      </c>
      <c r="AF31">
        <v>0.75</v>
      </c>
      <c r="AG31">
        <v>2023</v>
      </c>
      <c r="AH31" t="s">
        <v>64</v>
      </c>
      <c r="AI31">
        <v>15</v>
      </c>
      <c r="AJ31">
        <v>355</v>
      </c>
      <c r="AK31">
        <v>1.5</v>
      </c>
      <c r="AL31">
        <v>100</v>
      </c>
      <c r="AM31">
        <v>1.5</v>
      </c>
      <c r="AN31">
        <v>48</v>
      </c>
      <c r="AZ31" t="s">
        <v>249</v>
      </c>
    </row>
    <row r="32" spans="1:52" x14ac:dyDescent="0.15">
      <c r="A32">
        <v>14</v>
      </c>
      <c r="B32" t="s">
        <v>375</v>
      </c>
      <c r="C32" t="s">
        <v>350</v>
      </c>
      <c r="E32" t="s">
        <v>350</v>
      </c>
      <c r="F32">
        <v>2023</v>
      </c>
      <c r="G32">
        <v>1</v>
      </c>
      <c r="H32" t="s">
        <v>351</v>
      </c>
      <c r="I32">
        <v>3282</v>
      </c>
      <c r="J32">
        <v>3385</v>
      </c>
      <c r="K32" s="1">
        <v>45116.823564814818</v>
      </c>
      <c r="L32" t="s">
        <v>376</v>
      </c>
      <c r="M32" t="s">
        <v>352</v>
      </c>
      <c r="P32" t="s">
        <v>353</v>
      </c>
      <c r="Q32" t="s">
        <v>377</v>
      </c>
      <c r="R32" t="s">
        <v>352</v>
      </c>
      <c r="S32" t="s">
        <v>354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36</v>
      </c>
      <c r="Z32" t="s">
        <v>386</v>
      </c>
      <c r="AA32" t="s">
        <v>31</v>
      </c>
      <c r="AB32" t="s">
        <v>31</v>
      </c>
      <c r="AC32" t="s">
        <v>31</v>
      </c>
      <c r="AD32" t="s">
        <v>31</v>
      </c>
      <c r="AE32">
        <v>4</v>
      </c>
      <c r="AF32" t="s">
        <v>31</v>
      </c>
      <c r="AG32">
        <v>2023</v>
      </c>
      <c r="AH32" t="s">
        <v>64</v>
      </c>
      <c r="AI32">
        <v>15</v>
      </c>
      <c r="AJ32">
        <v>355</v>
      </c>
      <c r="AK32">
        <v>1.5</v>
      </c>
      <c r="AL32">
        <v>100</v>
      </c>
      <c r="AM32" t="s">
        <v>31</v>
      </c>
      <c r="AN32" t="s">
        <v>31</v>
      </c>
      <c r="AY32" t="s">
        <v>245</v>
      </c>
    </row>
    <row r="33" spans="1:51" x14ac:dyDescent="0.15">
      <c r="A33">
        <v>15</v>
      </c>
      <c r="B33" t="s">
        <v>375</v>
      </c>
      <c r="C33" t="s">
        <v>350</v>
      </c>
      <c r="E33" t="s">
        <v>350</v>
      </c>
      <c r="F33">
        <v>2023</v>
      </c>
      <c r="G33">
        <v>1</v>
      </c>
      <c r="H33" t="s">
        <v>351</v>
      </c>
      <c r="I33">
        <v>3282</v>
      </c>
      <c r="J33">
        <v>3385</v>
      </c>
      <c r="K33" s="1">
        <v>45116.823564814818</v>
      </c>
      <c r="L33" t="s">
        <v>376</v>
      </c>
      <c r="M33" t="s">
        <v>352</v>
      </c>
      <c r="P33" t="s">
        <v>353</v>
      </c>
      <c r="Q33" t="s">
        <v>377</v>
      </c>
      <c r="R33" t="s">
        <v>352</v>
      </c>
      <c r="S33" t="s">
        <v>354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37</v>
      </c>
      <c r="Z33" t="s">
        <v>387</v>
      </c>
      <c r="AA33" t="s">
        <v>31</v>
      </c>
      <c r="AB33" t="s">
        <v>31</v>
      </c>
      <c r="AC33" t="s">
        <v>31</v>
      </c>
      <c r="AD33" t="s">
        <v>31</v>
      </c>
      <c r="AE33">
        <v>4</v>
      </c>
      <c r="AF33" t="s">
        <v>31</v>
      </c>
      <c r="AG33">
        <v>2023</v>
      </c>
      <c r="AH33" t="s">
        <v>64</v>
      </c>
      <c r="AI33">
        <v>15</v>
      </c>
      <c r="AJ33">
        <v>355</v>
      </c>
      <c r="AK33">
        <v>1.5</v>
      </c>
      <c r="AL33">
        <v>100</v>
      </c>
      <c r="AM33" t="s">
        <v>31</v>
      </c>
      <c r="AN33" t="s">
        <v>31</v>
      </c>
      <c r="AY33" t="s">
        <v>250</v>
      </c>
    </row>
    <row r="34" spans="1:51" x14ac:dyDescent="0.15">
      <c r="A34">
        <v>16</v>
      </c>
      <c r="B34" t="s">
        <v>375</v>
      </c>
      <c r="C34" t="s">
        <v>350</v>
      </c>
      <c r="E34" t="s">
        <v>350</v>
      </c>
      <c r="F34">
        <v>2023</v>
      </c>
      <c r="G34">
        <v>1</v>
      </c>
      <c r="H34" t="s">
        <v>351</v>
      </c>
      <c r="I34">
        <v>3282</v>
      </c>
      <c r="J34">
        <v>3385</v>
      </c>
      <c r="K34" s="1">
        <v>45116.823564814818</v>
      </c>
      <c r="L34" t="s">
        <v>376</v>
      </c>
      <c r="M34" t="s">
        <v>352</v>
      </c>
      <c r="P34" t="s">
        <v>353</v>
      </c>
      <c r="Q34" t="s">
        <v>377</v>
      </c>
      <c r="R34" t="s">
        <v>352</v>
      </c>
      <c r="S34" t="s">
        <v>354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38</v>
      </c>
      <c r="Z34" t="s">
        <v>388</v>
      </c>
      <c r="AA34" t="s">
        <v>31</v>
      </c>
      <c r="AB34" t="s">
        <v>31</v>
      </c>
      <c r="AC34" t="s">
        <v>31</v>
      </c>
      <c r="AD34" t="s">
        <v>31</v>
      </c>
      <c r="AE34">
        <v>4</v>
      </c>
      <c r="AF34" t="s">
        <v>31</v>
      </c>
      <c r="AG34">
        <v>2023</v>
      </c>
      <c r="AH34" t="s">
        <v>64</v>
      </c>
      <c r="AI34">
        <v>15</v>
      </c>
      <c r="AJ34">
        <v>355</v>
      </c>
      <c r="AK34">
        <v>1.5</v>
      </c>
      <c r="AL34">
        <v>100</v>
      </c>
      <c r="AM34" t="s">
        <v>31</v>
      </c>
      <c r="AN34" t="s">
        <v>31</v>
      </c>
    </row>
    <row r="35" spans="1:51" x14ac:dyDescent="0.15">
      <c r="A35">
        <v>17</v>
      </c>
      <c r="B35" t="s">
        <v>375</v>
      </c>
      <c r="C35" t="s">
        <v>350</v>
      </c>
      <c r="E35" t="s">
        <v>350</v>
      </c>
      <c r="F35">
        <v>2023</v>
      </c>
      <c r="G35">
        <v>1</v>
      </c>
      <c r="H35" t="s">
        <v>351</v>
      </c>
      <c r="I35">
        <v>3282</v>
      </c>
      <c r="J35">
        <v>3385</v>
      </c>
      <c r="K35" s="1">
        <v>45116.823564814818</v>
      </c>
      <c r="L35" t="s">
        <v>376</v>
      </c>
      <c r="M35" t="s">
        <v>352</v>
      </c>
      <c r="P35" t="s">
        <v>353</v>
      </c>
      <c r="Q35" t="s">
        <v>377</v>
      </c>
      <c r="R35" t="s">
        <v>352</v>
      </c>
      <c r="S35" t="s">
        <v>354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>
        <v>39</v>
      </c>
      <c r="Z35" t="s">
        <v>389</v>
      </c>
      <c r="AA35" t="s">
        <v>31</v>
      </c>
      <c r="AB35" t="s">
        <v>31</v>
      </c>
      <c r="AC35" t="s">
        <v>31</v>
      </c>
      <c r="AD35" t="s">
        <v>31</v>
      </c>
      <c r="AE35">
        <v>4</v>
      </c>
      <c r="AF35" t="s">
        <v>31</v>
      </c>
      <c r="AG35">
        <v>2023</v>
      </c>
      <c r="AH35" t="s">
        <v>64</v>
      </c>
      <c r="AI35">
        <v>15</v>
      </c>
      <c r="AJ35">
        <v>355</v>
      </c>
      <c r="AK35">
        <v>1.5</v>
      </c>
      <c r="AL35">
        <v>100</v>
      </c>
      <c r="AM35" t="s">
        <v>31</v>
      </c>
      <c r="AN35" t="s">
        <v>31</v>
      </c>
    </row>
    <row r="36" spans="1:51" x14ac:dyDescent="0.15">
      <c r="A36">
        <v>18</v>
      </c>
      <c r="B36" t="s">
        <v>375</v>
      </c>
      <c r="C36" t="s">
        <v>350</v>
      </c>
      <c r="E36" t="s">
        <v>350</v>
      </c>
      <c r="F36">
        <v>2023</v>
      </c>
      <c r="G36">
        <v>1</v>
      </c>
      <c r="H36" t="s">
        <v>351</v>
      </c>
      <c r="I36">
        <v>3282</v>
      </c>
      <c r="J36">
        <v>3385</v>
      </c>
      <c r="K36" s="1">
        <v>45116.823564814818</v>
      </c>
      <c r="L36" t="s">
        <v>376</v>
      </c>
      <c r="M36" t="s">
        <v>352</v>
      </c>
      <c r="P36" t="s">
        <v>353</v>
      </c>
      <c r="Q36" t="s">
        <v>377</v>
      </c>
      <c r="R36" t="s">
        <v>352</v>
      </c>
      <c r="S36" t="s">
        <v>354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40</v>
      </c>
      <c r="Z36" t="s">
        <v>390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1</v>
      </c>
      <c r="AG36">
        <v>2023</v>
      </c>
      <c r="AH36" t="s">
        <v>392</v>
      </c>
      <c r="AI36">
        <v>15</v>
      </c>
      <c r="AJ36">
        <v>355</v>
      </c>
      <c r="AK36">
        <v>15</v>
      </c>
      <c r="AL36">
        <v>100</v>
      </c>
      <c r="AM36">
        <v>15</v>
      </c>
      <c r="AN36">
        <v>48</v>
      </c>
    </row>
    <row r="37" spans="1:51" x14ac:dyDescent="0.15">
      <c r="A37">
        <v>19</v>
      </c>
      <c r="B37" t="s">
        <v>375</v>
      </c>
      <c r="C37" t="s">
        <v>350</v>
      </c>
      <c r="E37" t="s">
        <v>350</v>
      </c>
      <c r="F37">
        <v>2023</v>
      </c>
      <c r="G37">
        <v>1</v>
      </c>
      <c r="H37" t="s">
        <v>351</v>
      </c>
      <c r="I37">
        <v>3282</v>
      </c>
      <c r="J37">
        <v>3385</v>
      </c>
      <c r="K37" s="1">
        <v>45116.823564814818</v>
      </c>
      <c r="L37" t="s">
        <v>376</v>
      </c>
      <c r="M37" t="s">
        <v>352</v>
      </c>
      <c r="P37" t="s">
        <v>353</v>
      </c>
      <c r="Q37" t="s">
        <v>377</v>
      </c>
      <c r="R37" t="s">
        <v>352</v>
      </c>
      <c r="S37" t="s">
        <v>354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26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>
        <v>355</v>
      </c>
      <c r="AK37" t="s">
        <v>31</v>
      </c>
      <c r="AL37">
        <v>100</v>
      </c>
      <c r="AM37" t="s">
        <v>31</v>
      </c>
      <c r="AN37" t="s">
        <v>31</v>
      </c>
    </row>
    <row r="41" spans="1:51" x14ac:dyDescent="0.15">
      <c r="K41" s="1"/>
      <c r="AF41" s="7" t="s">
        <v>235</v>
      </c>
    </row>
    <row r="42" spans="1:51" x14ac:dyDescent="0.15">
      <c r="K42" s="1"/>
      <c r="AM42" s="7" t="s">
        <v>262</v>
      </c>
      <c r="AN42" s="7" t="s">
        <v>264</v>
      </c>
    </row>
    <row r="43" spans="1:51" x14ac:dyDescent="0.15">
      <c r="K43" s="1"/>
    </row>
    <row r="44" spans="1:51" x14ac:dyDescent="0.15">
      <c r="K44" s="1"/>
    </row>
    <row r="45" spans="1:51" x14ac:dyDescent="0.15">
      <c r="K45" s="1"/>
    </row>
    <row r="46" spans="1:51" x14ac:dyDescent="0.15">
      <c r="K46" s="1"/>
    </row>
    <row r="47" spans="1:51" x14ac:dyDescent="0.15">
      <c r="K47" s="1"/>
    </row>
    <row r="48" spans="1:51" x14ac:dyDescent="0.15">
      <c r="K48" s="1"/>
    </row>
    <row r="49" spans="11:11" x14ac:dyDescent="0.15">
      <c r="K49" s="1"/>
    </row>
    <row r="50" spans="11:11" x14ac:dyDescent="0.15">
      <c r="K50" s="1"/>
    </row>
    <row r="51" spans="11:11" x14ac:dyDescent="0.15">
      <c r="K51" s="1"/>
    </row>
    <row r="52" spans="11:11" x14ac:dyDescent="0.15">
      <c r="K52" s="1"/>
    </row>
    <row r="53" spans="11:11" x14ac:dyDescent="0.15">
      <c r="K53" s="1"/>
    </row>
    <row r="54" spans="11:11" x14ac:dyDescent="0.15">
      <c r="K54" s="1"/>
    </row>
    <row r="55" spans="11:11" x14ac:dyDescent="0.15">
      <c r="K55" s="1"/>
    </row>
    <row r="56" spans="11:11" x14ac:dyDescent="0.15">
      <c r="K56" s="1"/>
    </row>
    <row r="57" spans="11:11" x14ac:dyDescent="0.15">
      <c r="K57" s="1"/>
    </row>
    <row r="58" spans="11:11" x14ac:dyDescent="0.15">
      <c r="K58" s="1"/>
    </row>
    <row r="59" spans="11:11" x14ac:dyDescent="0.15">
      <c r="K59" s="1"/>
    </row>
  </sheetData>
  <sortState xmlns:xlrd2="http://schemas.microsoft.com/office/spreadsheetml/2017/richdata2" ref="B41:AN59">
    <sortCondition ref="Z41:Z59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208-58A4-4693-96FA-1557AA01D152}">
  <sheetPr filterMode="1"/>
  <dimension ref="A1:BB83"/>
  <sheetViews>
    <sheetView zoomScale="70" zoomScaleNormal="70" workbookViewId="0">
      <pane xSplit="1" topLeftCell="U1" activePane="topRight" state="frozen"/>
      <selection pane="topRight" activeCell="AA26" sqref="AA26:AA43"/>
    </sheetView>
  </sheetViews>
  <sheetFormatPr defaultRowHeight="14.25" x14ac:dyDescent="0.15"/>
  <cols>
    <col min="8" max="8" width="13.23828125" customWidth="1"/>
    <col min="27" max="30" width="8.9921875" customWidth="1"/>
    <col min="31" max="31" width="18.859375" bestFit="1" customWidth="1"/>
    <col min="32" max="32" width="9.73828125" bestFit="1" customWidth="1"/>
    <col min="33" max="33" width="8.9921875" customWidth="1"/>
    <col min="34" max="34" width="13.98828125" bestFit="1" customWidth="1"/>
    <col min="35" max="35" width="13.11328125" bestFit="1" customWidth="1"/>
    <col min="36" max="36" width="17.359375" bestFit="1" customWidth="1"/>
    <col min="37" max="37" width="10.48828125" bestFit="1" customWidth="1"/>
    <col min="38" max="38" width="14.734375" bestFit="1" customWidth="1"/>
    <col min="39" max="39" width="17.859375" bestFit="1" customWidth="1"/>
    <col min="40" max="40" width="22.10546875" bestFit="1" customWidth="1"/>
    <col min="41" max="41" width="13.98828125" bestFit="1" customWidth="1"/>
    <col min="42" max="42" width="9.98828125" customWidth="1"/>
    <col min="43" max="43" width="10.61328125" bestFit="1" customWidth="1"/>
    <col min="46" max="46" width="34.46875" customWidth="1"/>
  </cols>
  <sheetData>
    <row r="1" spans="1:46" x14ac:dyDescent="0.15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8" t="s">
        <v>24</v>
      </c>
      <c r="AB1" s="8" t="s">
        <v>25</v>
      </c>
      <c r="AC1" s="8" t="s">
        <v>42</v>
      </c>
      <c r="AD1" s="8" t="s">
        <v>43</v>
      </c>
      <c r="AE1" s="8" t="s">
        <v>44</v>
      </c>
      <c r="AF1" s="8" t="s">
        <v>65</v>
      </c>
      <c r="AG1" s="8" t="s">
        <v>66</v>
      </c>
      <c r="AH1" s="8" t="s">
        <v>67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2" t="s">
        <v>74</v>
      </c>
      <c r="AP1" s="15" t="s">
        <v>75</v>
      </c>
      <c r="AQ1" s="14" t="s">
        <v>76</v>
      </c>
      <c r="AT1" t="s">
        <v>265</v>
      </c>
    </row>
    <row r="2" spans="1:46" x14ac:dyDescent="0.15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s="6" t="s">
        <v>31</v>
      </c>
      <c r="R2" s="6" t="s">
        <v>31</v>
      </c>
      <c r="S2" s="6" t="s">
        <v>32</v>
      </c>
      <c r="T2" s="6" t="s">
        <v>31</v>
      </c>
      <c r="U2" s="6" t="s">
        <v>31</v>
      </c>
      <c r="V2" s="6" t="s">
        <v>31</v>
      </c>
      <c r="W2" s="6" t="s">
        <v>31</v>
      </c>
      <c r="X2" s="6" t="s">
        <v>31</v>
      </c>
      <c r="Y2" s="6">
        <v>24</v>
      </c>
      <c r="Z2" s="6" t="s">
        <v>35</v>
      </c>
      <c r="AA2" s="6">
        <v>3</v>
      </c>
      <c r="AB2" s="6">
        <v>3</v>
      </c>
      <c r="AC2" s="6">
        <v>3</v>
      </c>
      <c r="AD2" s="6">
        <v>3</v>
      </c>
      <c r="AE2" s="6">
        <v>4</v>
      </c>
      <c r="AF2" s="6">
        <v>0.75</v>
      </c>
      <c r="AG2" s="6">
        <v>2021</v>
      </c>
      <c r="AH2" s="6" t="s">
        <v>63</v>
      </c>
      <c r="AI2" s="6">
        <v>30</v>
      </c>
      <c r="AJ2" s="6">
        <v>100</v>
      </c>
      <c r="AK2" s="6">
        <v>30</v>
      </c>
      <c r="AL2" s="6">
        <v>100</v>
      </c>
      <c r="AM2" s="6">
        <v>30</v>
      </c>
      <c r="AN2" s="6">
        <v>100</v>
      </c>
      <c r="AO2" s="6">
        <v>22.5</v>
      </c>
      <c r="AP2" s="6">
        <v>30</v>
      </c>
      <c r="AQ2" s="6">
        <v>100</v>
      </c>
      <c r="AT2" s="8" t="s">
        <v>24</v>
      </c>
    </row>
    <row r="3" spans="1:46" x14ac:dyDescent="0.15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25</v>
      </c>
      <c r="Z3" t="s">
        <v>36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64</v>
      </c>
      <c r="AI3">
        <v>5</v>
      </c>
      <c r="AJ3">
        <v>100</v>
      </c>
      <c r="AK3">
        <v>5</v>
      </c>
      <c r="AL3">
        <v>100</v>
      </c>
      <c r="AM3">
        <v>5</v>
      </c>
      <c r="AN3">
        <v>100</v>
      </c>
      <c r="AO3">
        <v>5</v>
      </c>
      <c r="AP3">
        <v>5</v>
      </c>
      <c r="AQ3">
        <v>100</v>
      </c>
      <c r="AT3" s="8" t="s">
        <v>25</v>
      </c>
    </row>
    <row r="4" spans="1:46" x14ac:dyDescent="0.15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30</v>
      </c>
      <c r="Z4" t="s">
        <v>38</v>
      </c>
      <c r="AA4">
        <v>4</v>
      </c>
      <c r="AB4">
        <v>4</v>
      </c>
      <c r="AC4">
        <v>4</v>
      </c>
      <c r="AD4">
        <v>4</v>
      </c>
      <c r="AE4">
        <v>4</v>
      </c>
      <c r="AF4">
        <v>1</v>
      </c>
      <c r="AG4">
        <v>2021</v>
      </c>
      <c r="AH4" t="s">
        <v>62</v>
      </c>
      <c r="AI4">
        <v>15</v>
      </c>
      <c r="AJ4">
        <v>100</v>
      </c>
      <c r="AK4">
        <v>15</v>
      </c>
      <c r="AL4">
        <v>100</v>
      </c>
      <c r="AM4">
        <v>15</v>
      </c>
      <c r="AN4">
        <v>100</v>
      </c>
      <c r="AO4">
        <v>15</v>
      </c>
      <c r="AP4">
        <v>15</v>
      </c>
      <c r="AQ4">
        <v>100</v>
      </c>
      <c r="AT4" s="8" t="s">
        <v>42</v>
      </c>
    </row>
    <row r="5" spans="1:46" x14ac:dyDescent="0.15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23</v>
      </c>
      <c r="Z5" t="s">
        <v>34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61</v>
      </c>
      <c r="AI5">
        <v>15</v>
      </c>
      <c r="AJ5">
        <v>100</v>
      </c>
      <c r="AK5">
        <v>15</v>
      </c>
      <c r="AL5">
        <v>100</v>
      </c>
      <c r="AM5">
        <v>15</v>
      </c>
      <c r="AN5">
        <v>100</v>
      </c>
      <c r="AO5">
        <v>11.25</v>
      </c>
      <c r="AP5">
        <v>15</v>
      </c>
      <c r="AQ5">
        <v>100</v>
      </c>
      <c r="AT5" s="8" t="s">
        <v>43</v>
      </c>
    </row>
    <row r="6" spans="1:46" x14ac:dyDescent="0.15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31</v>
      </c>
      <c r="Z6" t="s">
        <v>39</v>
      </c>
      <c r="AA6">
        <v>4</v>
      </c>
      <c r="AB6">
        <v>4</v>
      </c>
      <c r="AC6">
        <v>4</v>
      </c>
      <c r="AD6">
        <v>4</v>
      </c>
      <c r="AE6">
        <v>4</v>
      </c>
      <c r="AF6">
        <v>1</v>
      </c>
      <c r="AG6">
        <v>2021</v>
      </c>
      <c r="AH6" t="s">
        <v>62</v>
      </c>
      <c r="AI6">
        <v>15</v>
      </c>
      <c r="AJ6">
        <v>100</v>
      </c>
      <c r="AK6">
        <v>15</v>
      </c>
      <c r="AL6">
        <v>100</v>
      </c>
      <c r="AM6">
        <v>15</v>
      </c>
      <c r="AN6">
        <v>100</v>
      </c>
      <c r="AO6">
        <v>15</v>
      </c>
      <c r="AP6">
        <v>15</v>
      </c>
      <c r="AQ6">
        <v>100</v>
      </c>
      <c r="AT6" s="8" t="s">
        <v>44</v>
      </c>
    </row>
    <row r="7" spans="1:46" x14ac:dyDescent="0.15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26</v>
      </c>
      <c r="Z7" t="s">
        <v>37</v>
      </c>
      <c r="AA7">
        <v>3</v>
      </c>
      <c r="AB7">
        <v>3</v>
      </c>
      <c r="AC7">
        <v>3</v>
      </c>
      <c r="AD7">
        <v>3</v>
      </c>
      <c r="AE7">
        <v>4</v>
      </c>
      <c r="AF7">
        <v>0.75</v>
      </c>
      <c r="AG7">
        <v>2021</v>
      </c>
      <c r="AH7" t="s">
        <v>64</v>
      </c>
      <c r="AI7">
        <v>5</v>
      </c>
      <c r="AJ7">
        <v>100</v>
      </c>
      <c r="AK7">
        <v>5</v>
      </c>
      <c r="AL7">
        <v>100</v>
      </c>
      <c r="AM7">
        <v>5</v>
      </c>
      <c r="AN7">
        <v>100</v>
      </c>
      <c r="AO7">
        <v>3.75</v>
      </c>
      <c r="AP7">
        <v>5</v>
      </c>
      <c r="AQ7">
        <v>100</v>
      </c>
      <c r="AT7" s="8" t="s">
        <v>65</v>
      </c>
    </row>
    <row r="8" spans="1:46" x14ac:dyDescent="0.15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22</v>
      </c>
      <c r="Z8" t="s">
        <v>33</v>
      </c>
      <c r="AA8">
        <v>4</v>
      </c>
      <c r="AB8">
        <v>4</v>
      </c>
      <c r="AC8">
        <v>4</v>
      </c>
      <c r="AD8">
        <v>4</v>
      </c>
      <c r="AE8">
        <v>4</v>
      </c>
      <c r="AF8">
        <v>1</v>
      </c>
      <c r="AG8">
        <v>2021</v>
      </c>
      <c r="AH8" t="s">
        <v>61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  <c r="AO8">
        <v>15</v>
      </c>
      <c r="AP8">
        <v>15</v>
      </c>
      <c r="AQ8">
        <v>100</v>
      </c>
      <c r="AT8" s="8" t="s">
        <v>66</v>
      </c>
    </row>
    <row r="9" spans="1:46" x14ac:dyDescent="0.15">
      <c r="AT9" s="8" t="s">
        <v>67</v>
      </c>
    </row>
    <row r="10" spans="1:46" x14ac:dyDescent="0.15">
      <c r="AO10" s="7" t="s">
        <v>267</v>
      </c>
      <c r="AP10" s="7" t="s">
        <v>276</v>
      </c>
      <c r="AT10" s="8" t="s">
        <v>68</v>
      </c>
    </row>
    <row r="11" spans="1:46" x14ac:dyDescent="0.15">
      <c r="AO11" s="7" t="s">
        <v>270</v>
      </c>
      <c r="AT11" s="8" t="s">
        <v>69</v>
      </c>
    </row>
    <row r="12" spans="1:46" x14ac:dyDescent="0.15">
      <c r="AT12" s="8" t="s">
        <v>70</v>
      </c>
    </row>
    <row r="13" spans="1:46" x14ac:dyDescent="0.15">
      <c r="AT13" s="8" t="s">
        <v>71</v>
      </c>
    </row>
    <row r="14" spans="1:46" x14ac:dyDescent="0.15">
      <c r="AT14" s="8" t="s">
        <v>72</v>
      </c>
    </row>
    <row r="15" spans="1:46" x14ac:dyDescent="0.15">
      <c r="AT15" s="8" t="s">
        <v>73</v>
      </c>
    </row>
    <row r="19" spans="1:54" x14ac:dyDescent="0.15">
      <c r="AT19" s="2" t="s">
        <v>74</v>
      </c>
      <c r="AU19" t="s">
        <v>266</v>
      </c>
    </row>
    <row r="20" spans="1:54" x14ac:dyDescent="0.15">
      <c r="AT20" s="6" t="s">
        <v>271</v>
      </c>
      <c r="AU20" s="7" t="s">
        <v>268</v>
      </c>
      <c r="BB20" t="s">
        <v>159</v>
      </c>
    </row>
    <row r="21" spans="1:54" x14ac:dyDescent="0.15">
      <c r="BB21" t="s">
        <v>246</v>
      </c>
    </row>
    <row r="22" spans="1:54" x14ac:dyDescent="0.15">
      <c r="BB22" t="s">
        <v>245</v>
      </c>
    </row>
    <row r="23" spans="1:54" x14ac:dyDescent="0.15">
      <c r="BB23" t="s">
        <v>244</v>
      </c>
    </row>
    <row r="24" spans="1:54" x14ac:dyDescent="0.15">
      <c r="AU24" s="7" t="s">
        <v>269</v>
      </c>
    </row>
    <row r="25" spans="1:54" x14ac:dyDescent="0.15">
      <c r="A25" s="2" t="s">
        <v>40</v>
      </c>
      <c r="B25" t="s">
        <v>2</v>
      </c>
      <c r="C25" t="s">
        <v>0</v>
      </c>
      <c r="D25" t="s">
        <v>1</v>
      </c>
      <c r="E25" t="s">
        <v>41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14</v>
      </c>
      <c r="R25" t="s">
        <v>15</v>
      </c>
      <c r="S25" t="s">
        <v>16</v>
      </c>
      <c r="T25" t="s">
        <v>17</v>
      </c>
      <c r="U25" t="s">
        <v>18</v>
      </c>
      <c r="V25" t="s">
        <v>19</v>
      </c>
      <c r="W25" t="s">
        <v>20</v>
      </c>
      <c r="X25" t="s">
        <v>21</v>
      </c>
      <c r="Y25" t="s">
        <v>22</v>
      </c>
      <c r="Z25" t="s">
        <v>23</v>
      </c>
      <c r="AA25" s="8" t="s">
        <v>24</v>
      </c>
      <c r="AB25" s="8" t="s">
        <v>25</v>
      </c>
      <c r="AC25" s="8" t="s">
        <v>42</v>
      </c>
      <c r="AD25" s="8" t="s">
        <v>43</v>
      </c>
      <c r="AE25" s="8" t="s">
        <v>44</v>
      </c>
      <c r="AF25" s="8" t="s">
        <v>65</v>
      </c>
      <c r="AG25" s="8" t="s">
        <v>66</v>
      </c>
      <c r="AH25" s="8" t="s">
        <v>67</v>
      </c>
      <c r="AI25" s="8" t="s">
        <v>68</v>
      </c>
      <c r="AJ25" s="8" t="s">
        <v>69</v>
      </c>
      <c r="AK25" s="8" t="s">
        <v>70</v>
      </c>
      <c r="AL25" s="8" t="s">
        <v>71</v>
      </c>
      <c r="AM25" s="8" t="s">
        <v>72</v>
      </c>
      <c r="AN25" s="8" t="s">
        <v>73</v>
      </c>
      <c r="AO25" s="2" t="s">
        <v>74</v>
      </c>
      <c r="AP25" s="15" t="s">
        <v>75</v>
      </c>
      <c r="AQ25" s="14" t="s">
        <v>76</v>
      </c>
    </row>
    <row r="26" spans="1:54" x14ac:dyDescent="0.15">
      <c r="A26">
        <v>1</v>
      </c>
      <c r="B26" t="s">
        <v>375</v>
      </c>
      <c r="C26" t="s">
        <v>350</v>
      </c>
      <c r="E26" t="s">
        <v>350</v>
      </c>
      <c r="F26">
        <v>2023</v>
      </c>
      <c r="G26">
        <v>1</v>
      </c>
      <c r="H26" t="s">
        <v>351</v>
      </c>
      <c r="I26">
        <v>3282</v>
      </c>
      <c r="J26">
        <v>3385</v>
      </c>
      <c r="K26" s="1">
        <v>45116.823564814818</v>
      </c>
      <c r="L26" t="s">
        <v>376</v>
      </c>
      <c r="M26" t="s">
        <v>352</v>
      </c>
      <c r="P26" t="s">
        <v>353</v>
      </c>
      <c r="Q26" t="s">
        <v>377</v>
      </c>
      <c r="R26" t="s">
        <v>352</v>
      </c>
      <c r="S26" t="s">
        <v>354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>
        <v>23</v>
      </c>
      <c r="Z26" t="s">
        <v>359</v>
      </c>
      <c r="AA26">
        <v>3</v>
      </c>
      <c r="AB26" s="2">
        <v>3</v>
      </c>
      <c r="AC26">
        <v>3</v>
      </c>
      <c r="AD26">
        <v>3</v>
      </c>
      <c r="AE26" s="2">
        <v>4</v>
      </c>
      <c r="AF26">
        <v>0.75</v>
      </c>
      <c r="AG26">
        <v>2023</v>
      </c>
      <c r="AH26" t="s">
        <v>61</v>
      </c>
      <c r="AI26">
        <v>30</v>
      </c>
      <c r="AJ26">
        <v>355</v>
      </c>
      <c r="AK26" s="2">
        <v>10</v>
      </c>
      <c r="AL26">
        <v>100</v>
      </c>
      <c r="AM26">
        <v>10</v>
      </c>
      <c r="AN26">
        <v>48</v>
      </c>
      <c r="AO26">
        <v>7.5</v>
      </c>
      <c r="AP26">
        <v>10</v>
      </c>
      <c r="AQ26">
        <v>48</v>
      </c>
    </row>
    <row r="27" spans="1:54" x14ac:dyDescent="0.15">
      <c r="A27">
        <v>2</v>
      </c>
      <c r="B27" t="s">
        <v>375</v>
      </c>
      <c r="C27" t="s">
        <v>350</v>
      </c>
      <c r="E27" t="s">
        <v>350</v>
      </c>
      <c r="F27">
        <v>2023</v>
      </c>
      <c r="G27">
        <v>1</v>
      </c>
      <c r="H27" t="s">
        <v>351</v>
      </c>
      <c r="I27">
        <v>3282</v>
      </c>
      <c r="J27">
        <v>3385</v>
      </c>
      <c r="K27" s="1">
        <v>45116.823564814818</v>
      </c>
      <c r="L27" t="s">
        <v>376</v>
      </c>
      <c r="M27" t="s">
        <v>352</v>
      </c>
      <c r="P27" t="s">
        <v>353</v>
      </c>
      <c r="Q27" t="s">
        <v>377</v>
      </c>
      <c r="R27" t="s">
        <v>352</v>
      </c>
      <c r="S27" t="s">
        <v>354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>
        <v>24</v>
      </c>
      <c r="Z27" t="s">
        <v>378</v>
      </c>
      <c r="AA27">
        <v>3</v>
      </c>
      <c r="AB27">
        <v>3</v>
      </c>
      <c r="AC27">
        <v>3</v>
      </c>
      <c r="AD27">
        <v>3</v>
      </c>
      <c r="AE27">
        <v>4</v>
      </c>
      <c r="AF27">
        <v>0.75</v>
      </c>
      <c r="AG27">
        <v>2023</v>
      </c>
      <c r="AH27" t="s">
        <v>61</v>
      </c>
      <c r="AI27">
        <v>30</v>
      </c>
      <c r="AJ27">
        <v>355</v>
      </c>
      <c r="AK27">
        <v>10</v>
      </c>
      <c r="AL27">
        <v>100</v>
      </c>
      <c r="AM27">
        <v>10</v>
      </c>
      <c r="AN27">
        <v>48</v>
      </c>
      <c r="AO27">
        <v>7.5</v>
      </c>
      <c r="AP27">
        <v>10</v>
      </c>
      <c r="AQ27">
        <v>48</v>
      </c>
      <c r="AT27" s="15" t="s">
        <v>75</v>
      </c>
      <c r="AU27" t="s">
        <v>275</v>
      </c>
    </row>
    <row r="28" spans="1:54" x14ac:dyDescent="0.15">
      <c r="A28">
        <v>3</v>
      </c>
      <c r="B28" t="s">
        <v>375</v>
      </c>
      <c r="C28" t="s">
        <v>350</v>
      </c>
      <c r="E28" t="s">
        <v>350</v>
      </c>
      <c r="F28">
        <v>2023</v>
      </c>
      <c r="G28">
        <v>1</v>
      </c>
      <c r="H28" t="s">
        <v>351</v>
      </c>
      <c r="I28">
        <v>3282</v>
      </c>
      <c r="J28">
        <v>3385</v>
      </c>
      <c r="K28" s="1">
        <v>45116.823564814818</v>
      </c>
      <c r="L28" t="s">
        <v>376</v>
      </c>
      <c r="M28" t="s">
        <v>352</v>
      </c>
      <c r="P28" t="s">
        <v>353</v>
      </c>
      <c r="Q28" t="s">
        <v>377</v>
      </c>
      <c r="R28" t="s">
        <v>352</v>
      </c>
      <c r="S28" t="s">
        <v>354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>
        <v>25</v>
      </c>
      <c r="Z28" t="s">
        <v>379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1</v>
      </c>
      <c r="AG28">
        <v>2023</v>
      </c>
      <c r="AH28" t="s">
        <v>61</v>
      </c>
      <c r="AI28">
        <v>30</v>
      </c>
      <c r="AJ28">
        <v>355</v>
      </c>
      <c r="AK28">
        <v>10</v>
      </c>
      <c r="AL28">
        <v>100</v>
      </c>
      <c r="AM28">
        <v>10</v>
      </c>
      <c r="AN28">
        <v>48</v>
      </c>
      <c r="AO28">
        <v>10</v>
      </c>
      <c r="AP28">
        <v>10</v>
      </c>
      <c r="AQ28">
        <v>48</v>
      </c>
    </row>
    <row r="29" spans="1:54" hidden="1" x14ac:dyDescent="0.15">
      <c r="A29">
        <v>4</v>
      </c>
      <c r="B29" t="s">
        <v>375</v>
      </c>
      <c r="C29" t="s">
        <v>350</v>
      </c>
      <c r="E29" t="s">
        <v>350</v>
      </c>
      <c r="F29">
        <v>2023</v>
      </c>
      <c r="G29">
        <v>1</v>
      </c>
      <c r="H29" t="s">
        <v>351</v>
      </c>
      <c r="I29">
        <v>3282</v>
      </c>
      <c r="J29">
        <v>3385</v>
      </c>
      <c r="K29" s="1">
        <v>45116.823564814818</v>
      </c>
      <c r="L29" t="s">
        <v>376</v>
      </c>
      <c r="M29" t="s">
        <v>352</v>
      </c>
      <c r="P29" t="s">
        <v>353</v>
      </c>
      <c r="Q29" t="s">
        <v>377</v>
      </c>
      <c r="R29" t="s">
        <v>352</v>
      </c>
      <c r="S29" t="s">
        <v>354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>
        <v>47</v>
      </c>
      <c r="Z29" t="s">
        <v>355</v>
      </c>
      <c r="AA29" t="s">
        <v>31</v>
      </c>
      <c r="AB29" t="s">
        <v>31</v>
      </c>
      <c r="AC29" t="s">
        <v>31</v>
      </c>
      <c r="AD29" t="s">
        <v>31</v>
      </c>
      <c r="AE29">
        <v>4</v>
      </c>
      <c r="AF29" t="s">
        <v>31</v>
      </c>
      <c r="AG29">
        <v>2023</v>
      </c>
      <c r="AH29" t="s">
        <v>63</v>
      </c>
      <c r="AI29">
        <v>20</v>
      </c>
      <c r="AJ29">
        <v>355</v>
      </c>
      <c r="AK29">
        <v>3.3332999999999999</v>
      </c>
      <c r="AL29">
        <v>100</v>
      </c>
      <c r="AM29" t="s">
        <v>31</v>
      </c>
      <c r="AN29" t="s">
        <v>31</v>
      </c>
      <c r="AO29" t="s">
        <v>31</v>
      </c>
      <c r="AP29" t="s">
        <v>31</v>
      </c>
      <c r="AQ29" t="s">
        <v>31</v>
      </c>
    </row>
    <row r="30" spans="1:54" hidden="1" x14ac:dyDescent="0.15">
      <c r="A30">
        <v>5</v>
      </c>
      <c r="B30" t="s">
        <v>375</v>
      </c>
      <c r="C30" t="s">
        <v>350</v>
      </c>
      <c r="E30" t="s">
        <v>350</v>
      </c>
      <c r="F30">
        <v>2023</v>
      </c>
      <c r="G30">
        <v>1</v>
      </c>
      <c r="H30" t="s">
        <v>351</v>
      </c>
      <c r="I30">
        <v>3282</v>
      </c>
      <c r="J30">
        <v>3385</v>
      </c>
      <c r="K30" s="1">
        <v>45116.823564814818</v>
      </c>
      <c r="L30" t="s">
        <v>376</v>
      </c>
      <c r="M30" t="s">
        <v>352</v>
      </c>
      <c r="P30" t="s">
        <v>353</v>
      </c>
      <c r="Q30" t="s">
        <v>377</v>
      </c>
      <c r="R30" t="s">
        <v>352</v>
      </c>
      <c r="S30" t="s">
        <v>354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>
        <v>27</v>
      </c>
      <c r="Z30" t="s">
        <v>380</v>
      </c>
      <c r="AA30" t="s">
        <v>31</v>
      </c>
      <c r="AB30" t="s">
        <v>31</v>
      </c>
      <c r="AC30" t="s">
        <v>31</v>
      </c>
      <c r="AD30" t="s">
        <v>31</v>
      </c>
      <c r="AE30">
        <v>4</v>
      </c>
      <c r="AF30" t="s">
        <v>31</v>
      </c>
      <c r="AG30">
        <v>2023</v>
      </c>
      <c r="AH30" t="s">
        <v>63</v>
      </c>
      <c r="AI30">
        <v>20</v>
      </c>
      <c r="AJ30">
        <v>355</v>
      </c>
      <c r="AK30">
        <v>3.3332999999999999</v>
      </c>
      <c r="AL30">
        <v>100</v>
      </c>
      <c r="AM30" t="s">
        <v>31</v>
      </c>
      <c r="AN30" t="s">
        <v>31</v>
      </c>
      <c r="AO30" t="s">
        <v>31</v>
      </c>
      <c r="AP30" t="s">
        <v>31</v>
      </c>
      <c r="AQ30" t="s">
        <v>31</v>
      </c>
    </row>
    <row r="31" spans="1:54" hidden="1" x14ac:dyDescent="0.15">
      <c r="A31">
        <v>6</v>
      </c>
      <c r="B31" t="s">
        <v>375</v>
      </c>
      <c r="C31" t="s">
        <v>350</v>
      </c>
      <c r="E31" t="s">
        <v>350</v>
      </c>
      <c r="F31">
        <v>2023</v>
      </c>
      <c r="G31">
        <v>1</v>
      </c>
      <c r="H31" t="s">
        <v>351</v>
      </c>
      <c r="I31">
        <v>3282</v>
      </c>
      <c r="J31">
        <v>3385</v>
      </c>
      <c r="K31" s="1">
        <v>45116.823564814818</v>
      </c>
      <c r="L31" t="s">
        <v>376</v>
      </c>
      <c r="M31" t="s">
        <v>352</v>
      </c>
      <c r="P31" t="s">
        <v>353</v>
      </c>
      <c r="Q31" t="s">
        <v>377</v>
      </c>
      <c r="R31" t="s">
        <v>352</v>
      </c>
      <c r="S31" t="s">
        <v>354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28</v>
      </c>
      <c r="Z31" t="s">
        <v>381</v>
      </c>
      <c r="AA31" t="s">
        <v>31</v>
      </c>
      <c r="AB31" t="s">
        <v>31</v>
      </c>
      <c r="AC31" t="s">
        <v>31</v>
      </c>
      <c r="AD31" t="s">
        <v>31</v>
      </c>
      <c r="AE31">
        <v>4</v>
      </c>
      <c r="AF31" t="s">
        <v>31</v>
      </c>
      <c r="AG31">
        <v>2023</v>
      </c>
      <c r="AH31" t="s">
        <v>63</v>
      </c>
      <c r="AI31">
        <v>20</v>
      </c>
      <c r="AJ31">
        <v>355</v>
      </c>
      <c r="AK31">
        <v>3.3332999999999999</v>
      </c>
      <c r="AL31">
        <v>100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</row>
    <row r="32" spans="1:54" hidden="1" x14ac:dyDescent="0.15">
      <c r="A32">
        <v>7</v>
      </c>
      <c r="B32" t="s">
        <v>375</v>
      </c>
      <c r="C32" t="s">
        <v>350</v>
      </c>
      <c r="E32" t="s">
        <v>350</v>
      </c>
      <c r="F32">
        <v>2023</v>
      </c>
      <c r="G32">
        <v>1</v>
      </c>
      <c r="H32" t="s">
        <v>351</v>
      </c>
      <c r="I32">
        <v>3282</v>
      </c>
      <c r="J32">
        <v>3385</v>
      </c>
      <c r="K32" s="1">
        <v>45116.823564814818</v>
      </c>
      <c r="L32" t="s">
        <v>376</v>
      </c>
      <c r="M32" t="s">
        <v>352</v>
      </c>
      <c r="P32" t="s">
        <v>353</v>
      </c>
      <c r="Q32" t="s">
        <v>377</v>
      </c>
      <c r="R32" t="s">
        <v>352</v>
      </c>
      <c r="S32" t="s">
        <v>354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29</v>
      </c>
      <c r="Z32" t="s">
        <v>382</v>
      </c>
      <c r="AA32" t="s">
        <v>31</v>
      </c>
      <c r="AB32" t="s">
        <v>31</v>
      </c>
      <c r="AC32" t="s">
        <v>31</v>
      </c>
      <c r="AD32" t="s">
        <v>31</v>
      </c>
      <c r="AE32">
        <v>4</v>
      </c>
      <c r="AF32" t="s">
        <v>31</v>
      </c>
      <c r="AG32">
        <v>2023</v>
      </c>
      <c r="AH32" t="s">
        <v>63</v>
      </c>
      <c r="AI32">
        <v>20</v>
      </c>
      <c r="AJ32">
        <v>355</v>
      </c>
      <c r="AK32">
        <v>3.3332999999999999</v>
      </c>
      <c r="AL32">
        <v>100</v>
      </c>
      <c r="AM32" t="s">
        <v>31</v>
      </c>
      <c r="AN32" t="s">
        <v>31</v>
      </c>
      <c r="AO32" t="s">
        <v>31</v>
      </c>
      <c r="AP32" t="s">
        <v>31</v>
      </c>
      <c r="AQ32" t="s">
        <v>31</v>
      </c>
      <c r="AT32" s="14" t="s">
        <v>76</v>
      </c>
      <c r="AU32" t="s">
        <v>272</v>
      </c>
    </row>
    <row r="33" spans="1:47" hidden="1" x14ac:dyDescent="0.15">
      <c r="A33">
        <v>8</v>
      </c>
      <c r="B33" t="s">
        <v>375</v>
      </c>
      <c r="C33" t="s">
        <v>350</v>
      </c>
      <c r="E33" t="s">
        <v>350</v>
      </c>
      <c r="F33">
        <v>2023</v>
      </c>
      <c r="G33">
        <v>1</v>
      </c>
      <c r="H33" t="s">
        <v>351</v>
      </c>
      <c r="I33">
        <v>3282</v>
      </c>
      <c r="J33">
        <v>3385</v>
      </c>
      <c r="K33" s="1">
        <v>45116.823564814818</v>
      </c>
      <c r="L33" t="s">
        <v>376</v>
      </c>
      <c r="M33" t="s">
        <v>352</v>
      </c>
      <c r="P33" t="s">
        <v>353</v>
      </c>
      <c r="Q33" t="s">
        <v>377</v>
      </c>
      <c r="R33" t="s">
        <v>352</v>
      </c>
      <c r="S33" t="s">
        <v>354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30</v>
      </c>
      <c r="Z33" t="s">
        <v>393</v>
      </c>
      <c r="AA33" t="s">
        <v>31</v>
      </c>
      <c r="AB33" t="s">
        <v>31</v>
      </c>
      <c r="AC33" t="s">
        <v>31</v>
      </c>
      <c r="AD33" t="s">
        <v>31</v>
      </c>
      <c r="AE33">
        <v>4</v>
      </c>
      <c r="AF33" t="s">
        <v>31</v>
      </c>
      <c r="AG33">
        <v>2023</v>
      </c>
      <c r="AH33" t="s">
        <v>63</v>
      </c>
      <c r="AI33">
        <v>20</v>
      </c>
      <c r="AJ33">
        <v>355</v>
      </c>
      <c r="AK33">
        <v>3.3332999999999999</v>
      </c>
      <c r="AL33">
        <v>100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  <c r="AU33" t="s">
        <v>273</v>
      </c>
    </row>
    <row r="34" spans="1:47" hidden="1" x14ac:dyDescent="0.15">
      <c r="A34">
        <v>9</v>
      </c>
      <c r="B34" t="s">
        <v>375</v>
      </c>
      <c r="C34" t="s">
        <v>350</v>
      </c>
      <c r="E34" t="s">
        <v>350</v>
      </c>
      <c r="F34">
        <v>2023</v>
      </c>
      <c r="G34">
        <v>1</v>
      </c>
      <c r="H34" t="s">
        <v>351</v>
      </c>
      <c r="I34">
        <v>3282</v>
      </c>
      <c r="J34">
        <v>3385</v>
      </c>
      <c r="K34" s="1">
        <v>45116.823564814818</v>
      </c>
      <c r="L34" t="s">
        <v>376</v>
      </c>
      <c r="M34" t="s">
        <v>352</v>
      </c>
      <c r="P34" t="s">
        <v>353</v>
      </c>
      <c r="Q34" t="s">
        <v>377</v>
      </c>
      <c r="R34" t="s">
        <v>352</v>
      </c>
      <c r="S34" t="s">
        <v>354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31</v>
      </c>
      <c r="Z34" t="s">
        <v>384</v>
      </c>
      <c r="AA34" t="s">
        <v>31</v>
      </c>
      <c r="AB34" t="s">
        <v>31</v>
      </c>
      <c r="AC34" t="s">
        <v>31</v>
      </c>
      <c r="AD34" t="s">
        <v>31</v>
      </c>
      <c r="AE34">
        <v>4</v>
      </c>
      <c r="AF34" t="s">
        <v>31</v>
      </c>
      <c r="AG34">
        <v>2023</v>
      </c>
      <c r="AH34" t="s">
        <v>63</v>
      </c>
      <c r="AI34">
        <v>20</v>
      </c>
      <c r="AJ34">
        <v>355</v>
      </c>
      <c r="AK34">
        <v>3.3332999999999999</v>
      </c>
      <c r="AL34">
        <v>100</v>
      </c>
      <c r="AM34" t="s">
        <v>31</v>
      </c>
      <c r="AN34" t="s">
        <v>31</v>
      </c>
      <c r="AO34" t="s">
        <v>31</v>
      </c>
      <c r="AP34" t="s">
        <v>31</v>
      </c>
      <c r="AQ34" t="s">
        <v>31</v>
      </c>
      <c r="AU34" t="s">
        <v>274</v>
      </c>
    </row>
    <row r="35" spans="1:47" hidden="1" x14ac:dyDescent="0.15">
      <c r="A35">
        <v>10</v>
      </c>
      <c r="B35" t="s">
        <v>375</v>
      </c>
      <c r="C35" t="s">
        <v>350</v>
      </c>
      <c r="E35" t="s">
        <v>350</v>
      </c>
      <c r="F35">
        <v>2023</v>
      </c>
      <c r="G35">
        <v>1</v>
      </c>
      <c r="H35" t="s">
        <v>351</v>
      </c>
      <c r="I35">
        <v>3282</v>
      </c>
      <c r="J35">
        <v>3385</v>
      </c>
      <c r="K35" s="1">
        <v>45116.823564814818</v>
      </c>
      <c r="L35" t="s">
        <v>376</v>
      </c>
      <c r="M35" t="s">
        <v>352</v>
      </c>
      <c r="P35" t="s">
        <v>353</v>
      </c>
      <c r="Q35" t="s">
        <v>377</v>
      </c>
      <c r="R35" t="s">
        <v>352</v>
      </c>
      <c r="S35" t="s">
        <v>354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>
        <v>32</v>
      </c>
      <c r="Z35" t="s">
        <v>385</v>
      </c>
      <c r="AA35" t="s">
        <v>31</v>
      </c>
      <c r="AB35" t="s">
        <v>31</v>
      </c>
      <c r="AC35" t="s">
        <v>31</v>
      </c>
      <c r="AD35" t="s">
        <v>31</v>
      </c>
      <c r="AE35">
        <v>4</v>
      </c>
      <c r="AF35" t="s">
        <v>31</v>
      </c>
      <c r="AG35">
        <v>2023</v>
      </c>
      <c r="AH35" t="s">
        <v>62</v>
      </c>
      <c r="AI35">
        <v>20</v>
      </c>
      <c r="AJ35">
        <v>355</v>
      </c>
      <c r="AK35">
        <v>10</v>
      </c>
      <c r="AL35">
        <v>100</v>
      </c>
      <c r="AM35" t="s">
        <v>31</v>
      </c>
      <c r="AN35" t="s">
        <v>31</v>
      </c>
      <c r="AO35" t="s">
        <v>31</v>
      </c>
      <c r="AP35" t="s">
        <v>31</v>
      </c>
      <c r="AQ35" t="s">
        <v>31</v>
      </c>
    </row>
    <row r="36" spans="1:47" hidden="1" x14ac:dyDescent="0.15">
      <c r="A36">
        <v>11</v>
      </c>
      <c r="B36" t="s">
        <v>375</v>
      </c>
      <c r="C36" t="s">
        <v>350</v>
      </c>
      <c r="E36" t="s">
        <v>350</v>
      </c>
      <c r="F36">
        <v>2023</v>
      </c>
      <c r="G36">
        <v>1</v>
      </c>
      <c r="H36" t="s">
        <v>351</v>
      </c>
      <c r="I36">
        <v>3282</v>
      </c>
      <c r="J36">
        <v>3385</v>
      </c>
      <c r="K36" s="1">
        <v>45116.823564814818</v>
      </c>
      <c r="L36" t="s">
        <v>376</v>
      </c>
      <c r="M36" t="s">
        <v>352</v>
      </c>
      <c r="P36" t="s">
        <v>353</v>
      </c>
      <c r="Q36" t="s">
        <v>377</v>
      </c>
      <c r="R36" t="s">
        <v>352</v>
      </c>
      <c r="S36" t="s">
        <v>354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33</v>
      </c>
      <c r="Z36" t="s">
        <v>357</v>
      </c>
      <c r="AA36" t="s">
        <v>31</v>
      </c>
      <c r="AB36" t="s">
        <v>31</v>
      </c>
      <c r="AC36" t="s">
        <v>31</v>
      </c>
      <c r="AD36" t="s">
        <v>31</v>
      </c>
      <c r="AE36">
        <v>4</v>
      </c>
      <c r="AF36" t="s">
        <v>31</v>
      </c>
      <c r="AG36">
        <v>2023</v>
      </c>
      <c r="AH36" t="s">
        <v>62</v>
      </c>
      <c r="AI36">
        <v>20</v>
      </c>
      <c r="AJ36">
        <v>355</v>
      </c>
      <c r="AK36">
        <v>10</v>
      </c>
      <c r="AL36">
        <v>100</v>
      </c>
      <c r="AM36" t="s">
        <v>31</v>
      </c>
      <c r="AN36" t="s">
        <v>31</v>
      </c>
      <c r="AO36" t="s">
        <v>31</v>
      </c>
      <c r="AP36" t="s">
        <v>31</v>
      </c>
      <c r="AQ36" t="s">
        <v>31</v>
      </c>
    </row>
    <row r="37" spans="1:47" x14ac:dyDescent="0.15">
      <c r="A37">
        <v>12</v>
      </c>
      <c r="B37" t="s">
        <v>375</v>
      </c>
      <c r="C37" t="s">
        <v>350</v>
      </c>
      <c r="E37" t="s">
        <v>350</v>
      </c>
      <c r="F37">
        <v>2023</v>
      </c>
      <c r="G37">
        <v>1</v>
      </c>
      <c r="H37" t="s">
        <v>351</v>
      </c>
      <c r="I37">
        <v>3282</v>
      </c>
      <c r="J37">
        <v>3385</v>
      </c>
      <c r="K37" s="1">
        <v>45116.823564814818</v>
      </c>
      <c r="L37" t="s">
        <v>376</v>
      </c>
      <c r="M37" t="s">
        <v>352</v>
      </c>
      <c r="P37" t="s">
        <v>353</v>
      </c>
      <c r="Q37" t="s">
        <v>377</v>
      </c>
      <c r="R37" t="s">
        <v>352</v>
      </c>
      <c r="S37" t="s">
        <v>354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34</v>
      </c>
      <c r="Z37" t="s">
        <v>358</v>
      </c>
      <c r="AA37">
        <v>3</v>
      </c>
      <c r="AB37">
        <v>3</v>
      </c>
      <c r="AC37">
        <v>3</v>
      </c>
      <c r="AD37">
        <v>3</v>
      </c>
      <c r="AE37">
        <v>4</v>
      </c>
      <c r="AF37">
        <v>0.75</v>
      </c>
      <c r="AG37">
        <v>2023</v>
      </c>
      <c r="AH37" t="s">
        <v>64</v>
      </c>
      <c r="AI37">
        <v>15</v>
      </c>
      <c r="AJ37">
        <v>355</v>
      </c>
      <c r="AK37">
        <v>1.5</v>
      </c>
      <c r="AL37">
        <v>100</v>
      </c>
      <c r="AM37">
        <v>1.5</v>
      </c>
      <c r="AN37">
        <v>48</v>
      </c>
      <c r="AO37">
        <v>1.125</v>
      </c>
      <c r="AP37">
        <v>1.5</v>
      </c>
      <c r="AQ37">
        <v>48</v>
      </c>
    </row>
    <row r="38" spans="1:47" x14ac:dyDescent="0.15">
      <c r="A38">
        <v>13</v>
      </c>
      <c r="B38" t="s">
        <v>375</v>
      </c>
      <c r="C38" t="s">
        <v>350</v>
      </c>
      <c r="E38" t="s">
        <v>350</v>
      </c>
      <c r="F38">
        <v>2023</v>
      </c>
      <c r="G38">
        <v>1</v>
      </c>
      <c r="H38" t="s">
        <v>351</v>
      </c>
      <c r="I38">
        <v>3282</v>
      </c>
      <c r="J38">
        <v>3385</v>
      </c>
      <c r="K38" s="1">
        <v>45116.823564814818</v>
      </c>
      <c r="L38" t="s">
        <v>376</v>
      </c>
      <c r="M38" t="s">
        <v>352</v>
      </c>
      <c r="P38" t="s">
        <v>353</v>
      </c>
      <c r="Q38" t="s">
        <v>377</v>
      </c>
      <c r="R38" t="s">
        <v>352</v>
      </c>
      <c r="S38" t="s">
        <v>354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>
        <v>35</v>
      </c>
      <c r="Z38" t="s">
        <v>356</v>
      </c>
      <c r="AA38">
        <v>3</v>
      </c>
      <c r="AB38">
        <v>3</v>
      </c>
      <c r="AC38">
        <v>3</v>
      </c>
      <c r="AD38">
        <v>3</v>
      </c>
      <c r="AE38">
        <v>4</v>
      </c>
      <c r="AF38">
        <v>0.75</v>
      </c>
      <c r="AG38">
        <v>2023</v>
      </c>
      <c r="AH38" t="s">
        <v>64</v>
      </c>
      <c r="AI38">
        <v>15</v>
      </c>
      <c r="AJ38">
        <v>355</v>
      </c>
      <c r="AK38">
        <v>1.5</v>
      </c>
      <c r="AL38">
        <v>100</v>
      </c>
      <c r="AM38">
        <v>1.5</v>
      </c>
      <c r="AN38">
        <v>48</v>
      </c>
      <c r="AO38">
        <v>1.125</v>
      </c>
      <c r="AP38">
        <v>1.5</v>
      </c>
      <c r="AQ38">
        <v>48</v>
      </c>
    </row>
    <row r="39" spans="1:47" hidden="1" x14ac:dyDescent="0.15">
      <c r="A39">
        <v>14</v>
      </c>
      <c r="B39" t="s">
        <v>375</v>
      </c>
      <c r="C39" t="s">
        <v>350</v>
      </c>
      <c r="E39" t="s">
        <v>350</v>
      </c>
      <c r="F39">
        <v>2023</v>
      </c>
      <c r="G39">
        <v>1</v>
      </c>
      <c r="H39" t="s">
        <v>351</v>
      </c>
      <c r="I39">
        <v>3282</v>
      </c>
      <c r="J39">
        <v>3385</v>
      </c>
      <c r="K39" s="1">
        <v>45116.823564814818</v>
      </c>
      <c r="L39" t="s">
        <v>376</v>
      </c>
      <c r="M39" t="s">
        <v>352</v>
      </c>
      <c r="P39" t="s">
        <v>353</v>
      </c>
      <c r="Q39" t="s">
        <v>377</v>
      </c>
      <c r="R39" t="s">
        <v>352</v>
      </c>
      <c r="S39" t="s">
        <v>354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>
        <v>36</v>
      </c>
      <c r="Z39" t="s">
        <v>386</v>
      </c>
      <c r="AA39" t="s">
        <v>31</v>
      </c>
      <c r="AB39" t="s">
        <v>31</v>
      </c>
      <c r="AC39" t="s">
        <v>31</v>
      </c>
      <c r="AD39" t="s">
        <v>31</v>
      </c>
      <c r="AE39">
        <v>4</v>
      </c>
      <c r="AF39" t="s">
        <v>31</v>
      </c>
      <c r="AG39">
        <v>2023</v>
      </c>
      <c r="AH39" t="s">
        <v>64</v>
      </c>
      <c r="AI39">
        <v>15</v>
      </c>
      <c r="AJ39">
        <v>355</v>
      </c>
      <c r="AK39">
        <v>1.5</v>
      </c>
      <c r="AL39">
        <v>100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</row>
    <row r="40" spans="1:47" hidden="1" x14ac:dyDescent="0.15">
      <c r="A40">
        <v>15</v>
      </c>
      <c r="B40" t="s">
        <v>375</v>
      </c>
      <c r="C40" t="s">
        <v>350</v>
      </c>
      <c r="E40" t="s">
        <v>350</v>
      </c>
      <c r="F40">
        <v>2023</v>
      </c>
      <c r="G40">
        <v>1</v>
      </c>
      <c r="H40" t="s">
        <v>351</v>
      </c>
      <c r="I40">
        <v>3282</v>
      </c>
      <c r="J40">
        <v>3385</v>
      </c>
      <c r="K40" s="1">
        <v>45116.823564814818</v>
      </c>
      <c r="L40" t="s">
        <v>376</v>
      </c>
      <c r="M40" t="s">
        <v>352</v>
      </c>
      <c r="P40" t="s">
        <v>353</v>
      </c>
      <c r="Q40" t="s">
        <v>377</v>
      </c>
      <c r="R40" t="s">
        <v>352</v>
      </c>
      <c r="S40" t="s">
        <v>354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>
        <v>37</v>
      </c>
      <c r="Z40" t="s">
        <v>387</v>
      </c>
      <c r="AA40" t="s">
        <v>31</v>
      </c>
      <c r="AB40" t="s">
        <v>31</v>
      </c>
      <c r="AC40" t="s">
        <v>31</v>
      </c>
      <c r="AD40" t="s">
        <v>31</v>
      </c>
      <c r="AE40">
        <v>4</v>
      </c>
      <c r="AF40" t="s">
        <v>31</v>
      </c>
      <c r="AG40">
        <v>2023</v>
      </c>
      <c r="AH40" t="s">
        <v>64</v>
      </c>
      <c r="AI40">
        <v>15</v>
      </c>
      <c r="AJ40">
        <v>355</v>
      </c>
      <c r="AK40">
        <v>1.5</v>
      </c>
      <c r="AL40">
        <v>100</v>
      </c>
      <c r="AM40" t="s">
        <v>31</v>
      </c>
      <c r="AN40" t="s">
        <v>31</v>
      </c>
      <c r="AO40" t="s">
        <v>31</v>
      </c>
      <c r="AP40" t="s">
        <v>31</v>
      </c>
      <c r="AQ40" t="s">
        <v>31</v>
      </c>
    </row>
    <row r="41" spans="1:47" hidden="1" x14ac:dyDescent="0.15">
      <c r="A41">
        <v>16</v>
      </c>
      <c r="B41" t="s">
        <v>375</v>
      </c>
      <c r="C41" t="s">
        <v>350</v>
      </c>
      <c r="E41" t="s">
        <v>350</v>
      </c>
      <c r="F41">
        <v>2023</v>
      </c>
      <c r="G41">
        <v>1</v>
      </c>
      <c r="H41" t="s">
        <v>351</v>
      </c>
      <c r="I41">
        <v>3282</v>
      </c>
      <c r="J41">
        <v>3385</v>
      </c>
      <c r="K41" s="1">
        <v>45116.823564814818</v>
      </c>
      <c r="L41" t="s">
        <v>376</v>
      </c>
      <c r="M41" t="s">
        <v>352</v>
      </c>
      <c r="P41" t="s">
        <v>353</v>
      </c>
      <c r="Q41" t="s">
        <v>377</v>
      </c>
      <c r="R41" t="s">
        <v>352</v>
      </c>
      <c r="S41" t="s">
        <v>354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>
        <v>38</v>
      </c>
      <c r="Z41" t="s">
        <v>388</v>
      </c>
      <c r="AA41" t="s">
        <v>31</v>
      </c>
      <c r="AB41" t="s">
        <v>31</v>
      </c>
      <c r="AC41" t="s">
        <v>31</v>
      </c>
      <c r="AD41" t="s">
        <v>31</v>
      </c>
      <c r="AE41">
        <v>4</v>
      </c>
      <c r="AF41" t="s">
        <v>31</v>
      </c>
      <c r="AG41">
        <v>2023</v>
      </c>
      <c r="AH41" t="s">
        <v>64</v>
      </c>
      <c r="AI41">
        <v>15</v>
      </c>
      <c r="AJ41">
        <v>355</v>
      </c>
      <c r="AK41">
        <v>1.5</v>
      </c>
      <c r="AL41">
        <v>100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</row>
    <row r="42" spans="1:47" hidden="1" x14ac:dyDescent="0.15">
      <c r="A42">
        <v>17</v>
      </c>
      <c r="B42" t="s">
        <v>375</v>
      </c>
      <c r="C42" t="s">
        <v>350</v>
      </c>
      <c r="E42" t="s">
        <v>350</v>
      </c>
      <c r="F42">
        <v>2023</v>
      </c>
      <c r="G42">
        <v>1</v>
      </c>
      <c r="H42" t="s">
        <v>351</v>
      </c>
      <c r="I42">
        <v>3282</v>
      </c>
      <c r="J42">
        <v>3385</v>
      </c>
      <c r="K42" s="1">
        <v>45116.823564814818</v>
      </c>
      <c r="L42" t="s">
        <v>376</v>
      </c>
      <c r="M42" t="s">
        <v>352</v>
      </c>
      <c r="P42" t="s">
        <v>353</v>
      </c>
      <c r="Q42" t="s">
        <v>377</v>
      </c>
      <c r="R42" t="s">
        <v>352</v>
      </c>
      <c r="S42" t="s">
        <v>354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>
        <v>39</v>
      </c>
      <c r="Z42" t="s">
        <v>389</v>
      </c>
      <c r="AA42" t="s">
        <v>31</v>
      </c>
      <c r="AB42" t="s">
        <v>31</v>
      </c>
      <c r="AC42" t="s">
        <v>31</v>
      </c>
      <c r="AD42" t="s">
        <v>31</v>
      </c>
      <c r="AE42">
        <v>4</v>
      </c>
      <c r="AF42" t="s">
        <v>31</v>
      </c>
      <c r="AG42">
        <v>2023</v>
      </c>
      <c r="AH42" t="s">
        <v>64</v>
      </c>
      <c r="AI42">
        <v>15</v>
      </c>
      <c r="AJ42">
        <v>355</v>
      </c>
      <c r="AK42">
        <v>1.5</v>
      </c>
      <c r="AL42">
        <v>100</v>
      </c>
      <c r="AM42" t="s">
        <v>31</v>
      </c>
      <c r="AN42" t="s">
        <v>31</v>
      </c>
      <c r="AO42" t="s">
        <v>31</v>
      </c>
      <c r="AP42" t="s">
        <v>31</v>
      </c>
      <c r="AQ42" t="s">
        <v>31</v>
      </c>
    </row>
    <row r="43" spans="1:47" x14ac:dyDescent="0.15">
      <c r="A43">
        <v>18</v>
      </c>
      <c r="B43" t="s">
        <v>375</v>
      </c>
      <c r="C43" t="s">
        <v>350</v>
      </c>
      <c r="E43" t="s">
        <v>350</v>
      </c>
      <c r="F43">
        <v>2023</v>
      </c>
      <c r="G43">
        <v>1</v>
      </c>
      <c r="H43" t="s">
        <v>351</v>
      </c>
      <c r="I43">
        <v>3282</v>
      </c>
      <c r="J43">
        <v>3385</v>
      </c>
      <c r="K43" s="1">
        <v>45116.823564814818</v>
      </c>
      <c r="L43" t="s">
        <v>376</v>
      </c>
      <c r="M43" t="s">
        <v>352</v>
      </c>
      <c r="P43" t="s">
        <v>353</v>
      </c>
      <c r="Q43" t="s">
        <v>377</v>
      </c>
      <c r="R43" t="s">
        <v>352</v>
      </c>
      <c r="S43" t="s">
        <v>354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>
        <v>40</v>
      </c>
      <c r="Z43" t="s">
        <v>390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1</v>
      </c>
      <c r="AG43">
        <v>2023</v>
      </c>
      <c r="AH43" t="s">
        <v>392</v>
      </c>
      <c r="AI43">
        <v>15</v>
      </c>
      <c r="AJ43">
        <v>355</v>
      </c>
      <c r="AK43">
        <v>15</v>
      </c>
      <c r="AL43">
        <v>100</v>
      </c>
      <c r="AM43">
        <v>15</v>
      </c>
      <c r="AN43">
        <v>48</v>
      </c>
      <c r="AO43">
        <v>15</v>
      </c>
      <c r="AP43">
        <v>15</v>
      </c>
      <c r="AQ43">
        <v>48</v>
      </c>
    </row>
    <row r="44" spans="1:47" hidden="1" x14ac:dyDescent="0.15">
      <c r="A44">
        <v>19</v>
      </c>
      <c r="B44" t="s">
        <v>375</v>
      </c>
      <c r="C44" t="s">
        <v>350</v>
      </c>
      <c r="E44" t="s">
        <v>350</v>
      </c>
      <c r="F44">
        <v>2023</v>
      </c>
      <c r="G44">
        <v>1</v>
      </c>
      <c r="H44" t="s">
        <v>351</v>
      </c>
      <c r="I44">
        <v>3282</v>
      </c>
      <c r="J44">
        <v>3385</v>
      </c>
      <c r="K44" s="1">
        <v>45116.823564814818</v>
      </c>
      <c r="L44" t="s">
        <v>376</v>
      </c>
      <c r="M44" t="s">
        <v>352</v>
      </c>
      <c r="P44" t="s">
        <v>353</v>
      </c>
      <c r="Q44" t="s">
        <v>377</v>
      </c>
      <c r="R44" t="s">
        <v>352</v>
      </c>
      <c r="S44" t="s">
        <v>354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>
        <v>26</v>
      </c>
      <c r="Z44" t="s">
        <v>31</v>
      </c>
      <c r="AA44" t="s">
        <v>31</v>
      </c>
      <c r="AB44" t="s">
        <v>31</v>
      </c>
      <c r="AC44" t="s">
        <v>31</v>
      </c>
      <c r="AD44" t="s">
        <v>31</v>
      </c>
      <c r="AE44" t="s">
        <v>31</v>
      </c>
      <c r="AF44" t="s">
        <v>31</v>
      </c>
      <c r="AG44" t="s">
        <v>31</v>
      </c>
      <c r="AH44" t="s">
        <v>31</v>
      </c>
      <c r="AI44" t="s">
        <v>31</v>
      </c>
      <c r="AJ44">
        <v>355</v>
      </c>
      <c r="AK44" t="s">
        <v>31</v>
      </c>
      <c r="AL44">
        <v>100</v>
      </c>
      <c r="AM44" t="s">
        <v>31</v>
      </c>
      <c r="AN44" t="s">
        <v>31</v>
      </c>
      <c r="AO44" t="s">
        <v>31</v>
      </c>
      <c r="AP44" t="s">
        <v>31</v>
      </c>
      <c r="AQ44" t="s">
        <v>31</v>
      </c>
    </row>
    <row r="45" spans="1:47" x14ac:dyDescent="0.15">
      <c r="K45" s="1"/>
    </row>
    <row r="46" spans="1:47" x14ac:dyDescent="0.15">
      <c r="K46" s="1"/>
    </row>
    <row r="47" spans="1:47" x14ac:dyDescent="0.15">
      <c r="K47" s="1"/>
      <c r="AO47" s="7" t="s">
        <v>267</v>
      </c>
      <c r="AP47" s="7" t="s">
        <v>276</v>
      </c>
    </row>
    <row r="48" spans="1:47" x14ac:dyDescent="0.15">
      <c r="K48" s="1"/>
      <c r="AO48" s="7" t="s">
        <v>270</v>
      </c>
      <c r="AT48" s="4" t="s">
        <v>55</v>
      </c>
      <c r="AU48" t="s">
        <v>159</v>
      </c>
    </row>
    <row r="49" spans="1:47" x14ac:dyDescent="0.15">
      <c r="AU49" t="s">
        <v>192</v>
      </c>
    </row>
    <row r="50" spans="1:47" x14ac:dyDescent="0.15">
      <c r="A50" s="2" t="s">
        <v>40</v>
      </c>
      <c r="B50" t="s">
        <v>2</v>
      </c>
      <c r="C50" t="s">
        <v>0</v>
      </c>
      <c r="D50" t="s">
        <v>1</v>
      </c>
      <c r="E50" t="s">
        <v>41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14</v>
      </c>
      <c r="R50" t="s">
        <v>15</v>
      </c>
      <c r="S50" t="s">
        <v>16</v>
      </c>
      <c r="T50" t="s">
        <v>17</v>
      </c>
      <c r="U50" t="s">
        <v>18</v>
      </c>
      <c r="V50" t="s">
        <v>19</v>
      </c>
      <c r="W50" t="s">
        <v>20</v>
      </c>
      <c r="X50" t="s">
        <v>21</v>
      </c>
      <c r="Y50" t="s">
        <v>22</v>
      </c>
      <c r="Z50" t="s">
        <v>23</v>
      </c>
      <c r="AA50" s="8" t="s">
        <v>24</v>
      </c>
      <c r="AB50" s="8" t="s">
        <v>25</v>
      </c>
      <c r="AC50" s="8" t="s">
        <v>42</v>
      </c>
      <c r="AD50" s="8" t="s">
        <v>43</v>
      </c>
      <c r="AE50" s="8" t="s">
        <v>44</v>
      </c>
      <c r="AF50" s="8" t="s">
        <v>65</v>
      </c>
      <c r="AG50" s="8" t="s">
        <v>66</v>
      </c>
      <c r="AH50" s="8" t="s">
        <v>67</v>
      </c>
      <c r="AI50" s="8" t="s">
        <v>68</v>
      </c>
      <c r="AJ50" s="8" t="s">
        <v>69</v>
      </c>
      <c r="AK50" s="8" t="s">
        <v>70</v>
      </c>
      <c r="AL50" s="8" t="s">
        <v>71</v>
      </c>
      <c r="AM50" s="8" t="s">
        <v>72</v>
      </c>
      <c r="AN50" s="8" t="s">
        <v>73</v>
      </c>
      <c r="AO50" s="2" t="s">
        <v>74</v>
      </c>
      <c r="AP50" s="15" t="s">
        <v>75</v>
      </c>
      <c r="AQ50" s="14" t="s">
        <v>76</v>
      </c>
      <c r="AT50" s="6" t="s">
        <v>225</v>
      </c>
      <c r="AU50" s="7" t="s">
        <v>203</v>
      </c>
    </row>
    <row r="51" spans="1:47" x14ac:dyDescent="0.15">
      <c r="A51">
        <v>1</v>
      </c>
      <c r="B51" t="s">
        <v>394</v>
      </c>
      <c r="C51" t="s">
        <v>395</v>
      </c>
      <c r="E51" t="s">
        <v>395</v>
      </c>
      <c r="F51">
        <v>1999</v>
      </c>
      <c r="G51">
        <v>1</v>
      </c>
      <c r="H51" t="s">
        <v>396</v>
      </c>
      <c r="I51">
        <v>6</v>
      </c>
      <c r="J51">
        <v>156</v>
      </c>
      <c r="K51" s="1">
        <v>45646.45208333333</v>
      </c>
      <c r="L51" t="s">
        <v>397</v>
      </c>
      <c r="M51" t="s">
        <v>398</v>
      </c>
      <c r="Q51" t="s">
        <v>31</v>
      </c>
      <c r="R51" t="s">
        <v>31</v>
      </c>
      <c r="S51" t="s">
        <v>399</v>
      </c>
      <c r="T51" t="s">
        <v>400</v>
      </c>
      <c r="U51" t="s">
        <v>31</v>
      </c>
      <c r="V51" t="s">
        <v>31</v>
      </c>
      <c r="W51" t="s">
        <v>31</v>
      </c>
      <c r="X51" t="s">
        <v>31</v>
      </c>
      <c r="Y51">
        <v>17</v>
      </c>
      <c r="Z51" t="s">
        <v>401</v>
      </c>
      <c r="AA51">
        <v>4</v>
      </c>
      <c r="AB51" s="2">
        <v>4</v>
      </c>
      <c r="AC51">
        <v>4</v>
      </c>
      <c r="AD51">
        <v>4</v>
      </c>
      <c r="AE51" s="2">
        <v>4</v>
      </c>
      <c r="AF51">
        <v>1</v>
      </c>
      <c r="AG51">
        <v>1999</v>
      </c>
      <c r="AH51" t="s">
        <v>61</v>
      </c>
      <c r="AI51">
        <v>10</v>
      </c>
      <c r="AJ51">
        <v>100</v>
      </c>
      <c r="AK51" s="2">
        <v>10</v>
      </c>
      <c r="AL51">
        <v>100</v>
      </c>
      <c r="AM51">
        <v>10</v>
      </c>
      <c r="AN51">
        <v>70</v>
      </c>
      <c r="AO51">
        <v>10</v>
      </c>
      <c r="AP51">
        <v>10</v>
      </c>
      <c r="AQ51">
        <v>70</v>
      </c>
      <c r="AT51" t="s">
        <v>226</v>
      </c>
      <c r="AU51" t="s">
        <v>161</v>
      </c>
    </row>
    <row r="52" spans="1:47" x14ac:dyDescent="0.15">
      <c r="A52">
        <v>2</v>
      </c>
      <c r="B52" t="s">
        <v>394</v>
      </c>
      <c r="C52" t="s">
        <v>395</v>
      </c>
      <c r="E52" t="s">
        <v>395</v>
      </c>
      <c r="F52">
        <v>1999</v>
      </c>
      <c r="G52">
        <v>1</v>
      </c>
      <c r="H52" t="s">
        <v>396</v>
      </c>
      <c r="I52">
        <v>6</v>
      </c>
      <c r="J52">
        <v>156</v>
      </c>
      <c r="K52" s="1">
        <v>45646.45208333333</v>
      </c>
      <c r="L52" t="s">
        <v>397</v>
      </c>
      <c r="M52" t="s">
        <v>398</v>
      </c>
      <c r="Q52" t="s">
        <v>31</v>
      </c>
      <c r="R52" t="s">
        <v>31</v>
      </c>
      <c r="S52" t="s">
        <v>399</v>
      </c>
      <c r="T52" t="s">
        <v>400</v>
      </c>
      <c r="U52" t="s">
        <v>31</v>
      </c>
      <c r="V52" t="s">
        <v>31</v>
      </c>
      <c r="W52" t="s">
        <v>31</v>
      </c>
      <c r="X52" t="s">
        <v>31</v>
      </c>
      <c r="Y52">
        <v>25</v>
      </c>
      <c r="Z52" t="s">
        <v>402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1</v>
      </c>
      <c r="AG52">
        <v>1999</v>
      </c>
      <c r="AH52" t="s">
        <v>64</v>
      </c>
      <c r="AI52">
        <v>5</v>
      </c>
      <c r="AJ52">
        <v>100</v>
      </c>
      <c r="AK52">
        <v>5</v>
      </c>
      <c r="AL52">
        <v>100</v>
      </c>
      <c r="AM52" s="15">
        <v>5</v>
      </c>
      <c r="AN52">
        <v>70</v>
      </c>
      <c r="AO52">
        <v>5</v>
      </c>
      <c r="AP52">
        <v>5</v>
      </c>
      <c r="AQ52">
        <v>70</v>
      </c>
      <c r="AT52" s="6" t="s">
        <v>227</v>
      </c>
    </row>
    <row r="53" spans="1:47" x14ac:dyDescent="0.15">
      <c r="A53">
        <v>3</v>
      </c>
      <c r="B53" t="s">
        <v>394</v>
      </c>
      <c r="C53" t="s">
        <v>395</v>
      </c>
      <c r="E53" t="s">
        <v>395</v>
      </c>
      <c r="F53">
        <v>1999</v>
      </c>
      <c r="G53">
        <v>1</v>
      </c>
      <c r="H53" t="s">
        <v>396</v>
      </c>
      <c r="I53">
        <v>6</v>
      </c>
      <c r="J53">
        <v>156</v>
      </c>
      <c r="K53" s="1">
        <v>45646.45208333333</v>
      </c>
      <c r="L53" t="s">
        <v>397</v>
      </c>
      <c r="M53" t="s">
        <v>398</v>
      </c>
      <c r="Q53" t="s">
        <v>31</v>
      </c>
      <c r="R53" t="s">
        <v>31</v>
      </c>
      <c r="S53" t="s">
        <v>399</v>
      </c>
      <c r="T53" t="s">
        <v>400</v>
      </c>
      <c r="U53" t="s">
        <v>31</v>
      </c>
      <c r="V53" t="s">
        <v>31</v>
      </c>
      <c r="W53" t="s">
        <v>31</v>
      </c>
      <c r="X53" t="s">
        <v>31</v>
      </c>
      <c r="Y53">
        <v>20</v>
      </c>
      <c r="Z53" t="s">
        <v>403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1</v>
      </c>
      <c r="AG53">
        <v>1999</v>
      </c>
      <c r="AH53" t="s">
        <v>63</v>
      </c>
      <c r="AI53">
        <v>10</v>
      </c>
      <c r="AJ53">
        <v>100</v>
      </c>
      <c r="AK53">
        <v>10</v>
      </c>
      <c r="AL53">
        <v>100</v>
      </c>
      <c r="AM53">
        <v>10</v>
      </c>
      <c r="AN53">
        <v>70</v>
      </c>
      <c r="AO53">
        <v>10</v>
      </c>
      <c r="AP53">
        <v>10</v>
      </c>
      <c r="AQ53">
        <v>70</v>
      </c>
      <c r="AT53" s="7" t="s">
        <v>228</v>
      </c>
    </row>
    <row r="54" spans="1:47" x14ac:dyDescent="0.15">
      <c r="A54">
        <v>4</v>
      </c>
      <c r="B54" t="s">
        <v>394</v>
      </c>
      <c r="C54" t="s">
        <v>395</v>
      </c>
      <c r="E54" t="s">
        <v>395</v>
      </c>
      <c r="F54">
        <v>1999</v>
      </c>
      <c r="G54">
        <v>1</v>
      </c>
      <c r="H54" t="s">
        <v>396</v>
      </c>
      <c r="I54">
        <v>6</v>
      </c>
      <c r="J54">
        <v>156</v>
      </c>
      <c r="K54" s="1">
        <v>45646.45208333333</v>
      </c>
      <c r="L54" t="s">
        <v>397</v>
      </c>
      <c r="M54" t="s">
        <v>398</v>
      </c>
      <c r="Q54" t="s">
        <v>31</v>
      </c>
      <c r="R54" t="s">
        <v>31</v>
      </c>
      <c r="S54" t="s">
        <v>399</v>
      </c>
      <c r="T54" t="s">
        <v>400</v>
      </c>
      <c r="U54" t="s">
        <v>31</v>
      </c>
      <c r="V54" t="s">
        <v>31</v>
      </c>
      <c r="W54" t="s">
        <v>31</v>
      </c>
      <c r="X54" t="s">
        <v>31</v>
      </c>
      <c r="Y54">
        <v>19</v>
      </c>
      <c r="Z54" t="s">
        <v>404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1</v>
      </c>
      <c r="AG54">
        <v>1999</v>
      </c>
      <c r="AH54" t="s">
        <v>61</v>
      </c>
      <c r="AI54">
        <v>10</v>
      </c>
      <c r="AJ54">
        <v>100</v>
      </c>
      <c r="AK54">
        <v>10</v>
      </c>
      <c r="AL54">
        <v>100</v>
      </c>
      <c r="AM54">
        <v>10</v>
      </c>
      <c r="AN54">
        <v>70</v>
      </c>
      <c r="AO54">
        <v>10</v>
      </c>
      <c r="AP54">
        <v>10</v>
      </c>
      <c r="AQ54">
        <v>70</v>
      </c>
    </row>
    <row r="55" spans="1:47" x14ac:dyDescent="0.15">
      <c r="A55">
        <v>5</v>
      </c>
      <c r="B55" t="s">
        <v>394</v>
      </c>
      <c r="C55" t="s">
        <v>395</v>
      </c>
      <c r="E55" t="s">
        <v>395</v>
      </c>
      <c r="F55">
        <v>1999</v>
      </c>
      <c r="G55">
        <v>1</v>
      </c>
      <c r="H55" t="s">
        <v>396</v>
      </c>
      <c r="I55">
        <v>6</v>
      </c>
      <c r="J55">
        <v>156</v>
      </c>
      <c r="K55" s="1">
        <v>45646.45208333333</v>
      </c>
      <c r="L55" t="s">
        <v>397</v>
      </c>
      <c r="M55" t="s">
        <v>398</v>
      </c>
      <c r="Q55" t="s">
        <v>31</v>
      </c>
      <c r="R55" t="s">
        <v>31</v>
      </c>
      <c r="S55" t="s">
        <v>399</v>
      </c>
      <c r="T55" t="s">
        <v>400</v>
      </c>
      <c r="U55" t="s">
        <v>31</v>
      </c>
      <c r="V55" t="s">
        <v>31</v>
      </c>
      <c r="W55" t="s">
        <v>31</v>
      </c>
      <c r="X55" t="s">
        <v>31</v>
      </c>
      <c r="Y55">
        <v>26</v>
      </c>
      <c r="Z55" t="s">
        <v>405</v>
      </c>
      <c r="AA55" t="s">
        <v>31</v>
      </c>
      <c r="AB55" t="s">
        <v>31</v>
      </c>
      <c r="AC55" t="s">
        <v>31</v>
      </c>
      <c r="AD55" t="s">
        <v>31</v>
      </c>
      <c r="AE55">
        <v>4</v>
      </c>
      <c r="AF55" t="s">
        <v>31</v>
      </c>
      <c r="AG55">
        <v>1999</v>
      </c>
      <c r="AH55" t="s">
        <v>64</v>
      </c>
      <c r="AI55">
        <v>5</v>
      </c>
      <c r="AJ55">
        <v>100</v>
      </c>
      <c r="AK55">
        <v>5</v>
      </c>
      <c r="AL55">
        <v>100</v>
      </c>
      <c r="AM55" t="s">
        <v>31</v>
      </c>
      <c r="AN55" t="s">
        <v>31</v>
      </c>
      <c r="AO55" t="s">
        <v>31</v>
      </c>
      <c r="AP55" t="s">
        <v>31</v>
      </c>
      <c r="AQ55" t="s">
        <v>31</v>
      </c>
    </row>
    <row r="56" spans="1:47" x14ac:dyDescent="0.15">
      <c r="A56">
        <v>6</v>
      </c>
      <c r="B56" t="s">
        <v>394</v>
      </c>
      <c r="C56" t="s">
        <v>395</v>
      </c>
      <c r="E56" t="s">
        <v>395</v>
      </c>
      <c r="F56">
        <v>1999</v>
      </c>
      <c r="G56">
        <v>1</v>
      </c>
      <c r="H56" t="s">
        <v>396</v>
      </c>
      <c r="I56">
        <v>6</v>
      </c>
      <c r="J56">
        <v>156</v>
      </c>
      <c r="K56" s="1">
        <v>45646.45208333333</v>
      </c>
      <c r="L56" t="s">
        <v>397</v>
      </c>
      <c r="M56" t="s">
        <v>398</v>
      </c>
      <c r="Q56" t="s">
        <v>31</v>
      </c>
      <c r="R56" t="s">
        <v>31</v>
      </c>
      <c r="S56" t="s">
        <v>399</v>
      </c>
      <c r="T56" t="s">
        <v>400</v>
      </c>
      <c r="U56" t="s">
        <v>31</v>
      </c>
      <c r="V56" t="s">
        <v>31</v>
      </c>
      <c r="W56" t="s">
        <v>31</v>
      </c>
      <c r="X56" t="s">
        <v>31</v>
      </c>
      <c r="Y56">
        <v>18</v>
      </c>
      <c r="Z56" t="s">
        <v>406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1</v>
      </c>
      <c r="AG56">
        <v>1999</v>
      </c>
      <c r="AH56" t="s">
        <v>61</v>
      </c>
      <c r="AI56">
        <v>10</v>
      </c>
      <c r="AJ56">
        <v>100</v>
      </c>
      <c r="AK56">
        <v>10</v>
      </c>
      <c r="AL56">
        <v>100</v>
      </c>
      <c r="AM56">
        <v>10</v>
      </c>
      <c r="AN56">
        <v>70</v>
      </c>
      <c r="AO56">
        <v>10</v>
      </c>
      <c r="AP56">
        <v>10</v>
      </c>
      <c r="AQ56">
        <v>70</v>
      </c>
      <c r="AT56" s="6" t="s">
        <v>223</v>
      </c>
      <c r="AU56" s="7" t="s">
        <v>204</v>
      </c>
    </row>
    <row r="57" spans="1:47" x14ac:dyDescent="0.15">
      <c r="A57">
        <v>7</v>
      </c>
      <c r="B57" t="s">
        <v>394</v>
      </c>
      <c r="C57" t="s">
        <v>395</v>
      </c>
      <c r="E57" t="s">
        <v>395</v>
      </c>
      <c r="F57">
        <v>1999</v>
      </c>
      <c r="G57">
        <v>1</v>
      </c>
      <c r="H57" t="s">
        <v>396</v>
      </c>
      <c r="I57">
        <v>6</v>
      </c>
      <c r="J57">
        <v>156</v>
      </c>
      <c r="K57" s="1">
        <v>45646.45208333333</v>
      </c>
      <c r="L57" t="s">
        <v>397</v>
      </c>
      <c r="M57" t="s">
        <v>398</v>
      </c>
      <c r="Q57" t="s">
        <v>31</v>
      </c>
      <c r="R57" t="s">
        <v>31</v>
      </c>
      <c r="S57" t="s">
        <v>399</v>
      </c>
      <c r="T57" t="s">
        <v>400</v>
      </c>
      <c r="U57" t="s">
        <v>31</v>
      </c>
      <c r="V57" t="s">
        <v>31</v>
      </c>
      <c r="W57" t="s">
        <v>31</v>
      </c>
      <c r="X57" t="s">
        <v>31</v>
      </c>
      <c r="Y57">
        <v>24</v>
      </c>
      <c r="Z57" t="s">
        <v>407</v>
      </c>
      <c r="AA57" t="s">
        <v>31</v>
      </c>
      <c r="AB57" t="s">
        <v>31</v>
      </c>
      <c r="AC57" t="s">
        <v>31</v>
      </c>
      <c r="AD57" t="s">
        <v>31</v>
      </c>
      <c r="AE57">
        <v>4</v>
      </c>
      <c r="AF57" t="s">
        <v>31</v>
      </c>
      <c r="AG57">
        <v>1999</v>
      </c>
      <c r="AH57" t="s">
        <v>64</v>
      </c>
      <c r="AI57">
        <v>10</v>
      </c>
      <c r="AJ57">
        <v>100</v>
      </c>
      <c r="AK57">
        <v>10</v>
      </c>
      <c r="AL57">
        <v>100</v>
      </c>
      <c r="AM57" t="s">
        <v>31</v>
      </c>
      <c r="AN57" t="s">
        <v>31</v>
      </c>
      <c r="AO57" t="s">
        <v>31</v>
      </c>
      <c r="AP57" t="s">
        <v>31</v>
      </c>
      <c r="AQ57" t="s">
        <v>31</v>
      </c>
      <c r="AT57" t="s">
        <v>224</v>
      </c>
      <c r="AU57" t="s">
        <v>170</v>
      </c>
    </row>
    <row r="58" spans="1:47" x14ac:dyDescent="0.15">
      <c r="A58">
        <v>8</v>
      </c>
      <c r="B58" t="s">
        <v>394</v>
      </c>
      <c r="C58" t="s">
        <v>395</v>
      </c>
      <c r="E58" t="s">
        <v>395</v>
      </c>
      <c r="F58">
        <v>1999</v>
      </c>
      <c r="G58">
        <v>1</v>
      </c>
      <c r="H58" t="s">
        <v>396</v>
      </c>
      <c r="I58">
        <v>6</v>
      </c>
      <c r="J58">
        <v>156</v>
      </c>
      <c r="K58" s="1">
        <v>45646.45208333333</v>
      </c>
      <c r="L58" t="s">
        <v>397</v>
      </c>
      <c r="M58" t="s">
        <v>398</v>
      </c>
      <c r="Q58" t="s">
        <v>31</v>
      </c>
      <c r="R58" t="s">
        <v>31</v>
      </c>
      <c r="S58" t="s">
        <v>399</v>
      </c>
      <c r="T58" t="s">
        <v>400</v>
      </c>
      <c r="U58" t="s">
        <v>31</v>
      </c>
      <c r="V58" t="s">
        <v>31</v>
      </c>
      <c r="W58" t="s">
        <v>31</v>
      </c>
      <c r="X58" t="s">
        <v>31</v>
      </c>
      <c r="Y58">
        <v>21</v>
      </c>
      <c r="Z58" t="s">
        <v>408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1</v>
      </c>
      <c r="AG58">
        <v>1999</v>
      </c>
      <c r="AH58" t="s">
        <v>63</v>
      </c>
      <c r="AI58">
        <v>15</v>
      </c>
      <c r="AJ58">
        <v>100</v>
      </c>
      <c r="AK58">
        <v>15</v>
      </c>
      <c r="AL58">
        <v>100</v>
      </c>
      <c r="AM58">
        <v>15</v>
      </c>
      <c r="AN58">
        <v>70</v>
      </c>
      <c r="AO58">
        <v>15</v>
      </c>
      <c r="AP58">
        <v>15</v>
      </c>
      <c r="AQ58">
        <v>70</v>
      </c>
      <c r="AT58" t="s">
        <v>229</v>
      </c>
      <c r="AU58" t="s">
        <v>196</v>
      </c>
    </row>
    <row r="59" spans="1:47" x14ac:dyDescent="0.15">
      <c r="A59">
        <v>9</v>
      </c>
      <c r="B59" t="s">
        <v>394</v>
      </c>
      <c r="C59" t="s">
        <v>395</v>
      </c>
      <c r="E59" t="s">
        <v>395</v>
      </c>
      <c r="F59">
        <v>1999</v>
      </c>
      <c r="G59">
        <v>1</v>
      </c>
      <c r="H59" t="s">
        <v>396</v>
      </c>
      <c r="I59">
        <v>6</v>
      </c>
      <c r="J59">
        <v>156</v>
      </c>
      <c r="K59" s="1">
        <v>45646.45208333333</v>
      </c>
      <c r="L59" t="s">
        <v>397</v>
      </c>
      <c r="M59" t="s">
        <v>398</v>
      </c>
      <c r="Q59" t="s">
        <v>31</v>
      </c>
      <c r="R59" t="s">
        <v>31</v>
      </c>
      <c r="S59" t="s">
        <v>399</v>
      </c>
      <c r="T59" t="s">
        <v>400</v>
      </c>
      <c r="U59" t="s">
        <v>31</v>
      </c>
      <c r="V59" t="s">
        <v>31</v>
      </c>
      <c r="W59" t="s">
        <v>31</v>
      </c>
      <c r="X59" t="s">
        <v>31</v>
      </c>
      <c r="Y59">
        <v>22</v>
      </c>
      <c r="Z59" t="s">
        <v>409</v>
      </c>
      <c r="AA59" t="s">
        <v>31</v>
      </c>
      <c r="AB59" t="s">
        <v>31</v>
      </c>
      <c r="AC59" t="s">
        <v>31</v>
      </c>
      <c r="AD59" t="s">
        <v>31</v>
      </c>
      <c r="AE59">
        <v>4</v>
      </c>
      <c r="AF59" t="s">
        <v>31</v>
      </c>
      <c r="AG59">
        <v>1999</v>
      </c>
      <c r="AH59" t="s">
        <v>63</v>
      </c>
      <c r="AI59">
        <v>15</v>
      </c>
      <c r="AJ59">
        <v>100</v>
      </c>
      <c r="AK59">
        <v>15</v>
      </c>
      <c r="AL59">
        <v>100</v>
      </c>
      <c r="AM59" t="s">
        <v>31</v>
      </c>
      <c r="AN59" t="s">
        <v>31</v>
      </c>
      <c r="AO59" t="s">
        <v>31</v>
      </c>
      <c r="AP59" t="s">
        <v>31</v>
      </c>
      <c r="AQ59" t="s">
        <v>31</v>
      </c>
      <c r="AU59" s="11" t="s">
        <v>197</v>
      </c>
    </row>
    <row r="60" spans="1:47" x14ac:dyDescent="0.15">
      <c r="A60">
        <v>10</v>
      </c>
      <c r="B60" t="s">
        <v>394</v>
      </c>
      <c r="C60" t="s">
        <v>395</v>
      </c>
      <c r="E60" t="s">
        <v>395</v>
      </c>
      <c r="F60">
        <v>1999</v>
      </c>
      <c r="G60">
        <v>1</v>
      </c>
      <c r="H60" t="s">
        <v>396</v>
      </c>
      <c r="I60">
        <v>6</v>
      </c>
      <c r="J60">
        <v>156</v>
      </c>
      <c r="K60" s="1">
        <v>45646.45208333333</v>
      </c>
      <c r="L60" t="s">
        <v>397</v>
      </c>
      <c r="M60" t="s">
        <v>398</v>
      </c>
      <c r="Q60" t="s">
        <v>31</v>
      </c>
      <c r="R60" t="s">
        <v>31</v>
      </c>
      <c r="S60" t="s">
        <v>399</v>
      </c>
      <c r="T60" t="s">
        <v>400</v>
      </c>
      <c r="U60" t="s">
        <v>31</v>
      </c>
      <c r="V60" t="s">
        <v>31</v>
      </c>
      <c r="W60" t="s">
        <v>31</v>
      </c>
      <c r="X60" t="s">
        <v>31</v>
      </c>
      <c r="Y60">
        <v>23</v>
      </c>
      <c r="Z60" t="s">
        <v>410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1</v>
      </c>
      <c r="AG60">
        <v>1999</v>
      </c>
      <c r="AH60" t="s">
        <v>62</v>
      </c>
      <c r="AI60">
        <v>10</v>
      </c>
      <c r="AJ60">
        <v>100</v>
      </c>
      <c r="AK60">
        <v>10</v>
      </c>
      <c r="AL60">
        <v>100</v>
      </c>
      <c r="AM60">
        <v>10</v>
      </c>
      <c r="AN60">
        <v>70</v>
      </c>
      <c r="AO60">
        <v>10</v>
      </c>
      <c r="AP60">
        <v>10</v>
      </c>
      <c r="AQ60">
        <v>70</v>
      </c>
      <c r="AU60" s="11" t="s">
        <v>198</v>
      </c>
    </row>
    <row r="61" spans="1:47" x14ac:dyDescent="0.15">
      <c r="AU61" s="11" t="s">
        <v>199</v>
      </c>
    </row>
    <row r="62" spans="1:47" x14ac:dyDescent="0.15">
      <c r="AU62" s="11" t="s">
        <v>200</v>
      </c>
    </row>
    <row r="63" spans="1:47" x14ac:dyDescent="0.15">
      <c r="AM63" s="14" t="s">
        <v>72</v>
      </c>
      <c r="AN63" t="s">
        <v>159</v>
      </c>
      <c r="AU63" t="s">
        <v>201</v>
      </c>
    </row>
    <row r="64" spans="1:47" x14ac:dyDescent="0.15">
      <c r="AM64" s="6" t="s">
        <v>257</v>
      </c>
      <c r="AN64" t="s">
        <v>246</v>
      </c>
      <c r="AU64" t="s">
        <v>174</v>
      </c>
    </row>
    <row r="65" spans="11:47" x14ac:dyDescent="0.15">
      <c r="K65" s="1"/>
      <c r="AM65" s="7" t="s">
        <v>258</v>
      </c>
      <c r="AN65" t="s">
        <v>245</v>
      </c>
      <c r="AU65" t="s">
        <v>202</v>
      </c>
    </row>
    <row r="66" spans="11:47" x14ac:dyDescent="0.15">
      <c r="K66" s="1"/>
      <c r="AM66" s="6" t="s">
        <v>259</v>
      </c>
      <c r="AN66" t="s">
        <v>244</v>
      </c>
    </row>
    <row r="67" spans="11:47" x14ac:dyDescent="0.15">
      <c r="K67" s="1"/>
      <c r="AM67" s="7" t="s">
        <v>260</v>
      </c>
    </row>
    <row r="68" spans="11:47" x14ac:dyDescent="0.15">
      <c r="K68" s="1"/>
    </row>
    <row r="69" spans="11:47" x14ac:dyDescent="0.15">
      <c r="K69" s="1"/>
    </row>
    <row r="70" spans="11:47" x14ac:dyDescent="0.15">
      <c r="K70" s="1"/>
    </row>
    <row r="71" spans="11:47" x14ac:dyDescent="0.15">
      <c r="K71" s="1"/>
    </row>
    <row r="72" spans="11:47" x14ac:dyDescent="0.15">
      <c r="K72" s="1"/>
    </row>
    <row r="73" spans="11:47" x14ac:dyDescent="0.15">
      <c r="K73" s="1"/>
    </row>
    <row r="74" spans="11:47" x14ac:dyDescent="0.15">
      <c r="K74" s="1"/>
    </row>
    <row r="75" spans="11:47" x14ac:dyDescent="0.15">
      <c r="K75" s="1"/>
    </row>
    <row r="76" spans="11:47" x14ac:dyDescent="0.15">
      <c r="K76" s="1"/>
    </row>
    <row r="77" spans="11:47" x14ac:dyDescent="0.15">
      <c r="K77" s="1"/>
    </row>
    <row r="78" spans="11:47" x14ac:dyDescent="0.15">
      <c r="K78" s="1"/>
    </row>
    <row r="79" spans="11:47" x14ac:dyDescent="0.15">
      <c r="K79" s="1"/>
    </row>
    <row r="80" spans="11:47" x14ac:dyDescent="0.15">
      <c r="K80" s="1"/>
    </row>
    <row r="81" spans="11:11" x14ac:dyDescent="0.15">
      <c r="K81" s="1"/>
    </row>
    <row r="82" spans="11:11" x14ac:dyDescent="0.15">
      <c r="K82" s="1"/>
    </row>
    <row r="83" spans="11:11" x14ac:dyDescent="0.15">
      <c r="K83" s="1"/>
    </row>
  </sheetData>
  <autoFilter ref="A25:AQ44" xr:uid="{F9929208-58A4-4693-96FA-1557AA01D152}">
    <filterColumn colId="26">
      <filters>
        <filter val="3"/>
        <filter val="4"/>
      </filters>
    </filterColumn>
  </autoFilter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55DF-8901-4BEB-9DA9-FD81B0C9BE89}">
  <dimension ref="A1:BW70"/>
  <sheetViews>
    <sheetView zoomScaleNormal="100" workbookViewId="0">
      <pane xSplit="1" topLeftCell="AM1" activePane="topRight" state="frozen"/>
      <selection pane="topRight" activeCell="AP35" sqref="AP35:AP41"/>
    </sheetView>
  </sheetViews>
  <sheetFormatPr defaultRowHeight="14.25" x14ac:dyDescent="0.15"/>
  <cols>
    <col min="5" max="5" width="12.61328125" bestFit="1" customWidth="1"/>
    <col min="33" max="33" width="12.86328125" bestFit="1" customWidth="1"/>
    <col min="34" max="34" width="13.86328125" bestFit="1" customWidth="1"/>
    <col min="35" max="35" width="12.98828125" bestFit="1" customWidth="1"/>
    <col min="36" max="36" width="17.109375" bestFit="1" customWidth="1"/>
    <col min="37" max="37" width="10.36328125" bestFit="1" customWidth="1"/>
    <col min="38" max="38" width="14.609375" bestFit="1" customWidth="1"/>
    <col min="39" max="39" width="17.859375" bestFit="1" customWidth="1"/>
    <col min="40" max="40" width="22.10546875" bestFit="1" customWidth="1"/>
    <col min="41" max="41" width="5.7421875" bestFit="1" customWidth="1"/>
    <col min="42" max="42" width="6.4921875" bestFit="1" customWidth="1"/>
    <col min="43" max="43" width="10.61328125" bestFit="1" customWidth="1"/>
    <col min="44" max="44" width="5.3671875" bestFit="1" customWidth="1"/>
    <col min="45" max="45" width="13.86328125" bestFit="1" customWidth="1"/>
    <col min="46" max="46" width="14.984375" bestFit="1" customWidth="1"/>
    <col min="47" max="47" width="19.109375" bestFit="1" customWidth="1"/>
    <col min="48" max="48" width="27.8515625" bestFit="1" customWidth="1"/>
    <col min="49" max="49" width="26.9765625" bestFit="1" customWidth="1"/>
    <col min="50" max="50" width="25.6015625" bestFit="1" customWidth="1"/>
    <col min="51" max="52" width="24.4765625" bestFit="1" customWidth="1"/>
    <col min="53" max="53" width="11.98828125" bestFit="1" customWidth="1"/>
    <col min="54" max="54" width="10.98828125" bestFit="1" customWidth="1"/>
    <col min="55" max="55" width="9.61328125" bestFit="1" customWidth="1"/>
    <col min="56" max="56" width="38.71484375" bestFit="1" customWidth="1"/>
    <col min="57" max="57" width="10.23828125" bestFit="1" customWidth="1"/>
    <col min="58" max="58" width="8.9921875" bestFit="1" customWidth="1"/>
    <col min="59" max="59" width="15.734375" bestFit="1" customWidth="1"/>
    <col min="60" max="60" width="11.23828125" bestFit="1" customWidth="1"/>
    <col min="61" max="61" width="9.98828125" bestFit="1" customWidth="1"/>
    <col min="62" max="62" width="16.734375" bestFit="1" customWidth="1"/>
    <col min="65" max="65" width="27.9765625" customWidth="1"/>
  </cols>
  <sheetData>
    <row r="1" spans="1:65" x14ac:dyDescent="0.15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8" t="s">
        <v>24</v>
      </c>
      <c r="AB1" s="8" t="s">
        <v>25</v>
      </c>
      <c r="AC1" s="8" t="s">
        <v>42</v>
      </c>
      <c r="AD1" s="8" t="s">
        <v>43</v>
      </c>
      <c r="AE1" s="8" t="s">
        <v>44</v>
      </c>
      <c r="AF1" s="8" t="s">
        <v>65</v>
      </c>
      <c r="AG1" s="8" t="s">
        <v>66</v>
      </c>
      <c r="AH1" s="8" t="s">
        <v>67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9" t="s">
        <v>77</v>
      </c>
      <c r="AS1" s="14" t="s">
        <v>78</v>
      </c>
      <c r="AT1" s="15" t="s">
        <v>79</v>
      </c>
      <c r="AU1" s="16" t="s">
        <v>80</v>
      </c>
      <c r="AV1" s="4" t="s">
        <v>81</v>
      </c>
      <c r="AW1" s="17" t="s">
        <v>82</v>
      </c>
      <c r="AX1" s="18" t="s">
        <v>83</v>
      </c>
      <c r="AY1" s="2" t="s">
        <v>84</v>
      </c>
      <c r="AZ1" t="s">
        <v>85</v>
      </c>
      <c r="BA1" t="s">
        <v>86</v>
      </c>
      <c r="BB1" s="19" t="s">
        <v>87</v>
      </c>
      <c r="BC1" s="20" t="s">
        <v>88</v>
      </c>
      <c r="BD1" t="s">
        <v>89</v>
      </c>
      <c r="BE1" s="21" t="s">
        <v>90</v>
      </c>
      <c r="BF1" s="22" t="s">
        <v>91</v>
      </c>
      <c r="BG1" t="s">
        <v>92</v>
      </c>
      <c r="BH1" s="23" t="s">
        <v>93</v>
      </c>
      <c r="BI1" s="24" t="s">
        <v>94</v>
      </c>
      <c r="BJ1" t="s">
        <v>95</v>
      </c>
      <c r="BM1" t="s">
        <v>277</v>
      </c>
    </row>
    <row r="2" spans="1:65" x14ac:dyDescent="0.15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30</v>
      </c>
      <c r="Z2" t="s">
        <v>38</v>
      </c>
      <c r="AA2" s="6">
        <v>4</v>
      </c>
      <c r="AB2" s="6">
        <v>4</v>
      </c>
      <c r="AC2" s="6">
        <v>4</v>
      </c>
      <c r="AD2" s="6">
        <v>4</v>
      </c>
      <c r="AE2" s="6">
        <v>4</v>
      </c>
      <c r="AF2" s="6">
        <v>1</v>
      </c>
      <c r="AG2" s="6">
        <v>2021</v>
      </c>
      <c r="AH2" s="6" t="s">
        <v>62</v>
      </c>
      <c r="AI2" s="6">
        <v>15</v>
      </c>
      <c r="AJ2" s="6">
        <v>100</v>
      </c>
      <c r="AK2" s="6">
        <v>15</v>
      </c>
      <c r="AL2" s="6">
        <v>100</v>
      </c>
      <c r="AM2" s="6">
        <v>15</v>
      </c>
      <c r="AN2" s="6">
        <v>100</v>
      </c>
      <c r="AO2" s="6">
        <v>15</v>
      </c>
      <c r="AP2" s="6">
        <v>15</v>
      </c>
      <c r="AQ2" s="6">
        <v>100</v>
      </c>
      <c r="AR2" s="6">
        <v>1</v>
      </c>
      <c r="AS2" s="6">
        <v>15</v>
      </c>
      <c r="AT2" s="6">
        <v>15</v>
      </c>
      <c r="AU2" s="6">
        <v>100</v>
      </c>
      <c r="AV2" s="6">
        <v>65</v>
      </c>
      <c r="AW2" s="6">
        <v>120</v>
      </c>
      <c r="AX2" s="6">
        <v>60</v>
      </c>
      <c r="AY2" s="6">
        <v>4</v>
      </c>
      <c r="AZ2" s="6" t="s">
        <v>31</v>
      </c>
      <c r="BA2" s="6" t="s">
        <v>31</v>
      </c>
      <c r="BB2" s="6">
        <v>15</v>
      </c>
      <c r="BC2" s="6">
        <v>15</v>
      </c>
      <c r="BD2" s="6" t="s">
        <v>96</v>
      </c>
      <c r="BE2" s="6" t="s">
        <v>31</v>
      </c>
      <c r="BF2" s="6" t="s">
        <v>31</v>
      </c>
      <c r="BG2" s="6" t="s">
        <v>31</v>
      </c>
      <c r="BH2" s="6" t="s">
        <v>31</v>
      </c>
      <c r="BI2" s="6" t="s">
        <v>31</v>
      </c>
      <c r="BJ2" s="6" t="s">
        <v>31</v>
      </c>
      <c r="BM2" s="8" t="s">
        <v>24</v>
      </c>
    </row>
    <row r="3" spans="1:65" x14ac:dyDescent="0.15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31</v>
      </c>
      <c r="Z3" t="s">
        <v>39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62</v>
      </c>
      <c r="AI3">
        <v>15</v>
      </c>
      <c r="AJ3">
        <v>100</v>
      </c>
      <c r="AK3">
        <v>15</v>
      </c>
      <c r="AL3">
        <v>100</v>
      </c>
      <c r="AM3">
        <v>15</v>
      </c>
      <c r="AN3">
        <v>100</v>
      </c>
      <c r="AO3">
        <v>15</v>
      </c>
      <c r="AP3">
        <v>15</v>
      </c>
      <c r="AQ3">
        <v>100</v>
      </c>
      <c r="AR3">
        <v>1</v>
      </c>
      <c r="AS3">
        <v>15</v>
      </c>
      <c r="AT3">
        <v>15</v>
      </c>
      <c r="AU3">
        <v>100</v>
      </c>
      <c r="AV3">
        <v>65</v>
      </c>
      <c r="AW3">
        <v>120</v>
      </c>
      <c r="AX3">
        <v>60</v>
      </c>
      <c r="AY3">
        <v>4</v>
      </c>
      <c r="AZ3" t="s">
        <v>31</v>
      </c>
      <c r="BA3" t="s">
        <v>31</v>
      </c>
      <c r="BB3">
        <v>15</v>
      </c>
      <c r="BC3">
        <v>15</v>
      </c>
      <c r="BD3" t="s">
        <v>96</v>
      </c>
      <c r="BE3" t="s">
        <v>31</v>
      </c>
      <c r="BF3" t="s">
        <v>31</v>
      </c>
      <c r="BG3" t="s">
        <v>31</v>
      </c>
      <c r="BH3" t="s">
        <v>31</v>
      </c>
      <c r="BI3" t="s">
        <v>31</v>
      </c>
      <c r="BJ3" t="s">
        <v>31</v>
      </c>
      <c r="BM3" s="8" t="s">
        <v>25</v>
      </c>
    </row>
    <row r="4" spans="1:65" x14ac:dyDescent="0.15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24</v>
      </c>
      <c r="Z4" t="s">
        <v>35</v>
      </c>
      <c r="AA4">
        <v>3</v>
      </c>
      <c r="AB4">
        <v>3</v>
      </c>
      <c r="AC4">
        <v>3</v>
      </c>
      <c r="AD4">
        <v>3</v>
      </c>
      <c r="AE4">
        <v>4</v>
      </c>
      <c r="AF4">
        <v>0.75</v>
      </c>
      <c r="AG4">
        <v>2021</v>
      </c>
      <c r="AH4" t="s">
        <v>63</v>
      </c>
      <c r="AI4">
        <v>30</v>
      </c>
      <c r="AJ4">
        <v>100</v>
      </c>
      <c r="AK4">
        <v>30</v>
      </c>
      <c r="AL4">
        <v>100</v>
      </c>
      <c r="AM4">
        <v>30</v>
      </c>
      <c r="AN4">
        <v>100</v>
      </c>
      <c r="AO4">
        <v>22.5</v>
      </c>
      <c r="AP4">
        <v>30</v>
      </c>
      <c r="AQ4">
        <v>100</v>
      </c>
      <c r="AR4">
        <v>0.75</v>
      </c>
      <c r="AS4">
        <v>22.5</v>
      </c>
      <c r="AT4">
        <v>30</v>
      </c>
      <c r="AU4">
        <v>100</v>
      </c>
      <c r="AV4">
        <v>65</v>
      </c>
      <c r="AW4">
        <v>120</v>
      </c>
      <c r="AX4">
        <v>120</v>
      </c>
      <c r="AY4">
        <v>4</v>
      </c>
      <c r="AZ4" t="s">
        <v>31</v>
      </c>
      <c r="BA4" t="s">
        <v>31</v>
      </c>
      <c r="BB4">
        <v>30</v>
      </c>
      <c r="BC4">
        <v>22.5</v>
      </c>
      <c r="BD4" t="s">
        <v>97</v>
      </c>
      <c r="BE4" t="s">
        <v>31</v>
      </c>
      <c r="BF4" t="s">
        <v>31</v>
      </c>
      <c r="BG4" t="s">
        <v>31</v>
      </c>
      <c r="BH4" t="s">
        <v>31</v>
      </c>
      <c r="BI4" t="s">
        <v>31</v>
      </c>
      <c r="BJ4" t="s">
        <v>31</v>
      </c>
      <c r="BM4" s="8" t="s">
        <v>42</v>
      </c>
    </row>
    <row r="5" spans="1:65" x14ac:dyDescent="0.15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26</v>
      </c>
      <c r="Z5" t="s">
        <v>37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64</v>
      </c>
      <c r="AI5">
        <v>5</v>
      </c>
      <c r="AJ5">
        <v>100</v>
      </c>
      <c r="AK5">
        <v>5</v>
      </c>
      <c r="AL5">
        <v>100</v>
      </c>
      <c r="AM5">
        <v>5</v>
      </c>
      <c r="AN5">
        <v>100</v>
      </c>
      <c r="AO5">
        <v>3.75</v>
      </c>
      <c r="AP5">
        <v>5</v>
      </c>
      <c r="AQ5">
        <v>100</v>
      </c>
      <c r="AR5">
        <v>0.75</v>
      </c>
      <c r="AS5">
        <v>3.75</v>
      </c>
      <c r="AT5">
        <v>5</v>
      </c>
      <c r="AU5">
        <v>100</v>
      </c>
      <c r="AV5">
        <v>65</v>
      </c>
      <c r="AW5">
        <v>40</v>
      </c>
      <c r="AX5">
        <v>20</v>
      </c>
      <c r="AY5">
        <v>4</v>
      </c>
      <c r="AZ5" t="s">
        <v>31</v>
      </c>
      <c r="BA5" t="s">
        <v>31</v>
      </c>
      <c r="BB5">
        <v>5</v>
      </c>
      <c r="BC5">
        <v>3.75</v>
      </c>
      <c r="BD5" t="s">
        <v>98</v>
      </c>
      <c r="BE5" t="s">
        <v>31</v>
      </c>
      <c r="BF5" t="s">
        <v>31</v>
      </c>
      <c r="BG5" t="s">
        <v>31</v>
      </c>
      <c r="BH5" t="s">
        <v>31</v>
      </c>
      <c r="BI5" t="s">
        <v>31</v>
      </c>
      <c r="BJ5" t="s">
        <v>31</v>
      </c>
      <c r="BM5" s="8" t="s">
        <v>43</v>
      </c>
    </row>
    <row r="6" spans="1:65" x14ac:dyDescent="0.15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25</v>
      </c>
      <c r="Z6" t="s">
        <v>36</v>
      </c>
      <c r="AA6">
        <v>4</v>
      </c>
      <c r="AB6">
        <v>4</v>
      </c>
      <c r="AC6">
        <v>4</v>
      </c>
      <c r="AD6">
        <v>4</v>
      </c>
      <c r="AE6">
        <v>4</v>
      </c>
      <c r="AF6">
        <v>1</v>
      </c>
      <c r="AG6">
        <v>2021</v>
      </c>
      <c r="AH6" t="s">
        <v>64</v>
      </c>
      <c r="AI6">
        <v>5</v>
      </c>
      <c r="AJ6">
        <v>100</v>
      </c>
      <c r="AK6">
        <v>5</v>
      </c>
      <c r="AL6">
        <v>100</v>
      </c>
      <c r="AM6">
        <v>5</v>
      </c>
      <c r="AN6">
        <v>100</v>
      </c>
      <c r="AO6">
        <v>5</v>
      </c>
      <c r="AP6">
        <v>5</v>
      </c>
      <c r="AQ6">
        <v>100</v>
      </c>
      <c r="AR6">
        <v>1</v>
      </c>
      <c r="AS6">
        <v>5</v>
      </c>
      <c r="AT6">
        <v>5</v>
      </c>
      <c r="AU6">
        <v>100</v>
      </c>
      <c r="AV6">
        <v>65</v>
      </c>
      <c r="AW6">
        <v>40</v>
      </c>
      <c r="AX6">
        <v>20</v>
      </c>
      <c r="AY6">
        <v>4</v>
      </c>
      <c r="AZ6" t="s">
        <v>31</v>
      </c>
      <c r="BA6" t="s">
        <v>31</v>
      </c>
      <c r="BB6">
        <v>5</v>
      </c>
      <c r="BC6">
        <v>5</v>
      </c>
      <c r="BD6" t="s">
        <v>99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M6" s="8" t="s">
        <v>44</v>
      </c>
    </row>
    <row r="7" spans="1:65" x14ac:dyDescent="0.15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22</v>
      </c>
      <c r="Z7" t="s">
        <v>33</v>
      </c>
      <c r="AA7">
        <v>4</v>
      </c>
      <c r="AB7">
        <v>4</v>
      </c>
      <c r="AC7">
        <v>4</v>
      </c>
      <c r="AD7">
        <v>4</v>
      </c>
      <c r="AE7">
        <v>4</v>
      </c>
      <c r="AF7">
        <v>1</v>
      </c>
      <c r="AG7">
        <v>2021</v>
      </c>
      <c r="AH7" t="s">
        <v>61</v>
      </c>
      <c r="AI7">
        <v>15</v>
      </c>
      <c r="AJ7">
        <v>100</v>
      </c>
      <c r="AK7">
        <v>15</v>
      </c>
      <c r="AL7">
        <v>100</v>
      </c>
      <c r="AM7">
        <v>15</v>
      </c>
      <c r="AN7">
        <v>100</v>
      </c>
      <c r="AO7">
        <v>15</v>
      </c>
      <c r="AP7">
        <v>15</v>
      </c>
      <c r="AQ7">
        <v>100</v>
      </c>
      <c r="AR7">
        <v>1</v>
      </c>
      <c r="AS7">
        <v>15</v>
      </c>
      <c r="AT7">
        <v>15</v>
      </c>
      <c r="AU7">
        <v>100</v>
      </c>
      <c r="AV7">
        <v>65</v>
      </c>
      <c r="AW7">
        <v>120</v>
      </c>
      <c r="AX7">
        <v>60</v>
      </c>
      <c r="AY7">
        <v>4</v>
      </c>
      <c r="AZ7" t="s">
        <v>31</v>
      </c>
      <c r="BA7" t="s">
        <v>31</v>
      </c>
      <c r="BB7">
        <v>15</v>
      </c>
      <c r="BC7">
        <v>15</v>
      </c>
      <c r="BD7" t="s">
        <v>96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M7" s="8" t="s">
        <v>65</v>
      </c>
    </row>
    <row r="8" spans="1:65" x14ac:dyDescent="0.15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23</v>
      </c>
      <c r="Z8" t="s">
        <v>34</v>
      </c>
      <c r="AA8">
        <v>3</v>
      </c>
      <c r="AB8">
        <v>3</v>
      </c>
      <c r="AC8">
        <v>3</v>
      </c>
      <c r="AD8">
        <v>3</v>
      </c>
      <c r="AE8">
        <v>4</v>
      </c>
      <c r="AF8">
        <v>0.75</v>
      </c>
      <c r="AG8">
        <v>2021</v>
      </c>
      <c r="AH8" t="s">
        <v>61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  <c r="AO8">
        <v>11.25</v>
      </c>
      <c r="AP8">
        <v>15</v>
      </c>
      <c r="AQ8">
        <v>100</v>
      </c>
      <c r="AR8">
        <v>0.75</v>
      </c>
      <c r="AS8">
        <v>11.25</v>
      </c>
      <c r="AT8">
        <v>15</v>
      </c>
      <c r="AU8">
        <v>100</v>
      </c>
      <c r="AV8">
        <v>65</v>
      </c>
      <c r="AW8">
        <v>120</v>
      </c>
      <c r="AX8">
        <v>60</v>
      </c>
      <c r="AY8">
        <v>4</v>
      </c>
      <c r="AZ8" t="s">
        <v>31</v>
      </c>
      <c r="BA8" t="s">
        <v>31</v>
      </c>
      <c r="BB8">
        <v>15</v>
      </c>
      <c r="BC8">
        <v>11.25</v>
      </c>
      <c r="BD8" t="s">
        <v>100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J8" t="s">
        <v>31</v>
      </c>
      <c r="BM8" s="8" t="s">
        <v>66</v>
      </c>
    </row>
    <row r="9" spans="1:65" x14ac:dyDescent="0.15">
      <c r="BM9" s="8" t="s">
        <v>67</v>
      </c>
    </row>
    <row r="10" spans="1:65" x14ac:dyDescent="0.15">
      <c r="AR10" s="7" t="s">
        <v>279</v>
      </c>
      <c r="AS10" s="7" t="s">
        <v>281</v>
      </c>
      <c r="AT10" s="7" t="s">
        <v>283</v>
      </c>
      <c r="AU10" s="7" t="s">
        <v>285</v>
      </c>
      <c r="BB10" s="7" t="s">
        <v>283</v>
      </c>
      <c r="BC10" s="7" t="s">
        <v>414</v>
      </c>
      <c r="BM10" s="8" t="s">
        <v>68</v>
      </c>
    </row>
    <row r="11" spans="1:65" x14ac:dyDescent="0.15">
      <c r="BM11" s="8" t="s">
        <v>69</v>
      </c>
    </row>
    <row r="12" spans="1:65" x14ac:dyDescent="0.15">
      <c r="BM12" s="8" t="s">
        <v>70</v>
      </c>
    </row>
    <row r="13" spans="1:65" x14ac:dyDescent="0.15">
      <c r="BM13" s="8" t="s">
        <v>71</v>
      </c>
    </row>
    <row r="14" spans="1:65" x14ac:dyDescent="0.15">
      <c r="BM14" s="8" t="s">
        <v>72</v>
      </c>
    </row>
    <row r="15" spans="1:65" x14ac:dyDescent="0.15">
      <c r="AU15" t="s">
        <v>118</v>
      </c>
      <c r="AV15" t="s">
        <v>2</v>
      </c>
      <c r="AW15" t="s">
        <v>67</v>
      </c>
      <c r="AX15" t="s">
        <v>68</v>
      </c>
      <c r="BM15" s="8" t="s">
        <v>73</v>
      </c>
    </row>
    <row r="16" spans="1:65" x14ac:dyDescent="0.15">
      <c r="AV16" t="s">
        <v>27</v>
      </c>
      <c r="AW16" t="s">
        <v>63</v>
      </c>
      <c r="AX16">
        <v>30</v>
      </c>
      <c r="BM16" s="8" t="s">
        <v>74</v>
      </c>
    </row>
    <row r="17" spans="47:66" x14ac:dyDescent="0.15">
      <c r="AV17" t="s">
        <v>27</v>
      </c>
      <c r="AW17" t="s">
        <v>62</v>
      </c>
      <c r="AX17">
        <v>15</v>
      </c>
      <c r="BM17" s="8" t="s">
        <v>75</v>
      </c>
    </row>
    <row r="18" spans="47:66" x14ac:dyDescent="0.15">
      <c r="AV18" t="s">
        <v>27</v>
      </c>
      <c r="AW18" t="s">
        <v>61</v>
      </c>
      <c r="AX18">
        <v>15</v>
      </c>
      <c r="BM18" s="8" t="s">
        <v>76</v>
      </c>
    </row>
    <row r="19" spans="47:66" x14ac:dyDescent="0.15">
      <c r="AV19" t="s">
        <v>27</v>
      </c>
      <c r="AW19" t="s">
        <v>64</v>
      </c>
      <c r="AX19">
        <v>5</v>
      </c>
    </row>
    <row r="21" spans="47:66" x14ac:dyDescent="0.15">
      <c r="BM21" s="9" t="s">
        <v>77</v>
      </c>
      <c r="BN21" t="s">
        <v>278</v>
      </c>
    </row>
    <row r="22" spans="47:66" x14ac:dyDescent="0.15">
      <c r="AU22" t="s">
        <v>297</v>
      </c>
      <c r="AV22" t="s">
        <v>2</v>
      </c>
      <c r="AW22" s="4" t="s">
        <v>81</v>
      </c>
    </row>
    <row r="23" spans="47:66" x14ac:dyDescent="0.15">
      <c r="AV23" t="s">
        <v>27</v>
      </c>
      <c r="AW23" s="4">
        <v>65</v>
      </c>
      <c r="BM23" s="14" t="s">
        <v>78</v>
      </c>
      <c r="BN23" t="s">
        <v>280</v>
      </c>
    </row>
    <row r="25" spans="47:66" x14ac:dyDescent="0.15">
      <c r="BM25" s="15" t="s">
        <v>79</v>
      </c>
      <c r="BN25" t="s">
        <v>282</v>
      </c>
    </row>
    <row r="27" spans="47:66" x14ac:dyDescent="0.15">
      <c r="BM27" s="16" t="s">
        <v>80</v>
      </c>
      <c r="BN27" t="s">
        <v>284</v>
      </c>
    </row>
    <row r="31" spans="47:66" x14ac:dyDescent="0.15">
      <c r="BM31" s="4" t="s">
        <v>81</v>
      </c>
      <c r="BN31" t="s">
        <v>286</v>
      </c>
    </row>
    <row r="32" spans="47:66" x14ac:dyDescent="0.15">
      <c r="BN32" t="s">
        <v>295</v>
      </c>
    </row>
    <row r="33" spans="1:75" x14ac:dyDescent="0.15">
      <c r="BN33" t="s">
        <v>287</v>
      </c>
    </row>
    <row r="34" spans="1:75" x14ac:dyDescent="0.15">
      <c r="A34" s="2" t="s">
        <v>40</v>
      </c>
      <c r="B34" t="s">
        <v>2</v>
      </c>
      <c r="C34" t="s">
        <v>0</v>
      </c>
      <c r="D34" t="s">
        <v>1</v>
      </c>
      <c r="E34" t="s">
        <v>41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14</v>
      </c>
      <c r="R34" t="s">
        <v>15</v>
      </c>
      <c r="S34" t="s">
        <v>16</v>
      </c>
      <c r="T34" t="s">
        <v>17</v>
      </c>
      <c r="U34" t="s">
        <v>18</v>
      </c>
      <c r="V34" t="s">
        <v>19</v>
      </c>
      <c r="W34" t="s">
        <v>20</v>
      </c>
      <c r="X34" t="s">
        <v>21</v>
      </c>
      <c r="Y34" t="s">
        <v>22</v>
      </c>
      <c r="Z34" t="s">
        <v>23</v>
      </c>
      <c r="AA34" s="8" t="s">
        <v>24</v>
      </c>
      <c r="AB34" s="8" t="s">
        <v>25</v>
      </c>
      <c r="AC34" s="8" t="s">
        <v>42</v>
      </c>
      <c r="AD34" s="8" t="s">
        <v>43</v>
      </c>
      <c r="AE34" s="8" t="s">
        <v>44</v>
      </c>
      <c r="AF34" s="8" t="s">
        <v>65</v>
      </c>
      <c r="AG34" s="8" t="s">
        <v>66</v>
      </c>
      <c r="AH34" s="8" t="s">
        <v>67</v>
      </c>
      <c r="AI34" s="8" t="s">
        <v>68</v>
      </c>
      <c r="AJ34" s="8" t="s">
        <v>69</v>
      </c>
      <c r="AK34" s="8" t="s">
        <v>70</v>
      </c>
      <c r="AL34" s="8" t="s">
        <v>71</v>
      </c>
      <c r="AM34" s="8" t="s">
        <v>72</v>
      </c>
      <c r="AN34" s="8" t="s">
        <v>73</v>
      </c>
      <c r="AO34" s="8" t="s">
        <v>74</v>
      </c>
      <c r="AP34" s="8" t="s">
        <v>75</v>
      </c>
      <c r="AQ34" s="8" t="s">
        <v>76</v>
      </c>
      <c r="AR34" s="9" t="s">
        <v>77</v>
      </c>
      <c r="AS34" s="14" t="s">
        <v>78</v>
      </c>
      <c r="AT34" s="15" t="s">
        <v>79</v>
      </c>
      <c r="AU34" s="16" t="s">
        <v>80</v>
      </c>
      <c r="AV34" s="4" t="s">
        <v>81</v>
      </c>
      <c r="AW34" s="17" t="s">
        <v>82</v>
      </c>
      <c r="AX34" s="18" t="s">
        <v>83</v>
      </c>
      <c r="AY34" s="2" t="s">
        <v>84</v>
      </c>
      <c r="AZ34" t="s">
        <v>85</v>
      </c>
      <c r="BA34" t="s">
        <v>86</v>
      </c>
      <c r="BB34" s="40" t="s">
        <v>87</v>
      </c>
      <c r="BC34" s="20" t="s">
        <v>88</v>
      </c>
      <c r="BD34" t="s">
        <v>89</v>
      </c>
      <c r="BE34" s="21" t="s">
        <v>90</v>
      </c>
      <c r="BF34" s="22" t="s">
        <v>91</v>
      </c>
      <c r="BG34" t="s">
        <v>92</v>
      </c>
      <c r="BH34" s="23" t="s">
        <v>93</v>
      </c>
      <c r="BI34" s="24" t="s">
        <v>94</v>
      </c>
      <c r="BJ34" t="s">
        <v>95</v>
      </c>
      <c r="BN34" t="s">
        <v>288</v>
      </c>
    </row>
    <row r="35" spans="1:75" x14ac:dyDescent="0.15">
      <c r="A35">
        <v>1</v>
      </c>
      <c r="B35" t="s">
        <v>394</v>
      </c>
      <c r="C35" t="s">
        <v>395</v>
      </c>
      <c r="E35" t="s">
        <v>395</v>
      </c>
      <c r="F35">
        <v>1999</v>
      </c>
      <c r="G35">
        <v>1</v>
      </c>
      <c r="H35" t="s">
        <v>396</v>
      </c>
      <c r="I35">
        <v>6</v>
      </c>
      <c r="J35">
        <v>156</v>
      </c>
      <c r="K35" s="1">
        <v>45646.45208333333</v>
      </c>
      <c r="L35" t="s">
        <v>397</v>
      </c>
      <c r="M35" t="s">
        <v>398</v>
      </c>
      <c r="Q35" t="s">
        <v>31</v>
      </c>
      <c r="R35" t="s">
        <v>31</v>
      </c>
      <c r="S35" t="s">
        <v>399</v>
      </c>
      <c r="T35" t="s">
        <v>400</v>
      </c>
      <c r="U35" t="s">
        <v>31</v>
      </c>
      <c r="V35" t="s">
        <v>31</v>
      </c>
      <c r="W35" t="s">
        <v>31</v>
      </c>
      <c r="X35" t="s">
        <v>31</v>
      </c>
      <c r="Y35">
        <v>17</v>
      </c>
      <c r="Z35" t="s">
        <v>401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1</v>
      </c>
      <c r="AG35">
        <v>1999</v>
      </c>
      <c r="AH35" t="s">
        <v>61</v>
      </c>
      <c r="AI35">
        <v>10</v>
      </c>
      <c r="AJ35">
        <v>100</v>
      </c>
      <c r="AK35">
        <v>10</v>
      </c>
      <c r="AL35">
        <v>100</v>
      </c>
      <c r="AM35">
        <v>10</v>
      </c>
      <c r="AN35">
        <v>70</v>
      </c>
      <c r="AO35" s="6">
        <v>10</v>
      </c>
      <c r="AP35" s="40">
        <v>10</v>
      </c>
      <c r="AQ35">
        <v>70</v>
      </c>
      <c r="AR35">
        <v>1</v>
      </c>
      <c r="AS35">
        <v>10</v>
      </c>
      <c r="AT35">
        <v>10</v>
      </c>
      <c r="AU35">
        <v>70</v>
      </c>
      <c r="AV35">
        <v>50</v>
      </c>
      <c r="AW35">
        <v>30</v>
      </c>
      <c r="AX35">
        <v>10</v>
      </c>
      <c r="AY35">
        <v>1</v>
      </c>
      <c r="AZ35" t="s">
        <v>31</v>
      </c>
      <c r="BA35" t="s">
        <v>31</v>
      </c>
      <c r="BB35" s="11">
        <v>10</v>
      </c>
      <c r="BC35" s="6">
        <v>14.2857</v>
      </c>
      <c r="BD35" t="s">
        <v>411</v>
      </c>
      <c r="BE35" t="s">
        <v>31</v>
      </c>
      <c r="BF35" t="s">
        <v>31</v>
      </c>
      <c r="BG35" t="s">
        <v>31</v>
      </c>
      <c r="BH35" t="s">
        <v>31</v>
      </c>
      <c r="BI35" t="s">
        <v>31</v>
      </c>
      <c r="BJ35" t="s">
        <v>31</v>
      </c>
      <c r="BN35" t="s">
        <v>289</v>
      </c>
      <c r="BU35" t="s">
        <v>118</v>
      </c>
      <c r="BV35" t="s">
        <v>2</v>
      </c>
      <c r="BW35" t="s">
        <v>67</v>
      </c>
    </row>
    <row r="36" spans="1:75" x14ac:dyDescent="0.15">
      <c r="A36">
        <v>2</v>
      </c>
      <c r="B36" t="s">
        <v>394</v>
      </c>
      <c r="C36" t="s">
        <v>395</v>
      </c>
      <c r="E36" t="s">
        <v>395</v>
      </c>
      <c r="F36">
        <v>1999</v>
      </c>
      <c r="G36">
        <v>1</v>
      </c>
      <c r="H36" t="s">
        <v>396</v>
      </c>
      <c r="I36">
        <v>6</v>
      </c>
      <c r="J36">
        <v>156</v>
      </c>
      <c r="K36" s="1">
        <v>45646.45208333333</v>
      </c>
      <c r="L36" t="s">
        <v>397</v>
      </c>
      <c r="M36" t="s">
        <v>398</v>
      </c>
      <c r="Q36" t="s">
        <v>31</v>
      </c>
      <c r="R36" t="s">
        <v>31</v>
      </c>
      <c r="S36" t="s">
        <v>399</v>
      </c>
      <c r="T36" t="s">
        <v>400</v>
      </c>
      <c r="U36" t="s">
        <v>31</v>
      </c>
      <c r="V36" t="s">
        <v>31</v>
      </c>
      <c r="W36" t="s">
        <v>31</v>
      </c>
      <c r="X36" t="s">
        <v>31</v>
      </c>
      <c r="Y36">
        <v>18</v>
      </c>
      <c r="Z36" t="s">
        <v>406</v>
      </c>
      <c r="AA36">
        <v>4</v>
      </c>
      <c r="AB36">
        <v>4</v>
      </c>
      <c r="AC36">
        <v>4</v>
      </c>
      <c r="AD36">
        <v>4</v>
      </c>
      <c r="AE36">
        <v>4</v>
      </c>
      <c r="AF36" s="20">
        <v>1</v>
      </c>
      <c r="AG36">
        <v>1999</v>
      </c>
      <c r="AH36" t="s">
        <v>61</v>
      </c>
      <c r="AI36">
        <v>10</v>
      </c>
      <c r="AJ36">
        <v>100</v>
      </c>
      <c r="AK36">
        <v>10</v>
      </c>
      <c r="AL36" s="25">
        <v>100</v>
      </c>
      <c r="AM36">
        <v>10</v>
      </c>
      <c r="AN36">
        <v>70</v>
      </c>
      <c r="AO36" s="6">
        <v>10</v>
      </c>
      <c r="AP36" s="20">
        <v>10</v>
      </c>
      <c r="AQ36" s="41">
        <v>70</v>
      </c>
      <c r="AR36">
        <v>1</v>
      </c>
      <c r="AS36">
        <v>10</v>
      </c>
      <c r="AT36">
        <v>10</v>
      </c>
      <c r="AU36">
        <v>70</v>
      </c>
      <c r="AV36">
        <v>50</v>
      </c>
      <c r="AW36">
        <v>30</v>
      </c>
      <c r="AX36">
        <v>10</v>
      </c>
      <c r="AY36">
        <v>1</v>
      </c>
      <c r="AZ36" t="s">
        <v>31</v>
      </c>
      <c r="BA36" t="s">
        <v>31</v>
      </c>
      <c r="BB36" s="11">
        <v>10</v>
      </c>
      <c r="BC36" s="6">
        <v>14.2857</v>
      </c>
      <c r="BD36" t="s">
        <v>411</v>
      </c>
      <c r="BE36" t="s">
        <v>31</v>
      </c>
      <c r="BF36" t="s">
        <v>31</v>
      </c>
      <c r="BG36" t="s">
        <v>31</v>
      </c>
      <c r="BH36" t="s">
        <v>31</v>
      </c>
      <c r="BI36" t="s">
        <v>31</v>
      </c>
      <c r="BJ36" t="s">
        <v>31</v>
      </c>
      <c r="BN36" t="s">
        <v>296</v>
      </c>
      <c r="BV36" t="s">
        <v>27</v>
      </c>
      <c r="BW36" t="s">
        <v>63</v>
      </c>
    </row>
    <row r="37" spans="1:75" x14ac:dyDescent="0.15">
      <c r="A37">
        <v>3</v>
      </c>
      <c r="B37" t="s">
        <v>394</v>
      </c>
      <c r="C37" t="s">
        <v>395</v>
      </c>
      <c r="E37" t="s">
        <v>395</v>
      </c>
      <c r="F37">
        <v>1999</v>
      </c>
      <c r="G37">
        <v>1</v>
      </c>
      <c r="H37" t="s">
        <v>396</v>
      </c>
      <c r="I37">
        <v>6</v>
      </c>
      <c r="J37">
        <v>156</v>
      </c>
      <c r="K37" s="1">
        <v>45646.45208333333</v>
      </c>
      <c r="L37" t="s">
        <v>397</v>
      </c>
      <c r="M37" t="s">
        <v>398</v>
      </c>
      <c r="Q37" t="s">
        <v>31</v>
      </c>
      <c r="R37" t="s">
        <v>31</v>
      </c>
      <c r="S37" t="s">
        <v>399</v>
      </c>
      <c r="T37" t="s">
        <v>400</v>
      </c>
      <c r="U37" t="s">
        <v>31</v>
      </c>
      <c r="V37" t="s">
        <v>31</v>
      </c>
      <c r="W37" t="s">
        <v>31</v>
      </c>
      <c r="X37" t="s">
        <v>31</v>
      </c>
      <c r="Y37">
        <v>19</v>
      </c>
      <c r="Z37" t="s">
        <v>404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1</v>
      </c>
      <c r="AG37">
        <v>1999</v>
      </c>
      <c r="AH37" t="s">
        <v>61</v>
      </c>
      <c r="AI37">
        <v>10</v>
      </c>
      <c r="AJ37">
        <v>100</v>
      </c>
      <c r="AK37">
        <v>10</v>
      </c>
      <c r="AL37">
        <v>100</v>
      </c>
      <c r="AM37">
        <v>10</v>
      </c>
      <c r="AN37">
        <v>70</v>
      </c>
      <c r="AO37" s="6">
        <v>10</v>
      </c>
      <c r="AP37">
        <v>10</v>
      </c>
      <c r="AQ37">
        <v>70</v>
      </c>
      <c r="AR37">
        <v>1</v>
      </c>
      <c r="AS37">
        <v>10</v>
      </c>
      <c r="AT37">
        <v>10</v>
      </c>
      <c r="AU37">
        <v>70</v>
      </c>
      <c r="AV37">
        <v>50</v>
      </c>
      <c r="AW37">
        <v>30</v>
      </c>
      <c r="AX37">
        <v>10</v>
      </c>
      <c r="AY37">
        <v>1</v>
      </c>
      <c r="AZ37" t="s">
        <v>31</v>
      </c>
      <c r="BA37" t="s">
        <v>31</v>
      </c>
      <c r="BB37" s="11">
        <v>10</v>
      </c>
      <c r="BC37" s="6">
        <v>14.2857</v>
      </c>
      <c r="BD37" t="s">
        <v>411</v>
      </c>
      <c r="BE37" t="s">
        <v>31</v>
      </c>
      <c r="BF37" t="s">
        <v>31</v>
      </c>
      <c r="BG37" t="s">
        <v>31</v>
      </c>
      <c r="BH37" t="s">
        <v>31</v>
      </c>
      <c r="BI37" t="s">
        <v>31</v>
      </c>
      <c r="BJ37" t="s">
        <v>31</v>
      </c>
      <c r="BN37" t="s">
        <v>291</v>
      </c>
      <c r="BV37" t="s">
        <v>27</v>
      </c>
      <c r="BW37" t="s">
        <v>62</v>
      </c>
    </row>
    <row r="38" spans="1:75" x14ac:dyDescent="0.15">
      <c r="A38">
        <v>4</v>
      </c>
      <c r="B38" t="s">
        <v>394</v>
      </c>
      <c r="C38" t="s">
        <v>395</v>
      </c>
      <c r="E38" t="s">
        <v>395</v>
      </c>
      <c r="F38">
        <v>1999</v>
      </c>
      <c r="G38">
        <v>1</v>
      </c>
      <c r="H38" t="s">
        <v>396</v>
      </c>
      <c r="I38">
        <v>6</v>
      </c>
      <c r="J38">
        <v>156</v>
      </c>
      <c r="K38" s="1">
        <v>45646.45208333333</v>
      </c>
      <c r="L38" t="s">
        <v>397</v>
      </c>
      <c r="M38" t="s">
        <v>398</v>
      </c>
      <c r="Q38" t="s">
        <v>31</v>
      </c>
      <c r="R38" t="s">
        <v>31</v>
      </c>
      <c r="S38" t="s">
        <v>399</v>
      </c>
      <c r="T38" t="s">
        <v>400</v>
      </c>
      <c r="U38" t="s">
        <v>31</v>
      </c>
      <c r="V38" t="s">
        <v>31</v>
      </c>
      <c r="W38" t="s">
        <v>31</v>
      </c>
      <c r="X38" t="s">
        <v>31</v>
      </c>
      <c r="Y38">
        <v>20</v>
      </c>
      <c r="Z38" t="s">
        <v>403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1</v>
      </c>
      <c r="AG38">
        <v>1999</v>
      </c>
      <c r="AH38" t="s">
        <v>63</v>
      </c>
      <c r="AI38">
        <v>10</v>
      </c>
      <c r="AJ38">
        <v>100</v>
      </c>
      <c r="AK38">
        <v>10</v>
      </c>
      <c r="AL38">
        <v>100</v>
      </c>
      <c r="AM38">
        <v>10</v>
      </c>
      <c r="AN38">
        <v>70</v>
      </c>
      <c r="AO38" s="6">
        <v>10</v>
      </c>
      <c r="AP38">
        <v>10</v>
      </c>
      <c r="AQ38">
        <v>70</v>
      </c>
      <c r="AR38">
        <v>1</v>
      </c>
      <c r="AS38">
        <v>10</v>
      </c>
      <c r="AT38">
        <v>10</v>
      </c>
      <c r="AU38">
        <v>70</v>
      </c>
      <c r="AV38">
        <v>50</v>
      </c>
      <c r="AW38">
        <v>25</v>
      </c>
      <c r="AX38">
        <v>10</v>
      </c>
      <c r="AY38">
        <v>1</v>
      </c>
      <c r="AZ38" t="s">
        <v>31</v>
      </c>
      <c r="BA38" t="s">
        <v>31</v>
      </c>
      <c r="BB38" s="11">
        <v>10</v>
      </c>
      <c r="BC38" s="6">
        <v>14.2857</v>
      </c>
      <c r="BD38" t="s">
        <v>411</v>
      </c>
      <c r="BE38" t="s">
        <v>31</v>
      </c>
      <c r="BF38" t="s">
        <v>31</v>
      </c>
      <c r="BG38" t="s">
        <v>31</v>
      </c>
      <c r="BH38" t="s">
        <v>31</v>
      </c>
      <c r="BI38" t="s">
        <v>31</v>
      </c>
      <c r="BJ38" t="s">
        <v>31</v>
      </c>
      <c r="BN38" t="s">
        <v>292</v>
      </c>
      <c r="BV38" t="s">
        <v>27</v>
      </c>
      <c r="BW38" t="s">
        <v>61</v>
      </c>
    </row>
    <row r="39" spans="1:75" x14ac:dyDescent="0.15">
      <c r="A39">
        <v>5</v>
      </c>
      <c r="B39" t="s">
        <v>394</v>
      </c>
      <c r="C39" t="s">
        <v>395</v>
      </c>
      <c r="E39" t="s">
        <v>395</v>
      </c>
      <c r="F39">
        <v>1999</v>
      </c>
      <c r="G39">
        <v>1</v>
      </c>
      <c r="H39" t="s">
        <v>396</v>
      </c>
      <c r="I39">
        <v>6</v>
      </c>
      <c r="J39">
        <v>156</v>
      </c>
      <c r="K39" s="1">
        <v>45646.45208333333</v>
      </c>
      <c r="L39" t="s">
        <v>397</v>
      </c>
      <c r="M39" t="s">
        <v>398</v>
      </c>
      <c r="Q39" t="s">
        <v>31</v>
      </c>
      <c r="R39" t="s">
        <v>31</v>
      </c>
      <c r="S39" t="s">
        <v>399</v>
      </c>
      <c r="T39" t="s">
        <v>400</v>
      </c>
      <c r="U39" t="s">
        <v>31</v>
      </c>
      <c r="V39" t="s">
        <v>31</v>
      </c>
      <c r="W39" t="s">
        <v>31</v>
      </c>
      <c r="X39" t="s">
        <v>31</v>
      </c>
      <c r="Y39">
        <v>21</v>
      </c>
      <c r="Z39" t="s">
        <v>408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1</v>
      </c>
      <c r="AG39">
        <v>1999</v>
      </c>
      <c r="AH39" t="s">
        <v>63</v>
      </c>
      <c r="AI39">
        <v>15</v>
      </c>
      <c r="AJ39">
        <v>100</v>
      </c>
      <c r="AK39">
        <v>15</v>
      </c>
      <c r="AL39">
        <v>100</v>
      </c>
      <c r="AM39">
        <v>15</v>
      </c>
      <c r="AN39">
        <v>70</v>
      </c>
      <c r="AO39" s="6">
        <v>15</v>
      </c>
      <c r="AP39">
        <v>15</v>
      </c>
      <c r="AQ39">
        <v>70</v>
      </c>
      <c r="AR39">
        <v>1</v>
      </c>
      <c r="AS39">
        <v>15</v>
      </c>
      <c r="AT39">
        <v>15</v>
      </c>
      <c r="AU39">
        <v>70</v>
      </c>
      <c r="AV39">
        <v>50</v>
      </c>
      <c r="AW39">
        <v>25</v>
      </c>
      <c r="AX39">
        <v>15</v>
      </c>
      <c r="AY39">
        <v>1</v>
      </c>
      <c r="AZ39" t="s">
        <v>31</v>
      </c>
      <c r="BA39" t="s">
        <v>31</v>
      </c>
      <c r="BB39" s="11">
        <v>15</v>
      </c>
      <c r="BC39" s="6">
        <v>21.428599999999999</v>
      </c>
      <c r="BD39" t="s">
        <v>412</v>
      </c>
      <c r="BE39" t="s">
        <v>31</v>
      </c>
      <c r="BF39" t="s">
        <v>31</v>
      </c>
      <c r="BG39" t="s">
        <v>31</v>
      </c>
      <c r="BH39" t="s">
        <v>31</v>
      </c>
      <c r="BI39" t="s">
        <v>31</v>
      </c>
      <c r="BJ39" t="s">
        <v>31</v>
      </c>
      <c r="BN39" t="s">
        <v>290</v>
      </c>
      <c r="BV39" t="s">
        <v>27</v>
      </c>
      <c r="BW39" t="s">
        <v>64</v>
      </c>
    </row>
    <row r="40" spans="1:75" x14ac:dyDescent="0.15">
      <c r="A40">
        <v>6</v>
      </c>
      <c r="B40" t="s">
        <v>394</v>
      </c>
      <c r="C40" t="s">
        <v>395</v>
      </c>
      <c r="E40" t="s">
        <v>395</v>
      </c>
      <c r="F40">
        <v>1999</v>
      </c>
      <c r="G40">
        <v>1</v>
      </c>
      <c r="H40" t="s">
        <v>396</v>
      </c>
      <c r="I40">
        <v>6</v>
      </c>
      <c r="J40">
        <v>156</v>
      </c>
      <c r="K40" s="1">
        <v>45646.45208333333</v>
      </c>
      <c r="L40" t="s">
        <v>397</v>
      </c>
      <c r="M40" t="s">
        <v>398</v>
      </c>
      <c r="Q40" t="s">
        <v>31</v>
      </c>
      <c r="R40" t="s">
        <v>31</v>
      </c>
      <c r="S40" t="s">
        <v>399</v>
      </c>
      <c r="T40" t="s">
        <v>400</v>
      </c>
      <c r="U40" t="s">
        <v>31</v>
      </c>
      <c r="V40" t="s">
        <v>31</v>
      </c>
      <c r="W40" t="s">
        <v>31</v>
      </c>
      <c r="X40" t="s">
        <v>31</v>
      </c>
      <c r="Y40">
        <v>23</v>
      </c>
      <c r="Z40" t="s">
        <v>410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1</v>
      </c>
      <c r="AG40">
        <v>1999</v>
      </c>
      <c r="AH40" t="s">
        <v>62</v>
      </c>
      <c r="AI40">
        <v>10</v>
      </c>
      <c r="AJ40">
        <v>100</v>
      </c>
      <c r="AK40">
        <v>10</v>
      </c>
      <c r="AL40">
        <v>100</v>
      </c>
      <c r="AM40">
        <v>10</v>
      </c>
      <c r="AN40">
        <v>70</v>
      </c>
      <c r="AO40" s="6">
        <v>10</v>
      </c>
      <c r="AP40">
        <v>10</v>
      </c>
      <c r="AQ40">
        <v>70</v>
      </c>
      <c r="AR40">
        <v>1</v>
      </c>
      <c r="AS40">
        <v>10</v>
      </c>
      <c r="AT40">
        <v>10</v>
      </c>
      <c r="AU40">
        <v>70</v>
      </c>
      <c r="AV40">
        <v>50</v>
      </c>
      <c r="AW40">
        <v>10</v>
      </c>
      <c r="AX40">
        <v>10</v>
      </c>
      <c r="AY40">
        <v>1</v>
      </c>
      <c r="AZ40" t="s">
        <v>31</v>
      </c>
      <c r="BA40" t="s">
        <v>31</v>
      </c>
      <c r="BB40" s="11">
        <v>10</v>
      </c>
      <c r="BC40" s="6">
        <v>14.2857</v>
      </c>
      <c r="BD40" t="s">
        <v>411</v>
      </c>
      <c r="BE40" t="s">
        <v>31</v>
      </c>
      <c r="BF40" t="s">
        <v>31</v>
      </c>
      <c r="BG40" t="s">
        <v>31</v>
      </c>
      <c r="BH40" t="s">
        <v>31</v>
      </c>
      <c r="BI40" t="s">
        <v>31</v>
      </c>
      <c r="BJ40" t="s">
        <v>31</v>
      </c>
      <c r="BN40" t="s">
        <v>293</v>
      </c>
    </row>
    <row r="41" spans="1:75" x14ac:dyDescent="0.15">
      <c r="A41">
        <v>7</v>
      </c>
      <c r="B41" t="s">
        <v>394</v>
      </c>
      <c r="C41" t="s">
        <v>395</v>
      </c>
      <c r="E41" t="s">
        <v>395</v>
      </c>
      <c r="F41">
        <v>1999</v>
      </c>
      <c r="G41">
        <v>1</v>
      </c>
      <c r="H41" t="s">
        <v>396</v>
      </c>
      <c r="I41">
        <v>6</v>
      </c>
      <c r="J41">
        <v>156</v>
      </c>
      <c r="K41" s="1">
        <v>45646.45208333333</v>
      </c>
      <c r="L41" t="s">
        <v>397</v>
      </c>
      <c r="M41" t="s">
        <v>398</v>
      </c>
      <c r="Q41" t="s">
        <v>31</v>
      </c>
      <c r="R41" t="s">
        <v>31</v>
      </c>
      <c r="S41" t="s">
        <v>399</v>
      </c>
      <c r="T41" t="s">
        <v>400</v>
      </c>
      <c r="U41" t="s">
        <v>31</v>
      </c>
      <c r="V41" t="s">
        <v>31</v>
      </c>
      <c r="W41" t="s">
        <v>31</v>
      </c>
      <c r="X41" t="s">
        <v>31</v>
      </c>
      <c r="Y41">
        <v>25</v>
      </c>
      <c r="Z41" t="s">
        <v>402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1</v>
      </c>
      <c r="AG41">
        <v>1999</v>
      </c>
      <c r="AH41" t="s">
        <v>64</v>
      </c>
      <c r="AI41">
        <v>5</v>
      </c>
      <c r="AJ41">
        <v>100</v>
      </c>
      <c r="AK41">
        <v>5</v>
      </c>
      <c r="AL41">
        <v>100</v>
      </c>
      <c r="AM41">
        <v>5</v>
      </c>
      <c r="AN41">
        <v>70</v>
      </c>
      <c r="AO41" s="6">
        <v>5</v>
      </c>
      <c r="AP41">
        <v>5</v>
      </c>
      <c r="AQ41">
        <v>70</v>
      </c>
      <c r="AR41">
        <v>1</v>
      </c>
      <c r="AS41">
        <v>5</v>
      </c>
      <c r="AT41">
        <v>5</v>
      </c>
      <c r="AU41">
        <v>70</v>
      </c>
      <c r="AV41">
        <v>50</v>
      </c>
      <c r="AW41">
        <v>5</v>
      </c>
      <c r="AX41">
        <v>5</v>
      </c>
      <c r="AY41">
        <v>1</v>
      </c>
      <c r="AZ41" t="s">
        <v>31</v>
      </c>
      <c r="BA41" t="s">
        <v>31</v>
      </c>
      <c r="BB41" s="11">
        <v>5</v>
      </c>
      <c r="BC41" s="6">
        <v>7.1429</v>
      </c>
      <c r="BD41" t="s">
        <v>413</v>
      </c>
      <c r="BE41" t="s">
        <v>31</v>
      </c>
      <c r="BF41" t="s">
        <v>31</v>
      </c>
      <c r="BG41" t="s">
        <v>31</v>
      </c>
      <c r="BH41" t="s">
        <v>31</v>
      </c>
      <c r="BI41" t="s">
        <v>31</v>
      </c>
      <c r="BJ41" t="s">
        <v>31</v>
      </c>
      <c r="BN41" t="s">
        <v>294</v>
      </c>
    </row>
    <row r="42" spans="1:75" x14ac:dyDescent="0.15">
      <c r="K42" s="1"/>
      <c r="BU42" t="s">
        <v>297</v>
      </c>
      <c r="BV42" t="s">
        <v>2</v>
      </c>
      <c r="BW42" t="s">
        <v>81</v>
      </c>
    </row>
    <row r="43" spans="1:75" x14ac:dyDescent="0.15">
      <c r="K43" s="1"/>
      <c r="BV43" t="s">
        <v>27</v>
      </c>
      <c r="BW43">
        <v>65</v>
      </c>
    </row>
    <row r="44" spans="1:75" x14ac:dyDescent="0.15">
      <c r="K44" s="1"/>
      <c r="BB44" s="7" t="s">
        <v>283</v>
      </c>
      <c r="BC44" s="7">
        <f>AF35 * AP35 * (100/AQ35)</f>
        <v>14.285714285714286</v>
      </c>
    </row>
    <row r="46" spans="1:75" x14ac:dyDescent="0.15">
      <c r="BC46" t="s">
        <v>302</v>
      </c>
      <c r="BM46" s="17" t="s">
        <v>82</v>
      </c>
      <c r="BN46" t="s">
        <v>298</v>
      </c>
    </row>
    <row r="48" spans="1:75" x14ac:dyDescent="0.15">
      <c r="BA48" s="8" t="s">
        <v>75</v>
      </c>
      <c r="BB48" s="40" t="s">
        <v>87</v>
      </c>
    </row>
    <row r="49" spans="53:66" x14ac:dyDescent="0.15">
      <c r="BA49" s="40">
        <v>10</v>
      </c>
      <c r="BB49" s="11">
        <f>AP35*(100/AQ35)</f>
        <v>14.285714285714286</v>
      </c>
      <c r="BM49" s="18" t="s">
        <v>83</v>
      </c>
      <c r="BN49" t="s">
        <v>299</v>
      </c>
    </row>
    <row r="50" spans="53:66" x14ac:dyDescent="0.15">
      <c r="BA50" s="20">
        <v>10</v>
      </c>
      <c r="BB50" s="11">
        <f t="shared" ref="BB50:BB55" si="0">AP36*(100/AQ36)</f>
        <v>14.285714285714286</v>
      </c>
    </row>
    <row r="51" spans="53:66" x14ac:dyDescent="0.15">
      <c r="BA51">
        <v>10</v>
      </c>
      <c r="BB51" s="11">
        <f t="shared" si="0"/>
        <v>14.285714285714286</v>
      </c>
    </row>
    <row r="52" spans="53:66" x14ac:dyDescent="0.15">
      <c r="BA52">
        <v>10</v>
      </c>
      <c r="BB52" s="11">
        <f t="shared" si="0"/>
        <v>14.285714285714286</v>
      </c>
      <c r="BM52" s="2" t="s">
        <v>84</v>
      </c>
      <c r="BN52" t="s">
        <v>300</v>
      </c>
    </row>
    <row r="53" spans="53:66" x14ac:dyDescent="0.15">
      <c r="BA53">
        <v>15</v>
      </c>
      <c r="BB53" s="11">
        <f t="shared" si="0"/>
        <v>21.428571428571431</v>
      </c>
    </row>
    <row r="54" spans="53:66" x14ac:dyDescent="0.15">
      <c r="BA54">
        <v>10</v>
      </c>
      <c r="BB54" s="11">
        <f t="shared" si="0"/>
        <v>14.285714285714286</v>
      </c>
    </row>
    <row r="55" spans="53:66" x14ac:dyDescent="0.15">
      <c r="BA55">
        <v>5</v>
      </c>
      <c r="BB55" s="11">
        <f t="shared" si="0"/>
        <v>7.1428571428571432</v>
      </c>
    </row>
    <row r="56" spans="53:66" x14ac:dyDescent="0.15">
      <c r="BM56" s="19" t="s">
        <v>87</v>
      </c>
      <c r="BN56" t="s">
        <v>301</v>
      </c>
    </row>
    <row r="58" spans="53:66" x14ac:dyDescent="0.15">
      <c r="BM58" s="20" t="s">
        <v>88</v>
      </c>
      <c r="BN58" t="s">
        <v>302</v>
      </c>
    </row>
    <row r="59" spans="53:66" x14ac:dyDescent="0.15">
      <c r="BN59" s="7" t="s">
        <v>269</v>
      </c>
    </row>
    <row r="60" spans="53:66" x14ac:dyDescent="0.15">
      <c r="BN60" s="7" t="s">
        <v>303</v>
      </c>
    </row>
    <row r="63" spans="53:66" x14ac:dyDescent="0.15">
      <c r="BM63" s="21" t="s">
        <v>90</v>
      </c>
      <c r="BN63" t="s">
        <v>304</v>
      </c>
    </row>
    <row r="65" spans="65:66" x14ac:dyDescent="0.15">
      <c r="BM65" s="22" t="s">
        <v>91</v>
      </c>
      <c r="BN65" t="s">
        <v>305</v>
      </c>
    </row>
    <row r="68" spans="65:66" x14ac:dyDescent="0.15">
      <c r="BM68" s="23" t="s">
        <v>93</v>
      </c>
      <c r="BN68" t="s">
        <v>306</v>
      </c>
    </row>
    <row r="70" spans="65:66" x14ac:dyDescent="0.15">
      <c r="BM70" s="24" t="s">
        <v>94</v>
      </c>
      <c r="BN70" t="s">
        <v>307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7DC6-607E-40FB-A6C9-E153A0261A85}">
  <dimension ref="A1:CG73"/>
  <sheetViews>
    <sheetView topLeftCell="A12" zoomScale="85" zoomScaleNormal="85" workbookViewId="0">
      <pane xSplit="1" topLeftCell="AU12" activePane="topRight" state="frozen"/>
      <selection activeCell="A12" sqref="A12"/>
      <selection pane="topRight" activeCell="AL61" sqref="AL61"/>
    </sheetView>
  </sheetViews>
  <sheetFormatPr defaultRowHeight="14.25" x14ac:dyDescent="0.15"/>
  <cols>
    <col min="39" max="39" width="11.11328125" customWidth="1"/>
    <col min="47" max="47" width="15.234375" bestFit="1" customWidth="1"/>
    <col min="54" max="54" width="11.86328125" customWidth="1"/>
    <col min="61" max="61" width="16.234375" bestFit="1" customWidth="1"/>
  </cols>
  <sheetData>
    <row r="1" spans="1:63" x14ac:dyDescent="0.15">
      <c r="A1" s="2" t="s">
        <v>40</v>
      </c>
      <c r="B1" t="s">
        <v>2</v>
      </c>
      <c r="C1" t="s">
        <v>3</v>
      </c>
      <c r="D1" t="s">
        <v>4</v>
      </c>
      <c r="E1" t="s">
        <v>101</v>
      </c>
      <c r="F1" t="s">
        <v>102</v>
      </c>
      <c r="G1" t="s">
        <v>0</v>
      </c>
      <c r="H1" t="s">
        <v>1</v>
      </c>
      <c r="I1" t="s">
        <v>41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103</v>
      </c>
      <c r="W1" t="s">
        <v>21</v>
      </c>
      <c r="X1" t="s">
        <v>67</v>
      </c>
      <c r="Y1" t="s">
        <v>22</v>
      </c>
      <c r="Z1" t="s">
        <v>104</v>
      </c>
      <c r="AA1" t="s">
        <v>23</v>
      </c>
      <c r="AB1" t="s">
        <v>24</v>
      </c>
      <c r="AC1" t="s">
        <v>25</v>
      </c>
      <c r="AD1" t="s">
        <v>44</v>
      </c>
      <c r="AE1" t="s">
        <v>65</v>
      </c>
      <c r="AF1" t="s">
        <v>79</v>
      </c>
      <c r="AG1" t="s">
        <v>78</v>
      </c>
      <c r="AH1" t="s">
        <v>68</v>
      </c>
      <c r="AI1" t="s">
        <v>75</v>
      </c>
      <c r="AJ1" s="25" t="s">
        <v>74</v>
      </c>
      <c r="AK1" t="s">
        <v>76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s="4" t="s">
        <v>105</v>
      </c>
      <c r="AV1" t="s">
        <v>106</v>
      </c>
      <c r="AW1" t="s">
        <v>107</v>
      </c>
      <c r="AX1" t="s">
        <v>108</v>
      </c>
      <c r="AY1" s="27" t="s">
        <v>109</v>
      </c>
      <c r="AZ1" t="s">
        <v>110</v>
      </c>
      <c r="BA1" t="s">
        <v>111</v>
      </c>
      <c r="BB1" t="s">
        <v>112</v>
      </c>
      <c r="BC1" s="2" t="s">
        <v>113</v>
      </c>
      <c r="BD1" t="s">
        <v>114</v>
      </c>
      <c r="BH1" s="26"/>
      <c r="BI1" s="4" t="s">
        <v>105</v>
      </c>
      <c r="BJ1" t="s">
        <v>162</v>
      </c>
    </row>
    <row r="2" spans="1:63" x14ac:dyDescent="0.15">
      <c r="A2">
        <v>1</v>
      </c>
      <c r="B2" t="s">
        <v>27</v>
      </c>
      <c r="C2">
        <v>2021</v>
      </c>
      <c r="D2">
        <v>1</v>
      </c>
      <c r="E2" t="s">
        <v>115</v>
      </c>
      <c r="F2" t="s">
        <v>116</v>
      </c>
      <c r="G2" t="s">
        <v>26</v>
      </c>
      <c r="I2" t="s">
        <v>26</v>
      </c>
      <c r="J2" t="s">
        <v>28</v>
      </c>
      <c r="K2">
        <v>123</v>
      </c>
      <c r="L2">
        <v>123</v>
      </c>
      <c r="M2" s="1">
        <v>44414.390844907408</v>
      </c>
      <c r="N2" t="s">
        <v>29</v>
      </c>
      <c r="O2" t="s">
        <v>26</v>
      </c>
      <c r="P2" t="s">
        <v>30</v>
      </c>
      <c r="T2" t="s">
        <v>31</v>
      </c>
      <c r="U2" t="s">
        <v>32</v>
      </c>
      <c r="W2" t="s">
        <v>31</v>
      </c>
      <c r="X2" t="s">
        <v>61</v>
      </c>
      <c r="Y2">
        <v>1</v>
      </c>
      <c r="Z2" s="6" t="s">
        <v>117</v>
      </c>
      <c r="AA2" s="6" t="s">
        <v>33</v>
      </c>
      <c r="AB2" s="6">
        <v>4</v>
      </c>
      <c r="AC2" s="6">
        <v>4</v>
      </c>
      <c r="AD2" s="6">
        <v>4</v>
      </c>
      <c r="AE2" s="6">
        <v>1</v>
      </c>
      <c r="AF2" s="6">
        <v>15</v>
      </c>
      <c r="AG2" s="6">
        <v>15</v>
      </c>
      <c r="AH2" s="6">
        <v>15</v>
      </c>
      <c r="AI2" s="6">
        <v>15</v>
      </c>
      <c r="AJ2" s="6">
        <v>15</v>
      </c>
      <c r="AK2" s="6">
        <v>100</v>
      </c>
      <c r="AL2" s="6">
        <v>15</v>
      </c>
      <c r="AM2" s="6">
        <v>15</v>
      </c>
      <c r="AN2" s="6" t="s">
        <v>96</v>
      </c>
      <c r="AO2" s="6" t="s">
        <v>31</v>
      </c>
      <c r="AP2" s="6" t="s">
        <v>31</v>
      </c>
      <c r="AQ2" s="6" t="s">
        <v>31</v>
      </c>
      <c r="AR2" s="6" t="s">
        <v>31</v>
      </c>
      <c r="AS2" s="6" t="s">
        <v>31</v>
      </c>
      <c r="AT2" s="6" t="s">
        <v>31</v>
      </c>
      <c r="AU2" s="6" t="s">
        <v>118</v>
      </c>
      <c r="AV2" s="6">
        <v>290</v>
      </c>
      <c r="AW2" s="6">
        <v>4</v>
      </c>
      <c r="AX2" s="6">
        <v>72.5</v>
      </c>
      <c r="AY2" s="6" t="s">
        <v>119</v>
      </c>
      <c r="AZ2" s="6">
        <v>72.5</v>
      </c>
      <c r="BA2" s="6">
        <v>1</v>
      </c>
      <c r="BB2" s="6">
        <v>72.5</v>
      </c>
      <c r="BC2" s="6" t="s">
        <v>119</v>
      </c>
      <c r="BD2" s="6">
        <v>-4</v>
      </c>
      <c r="BK2" t="s">
        <v>308</v>
      </c>
    </row>
    <row r="3" spans="1:63" x14ac:dyDescent="0.15">
      <c r="A3">
        <v>2</v>
      </c>
      <c r="B3" t="s">
        <v>27</v>
      </c>
      <c r="C3">
        <v>2021</v>
      </c>
      <c r="D3">
        <v>1</v>
      </c>
      <c r="E3" t="s">
        <v>115</v>
      </c>
      <c r="F3" t="s">
        <v>116</v>
      </c>
      <c r="G3" t="s">
        <v>26</v>
      </c>
      <c r="I3" t="s">
        <v>26</v>
      </c>
      <c r="J3" t="s">
        <v>28</v>
      </c>
      <c r="K3">
        <v>123</v>
      </c>
      <c r="L3">
        <v>123</v>
      </c>
      <c r="M3" s="1">
        <v>44414.390844907408</v>
      </c>
      <c r="N3" t="s">
        <v>29</v>
      </c>
      <c r="O3" t="s">
        <v>26</v>
      </c>
      <c r="P3" t="s">
        <v>30</v>
      </c>
      <c r="T3" t="s">
        <v>31</v>
      </c>
      <c r="U3" t="s">
        <v>32</v>
      </c>
      <c r="W3" t="s">
        <v>31</v>
      </c>
      <c r="X3" t="s">
        <v>61</v>
      </c>
      <c r="Y3">
        <v>2</v>
      </c>
      <c r="Z3" t="s">
        <v>120</v>
      </c>
      <c r="AA3" t="s">
        <v>34</v>
      </c>
      <c r="AB3">
        <v>3</v>
      </c>
      <c r="AC3">
        <v>3</v>
      </c>
      <c r="AD3">
        <v>4</v>
      </c>
      <c r="AE3">
        <v>0.75</v>
      </c>
      <c r="AF3">
        <v>15</v>
      </c>
      <c r="AG3">
        <v>11.25</v>
      </c>
      <c r="AH3">
        <v>15</v>
      </c>
      <c r="AI3">
        <v>15</v>
      </c>
      <c r="AJ3">
        <v>11.25</v>
      </c>
      <c r="AK3">
        <v>100</v>
      </c>
      <c r="AL3">
        <v>15</v>
      </c>
      <c r="AM3">
        <v>11.25</v>
      </c>
      <c r="AN3" t="s">
        <v>100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t="s">
        <v>31</v>
      </c>
      <c r="AU3" t="s">
        <v>118</v>
      </c>
      <c r="AV3">
        <v>290</v>
      </c>
      <c r="AW3">
        <v>4</v>
      </c>
      <c r="AX3">
        <v>72.5</v>
      </c>
      <c r="AY3" t="s">
        <v>119</v>
      </c>
      <c r="AZ3">
        <v>72.5</v>
      </c>
      <c r="BA3">
        <v>1</v>
      </c>
      <c r="BB3">
        <v>72.5</v>
      </c>
      <c r="BC3" t="s">
        <v>119</v>
      </c>
      <c r="BD3">
        <v>-4</v>
      </c>
      <c r="BK3" t="s">
        <v>309</v>
      </c>
    </row>
    <row r="4" spans="1:63" x14ac:dyDescent="0.15">
      <c r="A4">
        <v>3</v>
      </c>
      <c r="B4" t="s">
        <v>27</v>
      </c>
      <c r="C4">
        <v>2021</v>
      </c>
      <c r="D4">
        <v>1</v>
      </c>
      <c r="E4" t="s">
        <v>115</v>
      </c>
      <c r="F4" t="s">
        <v>116</v>
      </c>
      <c r="G4" t="s">
        <v>26</v>
      </c>
      <c r="I4" t="s">
        <v>26</v>
      </c>
      <c r="J4" t="s">
        <v>28</v>
      </c>
      <c r="K4">
        <v>123</v>
      </c>
      <c r="L4">
        <v>123</v>
      </c>
      <c r="M4" s="1">
        <v>44414.390844907408</v>
      </c>
      <c r="N4" t="s">
        <v>29</v>
      </c>
      <c r="O4" t="s">
        <v>26</v>
      </c>
      <c r="P4" t="s">
        <v>30</v>
      </c>
      <c r="T4" t="s">
        <v>31</v>
      </c>
      <c r="U4" t="s">
        <v>32</v>
      </c>
      <c r="W4" t="s">
        <v>31</v>
      </c>
      <c r="X4" t="s">
        <v>64</v>
      </c>
      <c r="Y4">
        <v>4</v>
      </c>
      <c r="Z4" t="s">
        <v>121</v>
      </c>
      <c r="AA4" t="s">
        <v>36</v>
      </c>
      <c r="AB4">
        <v>4</v>
      </c>
      <c r="AC4">
        <v>4</v>
      </c>
      <c r="AD4">
        <v>4</v>
      </c>
      <c r="AE4">
        <v>1</v>
      </c>
      <c r="AF4">
        <v>5</v>
      </c>
      <c r="AG4">
        <v>5</v>
      </c>
      <c r="AH4">
        <v>5</v>
      </c>
      <c r="AI4">
        <v>5</v>
      </c>
      <c r="AJ4">
        <v>5</v>
      </c>
      <c r="AK4">
        <v>100</v>
      </c>
      <c r="AL4">
        <v>5</v>
      </c>
      <c r="AM4">
        <v>5</v>
      </c>
      <c r="AN4" t="s">
        <v>99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  <c r="AU4" t="s">
        <v>118</v>
      </c>
      <c r="AV4">
        <v>290</v>
      </c>
      <c r="AW4">
        <v>4</v>
      </c>
      <c r="AX4">
        <v>72.5</v>
      </c>
      <c r="AY4" t="s">
        <v>119</v>
      </c>
      <c r="AZ4">
        <v>72.5</v>
      </c>
      <c r="BA4">
        <v>1</v>
      </c>
      <c r="BB4">
        <v>72.5</v>
      </c>
      <c r="BC4" t="s">
        <v>119</v>
      </c>
      <c r="BD4">
        <v>-4</v>
      </c>
      <c r="BK4" t="s">
        <v>310</v>
      </c>
    </row>
    <row r="5" spans="1:63" x14ac:dyDescent="0.15">
      <c r="A5">
        <v>4</v>
      </c>
      <c r="B5" t="s">
        <v>27</v>
      </c>
      <c r="C5">
        <v>2021</v>
      </c>
      <c r="D5">
        <v>1</v>
      </c>
      <c r="E5" t="s">
        <v>115</v>
      </c>
      <c r="F5" t="s">
        <v>116</v>
      </c>
      <c r="G5" t="s">
        <v>26</v>
      </c>
      <c r="I5" t="s">
        <v>26</v>
      </c>
      <c r="J5" t="s">
        <v>28</v>
      </c>
      <c r="K5">
        <v>123</v>
      </c>
      <c r="L5">
        <v>123</v>
      </c>
      <c r="M5" s="1">
        <v>44414.390844907408</v>
      </c>
      <c r="N5" t="s">
        <v>29</v>
      </c>
      <c r="O5" t="s">
        <v>26</v>
      </c>
      <c r="P5" t="s">
        <v>30</v>
      </c>
      <c r="T5" t="s">
        <v>31</v>
      </c>
      <c r="U5" t="s">
        <v>32</v>
      </c>
      <c r="W5" t="s">
        <v>31</v>
      </c>
      <c r="X5" t="s">
        <v>63</v>
      </c>
      <c r="Y5">
        <v>3</v>
      </c>
      <c r="Z5" t="s">
        <v>122</v>
      </c>
      <c r="AA5" t="s">
        <v>35</v>
      </c>
      <c r="AB5">
        <v>3</v>
      </c>
      <c r="AC5">
        <v>3</v>
      </c>
      <c r="AD5">
        <v>4</v>
      </c>
      <c r="AE5">
        <v>0.75</v>
      </c>
      <c r="AF5">
        <v>30</v>
      </c>
      <c r="AG5">
        <v>22.5</v>
      </c>
      <c r="AH5">
        <v>30</v>
      </c>
      <c r="AI5">
        <v>30</v>
      </c>
      <c r="AJ5">
        <v>22.5</v>
      </c>
      <c r="AK5">
        <v>100</v>
      </c>
      <c r="AL5">
        <v>30</v>
      </c>
      <c r="AM5">
        <v>22.5</v>
      </c>
      <c r="AN5" t="s">
        <v>97</v>
      </c>
      <c r="AO5" t="s">
        <v>31</v>
      </c>
      <c r="AP5" t="s">
        <v>31</v>
      </c>
      <c r="AQ5" t="s">
        <v>31</v>
      </c>
      <c r="AR5" t="s">
        <v>31</v>
      </c>
      <c r="AS5" t="s">
        <v>31</v>
      </c>
      <c r="AT5" t="s">
        <v>31</v>
      </c>
      <c r="AU5" t="s">
        <v>118</v>
      </c>
      <c r="AV5">
        <v>290</v>
      </c>
      <c r="AW5">
        <v>4</v>
      </c>
      <c r="AX5">
        <v>72.5</v>
      </c>
      <c r="AY5" t="s">
        <v>119</v>
      </c>
      <c r="AZ5">
        <v>72.5</v>
      </c>
      <c r="BA5">
        <v>1</v>
      </c>
      <c r="BB5">
        <v>72.5</v>
      </c>
      <c r="BC5" t="s">
        <v>119</v>
      </c>
      <c r="BD5">
        <v>-4</v>
      </c>
      <c r="BK5" t="s">
        <v>311</v>
      </c>
    </row>
    <row r="6" spans="1:63" x14ac:dyDescent="0.15">
      <c r="A6">
        <v>5</v>
      </c>
      <c r="B6" t="s">
        <v>27</v>
      </c>
      <c r="C6">
        <v>2021</v>
      </c>
      <c r="D6">
        <v>1</v>
      </c>
      <c r="E6" t="s">
        <v>115</v>
      </c>
      <c r="F6" t="s">
        <v>116</v>
      </c>
      <c r="G6" t="s">
        <v>26</v>
      </c>
      <c r="I6" t="s">
        <v>26</v>
      </c>
      <c r="J6" t="s">
        <v>28</v>
      </c>
      <c r="K6">
        <v>123</v>
      </c>
      <c r="L6">
        <v>123</v>
      </c>
      <c r="M6" s="1">
        <v>44414.390844907408</v>
      </c>
      <c r="N6" t="s">
        <v>29</v>
      </c>
      <c r="O6" t="s">
        <v>26</v>
      </c>
      <c r="P6" t="s">
        <v>30</v>
      </c>
      <c r="T6" t="s">
        <v>31</v>
      </c>
      <c r="U6" t="s">
        <v>32</v>
      </c>
      <c r="W6" t="s">
        <v>31</v>
      </c>
      <c r="X6" t="s">
        <v>62</v>
      </c>
      <c r="Y6">
        <v>7</v>
      </c>
      <c r="Z6" t="s">
        <v>123</v>
      </c>
      <c r="AA6" t="s">
        <v>39</v>
      </c>
      <c r="AB6">
        <v>4</v>
      </c>
      <c r="AC6">
        <v>4</v>
      </c>
      <c r="AD6">
        <v>4</v>
      </c>
      <c r="AE6">
        <v>1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100</v>
      </c>
      <c r="AL6">
        <v>15</v>
      </c>
      <c r="AM6">
        <v>15</v>
      </c>
      <c r="AN6" t="s">
        <v>96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118</v>
      </c>
      <c r="AV6">
        <v>290</v>
      </c>
      <c r="AW6">
        <v>4</v>
      </c>
      <c r="AX6">
        <v>72.5</v>
      </c>
      <c r="AY6" t="s">
        <v>119</v>
      </c>
      <c r="AZ6">
        <v>72.5</v>
      </c>
      <c r="BA6">
        <v>1</v>
      </c>
      <c r="BB6">
        <v>72.5</v>
      </c>
      <c r="BC6" t="s">
        <v>119</v>
      </c>
      <c r="BD6">
        <v>-4</v>
      </c>
      <c r="BK6" t="s">
        <v>312</v>
      </c>
    </row>
    <row r="7" spans="1:63" x14ac:dyDescent="0.15">
      <c r="A7">
        <v>6</v>
      </c>
      <c r="B7" t="s">
        <v>27</v>
      </c>
      <c r="C7">
        <v>2021</v>
      </c>
      <c r="D7">
        <v>1</v>
      </c>
      <c r="E7" t="s">
        <v>115</v>
      </c>
      <c r="F7" t="s">
        <v>116</v>
      </c>
      <c r="G7" t="s">
        <v>26</v>
      </c>
      <c r="I7" t="s">
        <v>26</v>
      </c>
      <c r="J7" t="s">
        <v>28</v>
      </c>
      <c r="K7">
        <v>123</v>
      </c>
      <c r="L7">
        <v>123</v>
      </c>
      <c r="M7" s="1">
        <v>44414.390844907408</v>
      </c>
      <c r="N7" t="s">
        <v>29</v>
      </c>
      <c r="O7" t="s">
        <v>26</v>
      </c>
      <c r="P7" t="s">
        <v>30</v>
      </c>
      <c r="T7" t="s">
        <v>31</v>
      </c>
      <c r="U7" t="s">
        <v>32</v>
      </c>
      <c r="W7" t="s">
        <v>31</v>
      </c>
      <c r="X7" t="s">
        <v>62</v>
      </c>
      <c r="Y7">
        <v>6</v>
      </c>
      <c r="Z7" t="s">
        <v>124</v>
      </c>
      <c r="AA7" t="s">
        <v>38</v>
      </c>
      <c r="AB7">
        <v>4</v>
      </c>
      <c r="AC7">
        <v>4</v>
      </c>
      <c r="AD7">
        <v>4</v>
      </c>
      <c r="AE7">
        <v>1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100</v>
      </c>
      <c r="AL7">
        <v>15</v>
      </c>
      <c r="AM7">
        <v>15</v>
      </c>
      <c r="AN7" t="s">
        <v>96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31</v>
      </c>
      <c r="AU7" t="s">
        <v>118</v>
      </c>
      <c r="AV7">
        <v>290</v>
      </c>
      <c r="AW7">
        <v>4</v>
      </c>
      <c r="AX7">
        <v>72.5</v>
      </c>
      <c r="AY7" t="s">
        <v>119</v>
      </c>
      <c r="AZ7">
        <v>72.5</v>
      </c>
      <c r="BA7">
        <v>1</v>
      </c>
      <c r="BB7">
        <v>72.5</v>
      </c>
      <c r="BC7" t="s">
        <v>119</v>
      </c>
      <c r="BD7">
        <v>-4</v>
      </c>
      <c r="BJ7" t="s">
        <v>313</v>
      </c>
    </row>
    <row r="8" spans="1:63" x14ac:dyDescent="0.15">
      <c r="A8">
        <v>7</v>
      </c>
      <c r="B8" t="s">
        <v>27</v>
      </c>
      <c r="C8">
        <v>2021</v>
      </c>
      <c r="D8">
        <v>1</v>
      </c>
      <c r="E8" t="s">
        <v>115</v>
      </c>
      <c r="F8" t="s">
        <v>116</v>
      </c>
      <c r="G8" t="s">
        <v>26</v>
      </c>
      <c r="I8" t="s">
        <v>26</v>
      </c>
      <c r="J8" t="s">
        <v>28</v>
      </c>
      <c r="K8">
        <v>123</v>
      </c>
      <c r="L8">
        <v>123</v>
      </c>
      <c r="M8" s="1">
        <v>44414.390844907408</v>
      </c>
      <c r="N8" t="s">
        <v>29</v>
      </c>
      <c r="O8" t="s">
        <v>26</v>
      </c>
      <c r="P8" t="s">
        <v>30</v>
      </c>
      <c r="T8" t="s">
        <v>31</v>
      </c>
      <c r="U8" t="s">
        <v>32</v>
      </c>
      <c r="W8" t="s">
        <v>31</v>
      </c>
      <c r="X8" t="s">
        <v>64</v>
      </c>
      <c r="Y8">
        <v>5</v>
      </c>
      <c r="Z8" t="s">
        <v>125</v>
      </c>
      <c r="AA8" t="s">
        <v>37</v>
      </c>
      <c r="AB8">
        <v>3</v>
      </c>
      <c r="AC8">
        <v>3</v>
      </c>
      <c r="AD8">
        <v>4</v>
      </c>
      <c r="AE8">
        <v>0.75</v>
      </c>
      <c r="AF8">
        <v>5</v>
      </c>
      <c r="AG8">
        <v>3.75</v>
      </c>
      <c r="AH8">
        <v>5</v>
      </c>
      <c r="AI8">
        <v>5</v>
      </c>
      <c r="AJ8">
        <v>3.75</v>
      </c>
      <c r="AK8">
        <v>100</v>
      </c>
      <c r="AL8">
        <v>5</v>
      </c>
      <c r="AM8">
        <v>3.75</v>
      </c>
      <c r="AN8" t="s">
        <v>98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31</v>
      </c>
      <c r="AU8" t="s">
        <v>118</v>
      </c>
      <c r="AV8">
        <v>290</v>
      </c>
      <c r="AW8">
        <v>4</v>
      </c>
      <c r="AX8">
        <v>72.5</v>
      </c>
      <c r="AY8" t="s">
        <v>119</v>
      </c>
      <c r="AZ8">
        <v>72.5</v>
      </c>
      <c r="BA8">
        <v>1</v>
      </c>
      <c r="BB8">
        <v>72.5</v>
      </c>
      <c r="BC8" t="s">
        <v>119</v>
      </c>
      <c r="BD8">
        <v>-4</v>
      </c>
    </row>
    <row r="9" spans="1:63" x14ac:dyDescent="0.15">
      <c r="BJ9" s="7" t="s">
        <v>314</v>
      </c>
    </row>
    <row r="11" spans="1:63" x14ac:dyDescent="0.15">
      <c r="AU11" s="7" t="s">
        <v>316</v>
      </c>
      <c r="BJ11" s="7" t="s">
        <v>315</v>
      </c>
    </row>
    <row r="14" spans="1:63" x14ac:dyDescent="0.15">
      <c r="A14" s="2" t="s">
        <v>40</v>
      </c>
      <c r="B14" t="s">
        <v>2</v>
      </c>
      <c r="C14" t="s">
        <v>3</v>
      </c>
      <c r="D14" t="s">
        <v>4</v>
      </c>
      <c r="E14" t="s">
        <v>101</v>
      </c>
      <c r="F14" t="s">
        <v>102</v>
      </c>
      <c r="G14" t="s">
        <v>0</v>
      </c>
      <c r="H14" t="s">
        <v>1</v>
      </c>
      <c r="I14" t="s">
        <v>41</v>
      </c>
      <c r="J14" t="s">
        <v>5</v>
      </c>
      <c r="K14" t="s">
        <v>6</v>
      </c>
      <c r="L14" t="s">
        <v>7</v>
      </c>
      <c r="M14" t="s">
        <v>8</v>
      </c>
      <c r="N14" t="s">
        <v>9</v>
      </c>
      <c r="O14" t="s">
        <v>10</v>
      </c>
      <c r="P14" t="s">
        <v>11</v>
      </c>
      <c r="Q14" t="s">
        <v>12</v>
      </c>
      <c r="R14" t="s">
        <v>13</v>
      </c>
      <c r="S14" t="s">
        <v>14</v>
      </c>
      <c r="T14" t="s">
        <v>15</v>
      </c>
      <c r="U14" t="s">
        <v>16</v>
      </c>
      <c r="V14" t="s">
        <v>103</v>
      </c>
      <c r="W14" t="s">
        <v>21</v>
      </c>
      <c r="X14" t="s">
        <v>67</v>
      </c>
      <c r="Y14" t="s">
        <v>22</v>
      </c>
      <c r="Z14" t="s">
        <v>104</v>
      </c>
      <c r="AA14" t="s">
        <v>23</v>
      </c>
      <c r="AB14" t="s">
        <v>24</v>
      </c>
      <c r="AC14" t="s">
        <v>25</v>
      </c>
      <c r="AD14" t="s">
        <v>44</v>
      </c>
      <c r="AE14" t="s">
        <v>65</v>
      </c>
      <c r="AF14" t="s">
        <v>79</v>
      </c>
      <c r="AG14" t="s">
        <v>78</v>
      </c>
      <c r="AH14" t="s">
        <v>68</v>
      </c>
      <c r="AI14" t="s">
        <v>75</v>
      </c>
      <c r="AJ14" s="25" t="s">
        <v>74</v>
      </c>
      <c r="AK14" t="s">
        <v>76</v>
      </c>
      <c r="AL14" t="s">
        <v>87</v>
      </c>
      <c r="AM14" t="s">
        <v>88</v>
      </c>
      <c r="AN14" t="s">
        <v>89</v>
      </c>
      <c r="AO14" t="s">
        <v>90</v>
      </c>
      <c r="AP14" t="s">
        <v>91</v>
      </c>
      <c r="AQ14" t="s">
        <v>92</v>
      </c>
      <c r="AR14" t="s">
        <v>93</v>
      </c>
      <c r="AS14" t="s">
        <v>94</v>
      </c>
      <c r="AT14" t="s">
        <v>95</v>
      </c>
      <c r="AU14" s="4" t="s">
        <v>105</v>
      </c>
      <c r="AV14" t="s">
        <v>106</v>
      </c>
      <c r="AW14" t="s">
        <v>107</v>
      </c>
      <c r="AX14" t="s">
        <v>108</v>
      </c>
      <c r="AY14" s="27" t="s">
        <v>109</v>
      </c>
      <c r="AZ14" t="s">
        <v>110</v>
      </c>
      <c r="BA14" t="s">
        <v>111</v>
      </c>
      <c r="BB14" t="s">
        <v>112</v>
      </c>
      <c r="BC14" s="2" t="s">
        <v>113</v>
      </c>
      <c r="BD14" t="s">
        <v>114</v>
      </c>
    </row>
    <row r="15" spans="1:63" x14ac:dyDescent="0.15">
      <c r="A15">
        <v>1</v>
      </c>
      <c r="B15" t="s">
        <v>375</v>
      </c>
      <c r="C15">
        <v>2023</v>
      </c>
      <c r="D15">
        <v>1</v>
      </c>
      <c r="E15" t="s">
        <v>432</v>
      </c>
      <c r="F15" t="s">
        <v>433</v>
      </c>
      <c r="G15" t="s">
        <v>350</v>
      </c>
      <c r="I15" t="s">
        <v>350</v>
      </c>
      <c r="J15" t="s">
        <v>351</v>
      </c>
      <c r="K15">
        <v>3282</v>
      </c>
      <c r="L15">
        <v>3385</v>
      </c>
      <c r="M15" s="1">
        <v>45116.823564814818</v>
      </c>
      <c r="N15" t="s">
        <v>376</v>
      </c>
      <c r="O15" t="s">
        <v>352</v>
      </c>
      <c r="R15" t="s">
        <v>353</v>
      </c>
      <c r="S15" t="s">
        <v>377</v>
      </c>
      <c r="T15" t="s">
        <v>352</v>
      </c>
      <c r="U15" t="s">
        <v>354</v>
      </c>
      <c r="W15" t="s">
        <v>31</v>
      </c>
      <c r="X15" t="s">
        <v>64</v>
      </c>
      <c r="Y15">
        <v>11</v>
      </c>
      <c r="Z15" t="s">
        <v>426</v>
      </c>
      <c r="AA15" t="s">
        <v>358</v>
      </c>
      <c r="AB15">
        <v>3</v>
      </c>
      <c r="AC15">
        <v>3</v>
      </c>
      <c r="AD15">
        <v>4</v>
      </c>
      <c r="AE15">
        <v>0.75</v>
      </c>
      <c r="AF15">
        <v>1.5</v>
      </c>
      <c r="AG15">
        <v>1.125</v>
      </c>
      <c r="AH15">
        <v>15</v>
      </c>
      <c r="AI15">
        <v>0.9375</v>
      </c>
      <c r="AJ15">
        <v>0.70309999999999995</v>
      </c>
      <c r="AK15">
        <v>48</v>
      </c>
      <c r="AL15">
        <v>1.5</v>
      </c>
      <c r="AM15">
        <v>2.3437999999999999</v>
      </c>
      <c r="AN15" t="s">
        <v>434</v>
      </c>
      <c r="AO15">
        <v>0.9375</v>
      </c>
      <c r="AP15">
        <v>0.70309999999999995</v>
      </c>
      <c r="AQ15" t="s">
        <v>435</v>
      </c>
      <c r="AR15" t="s">
        <v>31</v>
      </c>
      <c r="AS15" t="s">
        <v>31</v>
      </c>
      <c r="AT15" t="s">
        <v>31</v>
      </c>
      <c r="AU15" t="s">
        <v>436</v>
      </c>
      <c r="AV15">
        <v>447.76119999999997</v>
      </c>
      <c r="AW15">
        <v>31</v>
      </c>
      <c r="AX15">
        <v>14.443909</v>
      </c>
      <c r="AY15" t="s">
        <v>436</v>
      </c>
      <c r="AZ15">
        <v>90.354100000000003</v>
      </c>
      <c r="BA15">
        <v>1</v>
      </c>
      <c r="BB15">
        <v>90.354100000000003</v>
      </c>
      <c r="BC15" t="s">
        <v>118</v>
      </c>
      <c r="BD15">
        <v>-2</v>
      </c>
    </row>
    <row r="16" spans="1:63" x14ac:dyDescent="0.15">
      <c r="A16">
        <v>2</v>
      </c>
      <c r="B16" t="s">
        <v>375</v>
      </c>
      <c r="C16">
        <v>2023</v>
      </c>
      <c r="D16">
        <v>1</v>
      </c>
      <c r="E16" t="s">
        <v>432</v>
      </c>
      <c r="F16" t="s">
        <v>433</v>
      </c>
      <c r="G16" t="s">
        <v>350</v>
      </c>
      <c r="I16" t="s">
        <v>350</v>
      </c>
      <c r="J16" t="s">
        <v>351</v>
      </c>
      <c r="K16">
        <v>3282</v>
      </c>
      <c r="L16">
        <v>3385</v>
      </c>
      <c r="M16" s="1">
        <v>45116.823564814818</v>
      </c>
      <c r="N16" t="s">
        <v>376</v>
      </c>
      <c r="O16" t="s">
        <v>352</v>
      </c>
      <c r="R16" t="s">
        <v>353</v>
      </c>
      <c r="S16" t="s">
        <v>377</v>
      </c>
      <c r="T16" t="s">
        <v>352</v>
      </c>
      <c r="U16" t="s">
        <v>354</v>
      </c>
      <c r="W16" t="s">
        <v>31</v>
      </c>
      <c r="X16" t="s">
        <v>61</v>
      </c>
      <c r="Y16">
        <v>1</v>
      </c>
      <c r="Z16" t="s">
        <v>117</v>
      </c>
      <c r="AA16" t="s">
        <v>359</v>
      </c>
      <c r="AB16">
        <v>3</v>
      </c>
      <c r="AC16">
        <v>3</v>
      </c>
      <c r="AD16">
        <v>4</v>
      </c>
      <c r="AE16">
        <v>0.75</v>
      </c>
      <c r="AF16">
        <v>10</v>
      </c>
      <c r="AG16">
        <v>7.5</v>
      </c>
      <c r="AH16">
        <v>30</v>
      </c>
      <c r="AI16">
        <v>5</v>
      </c>
      <c r="AJ16">
        <v>3.75</v>
      </c>
      <c r="AK16">
        <v>48</v>
      </c>
      <c r="AL16">
        <v>10</v>
      </c>
      <c r="AM16">
        <v>15.625</v>
      </c>
      <c r="AN16" t="s">
        <v>437</v>
      </c>
      <c r="AO16">
        <v>5</v>
      </c>
      <c r="AP16">
        <v>3.75</v>
      </c>
      <c r="AQ16" t="s">
        <v>438</v>
      </c>
      <c r="AR16" t="s">
        <v>31</v>
      </c>
      <c r="AS16" t="s">
        <v>31</v>
      </c>
      <c r="AT16" t="s">
        <v>31</v>
      </c>
      <c r="AU16" t="s">
        <v>436</v>
      </c>
      <c r="AV16">
        <v>447.76119999999997</v>
      </c>
      <c r="AW16">
        <v>31</v>
      </c>
      <c r="AX16">
        <v>14.443909</v>
      </c>
      <c r="AY16" t="s">
        <v>436</v>
      </c>
      <c r="AZ16">
        <v>90.354100000000003</v>
      </c>
      <c r="BA16">
        <v>1</v>
      </c>
      <c r="BB16">
        <v>90.354100000000003</v>
      </c>
      <c r="BC16" t="s">
        <v>118</v>
      </c>
      <c r="BD16">
        <v>-2</v>
      </c>
    </row>
    <row r="17" spans="1:63" x14ac:dyDescent="0.15">
      <c r="A17">
        <v>3</v>
      </c>
      <c r="B17" t="s">
        <v>375</v>
      </c>
      <c r="C17">
        <v>2023</v>
      </c>
      <c r="D17">
        <v>1</v>
      </c>
      <c r="E17" t="s">
        <v>432</v>
      </c>
      <c r="F17" t="s">
        <v>433</v>
      </c>
      <c r="G17" t="s">
        <v>350</v>
      </c>
      <c r="I17" t="s">
        <v>350</v>
      </c>
      <c r="J17" t="s">
        <v>351</v>
      </c>
      <c r="K17">
        <v>3282</v>
      </c>
      <c r="L17">
        <v>3385</v>
      </c>
      <c r="M17" s="1">
        <v>45116.823564814818</v>
      </c>
      <c r="N17" t="s">
        <v>376</v>
      </c>
      <c r="O17" t="s">
        <v>352</v>
      </c>
      <c r="R17" t="s">
        <v>353</v>
      </c>
      <c r="S17" t="s">
        <v>377</v>
      </c>
      <c r="T17" t="s">
        <v>352</v>
      </c>
      <c r="U17" t="s">
        <v>354</v>
      </c>
      <c r="W17" t="s">
        <v>31</v>
      </c>
      <c r="X17" t="s">
        <v>61</v>
      </c>
      <c r="Y17">
        <v>2</v>
      </c>
      <c r="Z17" t="s">
        <v>120</v>
      </c>
      <c r="AA17" t="s">
        <v>378</v>
      </c>
      <c r="AB17">
        <v>3</v>
      </c>
      <c r="AC17">
        <v>3</v>
      </c>
      <c r="AD17">
        <v>4</v>
      </c>
      <c r="AE17">
        <v>0.75</v>
      </c>
      <c r="AF17">
        <v>10</v>
      </c>
      <c r="AG17">
        <v>7.5</v>
      </c>
      <c r="AH17">
        <v>30</v>
      </c>
      <c r="AI17">
        <v>5</v>
      </c>
      <c r="AJ17">
        <v>3.75</v>
      </c>
      <c r="AK17">
        <v>48</v>
      </c>
      <c r="AL17">
        <v>10</v>
      </c>
      <c r="AM17">
        <v>15.625</v>
      </c>
      <c r="AN17" t="s">
        <v>437</v>
      </c>
      <c r="AO17">
        <v>5</v>
      </c>
      <c r="AP17">
        <v>3.75</v>
      </c>
      <c r="AQ17" t="s">
        <v>438</v>
      </c>
      <c r="AR17" t="s">
        <v>31</v>
      </c>
      <c r="AS17" t="s">
        <v>31</v>
      </c>
      <c r="AT17" t="s">
        <v>31</v>
      </c>
      <c r="AU17" t="s">
        <v>436</v>
      </c>
      <c r="AV17">
        <v>447.76119999999997</v>
      </c>
      <c r="AW17">
        <v>31</v>
      </c>
      <c r="AX17">
        <v>14.443909</v>
      </c>
      <c r="AY17" t="s">
        <v>436</v>
      </c>
      <c r="AZ17">
        <v>90.354100000000003</v>
      </c>
      <c r="BA17">
        <v>1</v>
      </c>
      <c r="BB17">
        <v>90.354100000000003</v>
      </c>
      <c r="BC17" t="s">
        <v>118</v>
      </c>
      <c r="BD17">
        <v>-2</v>
      </c>
    </row>
    <row r="18" spans="1:63" x14ac:dyDescent="0.15">
      <c r="A18">
        <v>4</v>
      </c>
      <c r="B18" t="s">
        <v>375</v>
      </c>
      <c r="C18">
        <v>2023</v>
      </c>
      <c r="D18">
        <v>1</v>
      </c>
      <c r="E18" t="s">
        <v>432</v>
      </c>
      <c r="F18" t="s">
        <v>433</v>
      </c>
      <c r="G18" t="s">
        <v>350</v>
      </c>
      <c r="I18" t="s">
        <v>350</v>
      </c>
      <c r="J18" t="s">
        <v>351</v>
      </c>
      <c r="K18">
        <v>3282</v>
      </c>
      <c r="L18">
        <v>3385</v>
      </c>
      <c r="M18" s="1">
        <v>45116.823564814818</v>
      </c>
      <c r="N18" t="s">
        <v>376</v>
      </c>
      <c r="O18" t="s">
        <v>352</v>
      </c>
      <c r="R18" t="s">
        <v>353</v>
      </c>
      <c r="S18" t="s">
        <v>377</v>
      </c>
      <c r="T18" t="s">
        <v>352</v>
      </c>
      <c r="U18" t="s">
        <v>354</v>
      </c>
      <c r="W18" t="s">
        <v>31</v>
      </c>
      <c r="X18" t="s">
        <v>61</v>
      </c>
      <c r="Y18">
        <v>3</v>
      </c>
      <c r="Z18" t="s">
        <v>122</v>
      </c>
      <c r="AA18" t="s">
        <v>379</v>
      </c>
      <c r="AB18">
        <v>4</v>
      </c>
      <c r="AC18">
        <v>4</v>
      </c>
      <c r="AD18">
        <v>4</v>
      </c>
      <c r="AE18">
        <v>1</v>
      </c>
      <c r="AF18">
        <v>10</v>
      </c>
      <c r="AG18">
        <v>10</v>
      </c>
      <c r="AH18">
        <v>30</v>
      </c>
      <c r="AI18">
        <v>5</v>
      </c>
      <c r="AJ18">
        <v>5</v>
      </c>
      <c r="AK18">
        <v>48</v>
      </c>
      <c r="AL18">
        <v>10</v>
      </c>
      <c r="AM18">
        <v>20.833300000000001</v>
      </c>
      <c r="AN18" t="s">
        <v>439</v>
      </c>
      <c r="AO18">
        <v>5</v>
      </c>
      <c r="AP18">
        <v>5</v>
      </c>
      <c r="AQ18" t="s">
        <v>440</v>
      </c>
      <c r="AR18" t="s">
        <v>31</v>
      </c>
      <c r="AS18" t="s">
        <v>31</v>
      </c>
      <c r="AT18" t="s">
        <v>31</v>
      </c>
      <c r="AU18" t="s">
        <v>436</v>
      </c>
      <c r="AV18">
        <v>447.76119999999997</v>
      </c>
      <c r="AW18">
        <v>31</v>
      </c>
      <c r="AX18">
        <v>14.443909</v>
      </c>
      <c r="AY18" t="s">
        <v>436</v>
      </c>
      <c r="AZ18">
        <v>90.354100000000003</v>
      </c>
      <c r="BA18">
        <v>1</v>
      </c>
      <c r="BB18">
        <v>90.354100000000003</v>
      </c>
      <c r="BC18" t="s">
        <v>118</v>
      </c>
      <c r="BD18">
        <v>-2</v>
      </c>
    </row>
    <row r="19" spans="1:63" x14ac:dyDescent="0.15">
      <c r="A19">
        <v>5</v>
      </c>
      <c r="B19" t="s">
        <v>375</v>
      </c>
      <c r="C19">
        <v>2023</v>
      </c>
      <c r="D19">
        <v>1</v>
      </c>
      <c r="E19" t="s">
        <v>432</v>
      </c>
      <c r="F19" t="s">
        <v>433</v>
      </c>
      <c r="G19" t="s">
        <v>350</v>
      </c>
      <c r="I19" t="s">
        <v>350</v>
      </c>
      <c r="J19" t="s">
        <v>351</v>
      </c>
      <c r="K19">
        <v>3282</v>
      </c>
      <c r="L19">
        <v>3385</v>
      </c>
      <c r="M19" s="1">
        <v>45116.823564814818</v>
      </c>
      <c r="N19" t="s">
        <v>376</v>
      </c>
      <c r="O19" t="s">
        <v>352</v>
      </c>
      <c r="R19" t="s">
        <v>353</v>
      </c>
      <c r="S19" t="s">
        <v>377</v>
      </c>
      <c r="T19" t="s">
        <v>352</v>
      </c>
      <c r="U19" t="s">
        <v>354</v>
      </c>
      <c r="W19" t="s">
        <v>31</v>
      </c>
      <c r="X19" t="s">
        <v>392</v>
      </c>
      <c r="Y19">
        <v>17</v>
      </c>
      <c r="Z19" t="s">
        <v>422</v>
      </c>
      <c r="AA19" t="s">
        <v>390</v>
      </c>
      <c r="AB19">
        <v>4</v>
      </c>
      <c r="AC19">
        <v>4</v>
      </c>
      <c r="AD19">
        <v>4</v>
      </c>
      <c r="AE19">
        <v>1</v>
      </c>
      <c r="AF19">
        <v>15</v>
      </c>
      <c r="AG19">
        <v>15</v>
      </c>
      <c r="AH19">
        <v>15</v>
      </c>
      <c r="AI19">
        <v>7.5</v>
      </c>
      <c r="AJ19">
        <v>7.5</v>
      </c>
      <c r="AK19">
        <v>48</v>
      </c>
      <c r="AL19">
        <v>15</v>
      </c>
      <c r="AM19">
        <v>31.25</v>
      </c>
      <c r="AN19" t="s">
        <v>441</v>
      </c>
      <c r="AO19">
        <v>7.5</v>
      </c>
      <c r="AP19">
        <v>7.5</v>
      </c>
      <c r="AQ19" t="s">
        <v>442</v>
      </c>
      <c r="AR19" t="s">
        <v>31</v>
      </c>
      <c r="AS19" t="s">
        <v>31</v>
      </c>
      <c r="AT19" t="s">
        <v>31</v>
      </c>
      <c r="AU19" t="s">
        <v>436</v>
      </c>
      <c r="AV19">
        <v>447.76119999999997</v>
      </c>
      <c r="AW19">
        <v>31</v>
      </c>
      <c r="AX19">
        <v>14.443909</v>
      </c>
      <c r="AY19" t="s">
        <v>436</v>
      </c>
      <c r="AZ19">
        <v>90.354100000000003</v>
      </c>
      <c r="BA19">
        <v>1</v>
      </c>
      <c r="BB19">
        <v>90.354100000000003</v>
      </c>
      <c r="BC19" t="s">
        <v>118</v>
      </c>
      <c r="BD19">
        <v>-2</v>
      </c>
    </row>
    <row r="20" spans="1:63" x14ac:dyDescent="0.15">
      <c r="A20">
        <v>6</v>
      </c>
      <c r="B20" t="s">
        <v>375</v>
      </c>
      <c r="C20">
        <v>2023</v>
      </c>
      <c r="D20">
        <v>1</v>
      </c>
      <c r="E20" t="s">
        <v>432</v>
      </c>
      <c r="F20" t="s">
        <v>433</v>
      </c>
      <c r="G20" t="s">
        <v>350</v>
      </c>
      <c r="I20" t="s">
        <v>350</v>
      </c>
      <c r="J20" t="s">
        <v>351</v>
      </c>
      <c r="K20">
        <v>3282</v>
      </c>
      <c r="L20">
        <v>3385</v>
      </c>
      <c r="M20" s="1">
        <v>45116.823564814818</v>
      </c>
      <c r="N20" t="s">
        <v>376</v>
      </c>
      <c r="O20" t="s">
        <v>352</v>
      </c>
      <c r="R20" t="s">
        <v>353</v>
      </c>
      <c r="S20" t="s">
        <v>377</v>
      </c>
      <c r="T20" t="s">
        <v>352</v>
      </c>
      <c r="U20" t="s">
        <v>354</v>
      </c>
      <c r="W20" t="s">
        <v>31</v>
      </c>
      <c r="X20" t="s">
        <v>64</v>
      </c>
      <c r="Y20">
        <v>12</v>
      </c>
      <c r="Z20" t="s">
        <v>428</v>
      </c>
      <c r="AA20" t="s">
        <v>356</v>
      </c>
      <c r="AB20">
        <v>3</v>
      </c>
      <c r="AC20">
        <v>3</v>
      </c>
      <c r="AD20">
        <v>4</v>
      </c>
      <c r="AE20">
        <v>0.75</v>
      </c>
      <c r="AF20">
        <v>1.5</v>
      </c>
      <c r="AG20">
        <v>1.125</v>
      </c>
      <c r="AH20">
        <v>15</v>
      </c>
      <c r="AI20">
        <v>0.9375</v>
      </c>
      <c r="AJ20">
        <v>0.70309999999999995</v>
      </c>
      <c r="AK20">
        <v>48</v>
      </c>
      <c r="AL20">
        <v>1.5</v>
      </c>
      <c r="AM20">
        <v>2.3437999999999999</v>
      </c>
      <c r="AN20" t="s">
        <v>434</v>
      </c>
      <c r="AO20">
        <v>0.9375</v>
      </c>
      <c r="AP20">
        <v>0.70309999999999995</v>
      </c>
      <c r="AQ20" t="s">
        <v>435</v>
      </c>
      <c r="AR20" t="s">
        <v>31</v>
      </c>
      <c r="AS20" t="s">
        <v>31</v>
      </c>
      <c r="AT20" t="s">
        <v>31</v>
      </c>
      <c r="AU20" t="s">
        <v>436</v>
      </c>
      <c r="AV20">
        <v>447.76119999999997</v>
      </c>
      <c r="AW20">
        <v>31</v>
      </c>
      <c r="AX20">
        <v>14.443909</v>
      </c>
      <c r="AY20" t="s">
        <v>436</v>
      </c>
      <c r="AZ20">
        <v>90.354100000000003</v>
      </c>
      <c r="BA20">
        <v>1</v>
      </c>
      <c r="BB20">
        <v>90.354100000000003</v>
      </c>
      <c r="BC20" t="s">
        <v>118</v>
      </c>
      <c r="BD20">
        <v>-2</v>
      </c>
    </row>
    <row r="22" spans="1:63" x14ac:dyDescent="0.15">
      <c r="AM22">
        <f>AB15/AD15*AI15</f>
        <v>0.703125</v>
      </c>
    </row>
    <row r="29" spans="1:63" x14ac:dyDescent="0.15">
      <c r="BI29" s="27" t="s">
        <v>109</v>
      </c>
      <c r="BJ29" t="s">
        <v>162</v>
      </c>
    </row>
    <row r="30" spans="1:63" x14ac:dyDescent="0.15">
      <c r="BK30" t="s">
        <v>317</v>
      </c>
    </row>
    <row r="31" spans="1:63" x14ac:dyDescent="0.15">
      <c r="BK31" t="s">
        <v>318</v>
      </c>
    </row>
    <row r="32" spans="1:63" x14ac:dyDescent="0.15">
      <c r="BK32" t="s">
        <v>319</v>
      </c>
    </row>
    <row r="33" spans="1:85" x14ac:dyDescent="0.15">
      <c r="BK33" t="s">
        <v>320</v>
      </c>
    </row>
    <row r="34" spans="1:85" x14ac:dyDescent="0.15">
      <c r="BK34" t="s">
        <v>312</v>
      </c>
    </row>
    <row r="35" spans="1:85" x14ac:dyDescent="0.15">
      <c r="BJ35" t="s">
        <v>321</v>
      </c>
    </row>
    <row r="38" spans="1:85" x14ac:dyDescent="0.15">
      <c r="BJ38" s="7" t="s">
        <v>322</v>
      </c>
      <c r="CA38">
        <f>CF42/CG42</f>
        <v>72.5</v>
      </c>
      <c r="CB38" s="7" t="s">
        <v>340</v>
      </c>
    </row>
    <row r="41" spans="1:85" x14ac:dyDescent="0.15">
      <c r="BJ41" s="7" t="s">
        <v>326</v>
      </c>
      <c r="BK41" t="s">
        <v>323</v>
      </c>
      <c r="CA41" t="s">
        <v>339</v>
      </c>
      <c r="CB41" t="s">
        <v>3</v>
      </c>
      <c r="CC41" t="s">
        <v>0</v>
      </c>
      <c r="CD41" t="s">
        <v>1</v>
      </c>
      <c r="CE41" t="s">
        <v>16</v>
      </c>
      <c r="CF41" t="s">
        <v>106</v>
      </c>
      <c r="CG41" t="s">
        <v>107</v>
      </c>
    </row>
    <row r="42" spans="1:85" x14ac:dyDescent="0.15">
      <c r="A42" s="2" t="s">
        <v>40</v>
      </c>
      <c r="B42" t="s">
        <v>2</v>
      </c>
      <c r="C42" t="s">
        <v>3</v>
      </c>
      <c r="D42" t="s">
        <v>4</v>
      </c>
      <c r="E42" t="s">
        <v>101</v>
      </c>
      <c r="F42" t="s">
        <v>102</v>
      </c>
      <c r="G42" t="s">
        <v>0</v>
      </c>
      <c r="H42" t="s">
        <v>1</v>
      </c>
      <c r="I42" t="s">
        <v>41</v>
      </c>
      <c r="J42" t="s">
        <v>5</v>
      </c>
      <c r="K42" t="s">
        <v>6</v>
      </c>
      <c r="L42" t="s">
        <v>7</v>
      </c>
      <c r="M42" t="s">
        <v>8</v>
      </c>
      <c r="N42" t="s">
        <v>9</v>
      </c>
      <c r="O42" t="s">
        <v>10</v>
      </c>
      <c r="P42" t="s">
        <v>11</v>
      </c>
      <c r="Q42" t="s">
        <v>12</v>
      </c>
      <c r="R42" t="s">
        <v>13</v>
      </c>
      <c r="S42" t="s">
        <v>14</v>
      </c>
      <c r="T42" t="s">
        <v>15</v>
      </c>
      <c r="U42" t="s">
        <v>16</v>
      </c>
      <c r="V42" t="s">
        <v>103</v>
      </c>
      <c r="W42" t="s">
        <v>21</v>
      </c>
      <c r="X42" t="s">
        <v>67</v>
      </c>
      <c r="Y42" t="s">
        <v>22</v>
      </c>
      <c r="Z42" t="s">
        <v>104</v>
      </c>
      <c r="AA42" t="s">
        <v>23</v>
      </c>
      <c r="AB42" t="s">
        <v>24</v>
      </c>
      <c r="AC42" t="s">
        <v>25</v>
      </c>
      <c r="AD42" t="s">
        <v>44</v>
      </c>
      <c r="AE42" t="s">
        <v>65</v>
      </c>
      <c r="AF42" t="s">
        <v>79</v>
      </c>
      <c r="AG42" t="s">
        <v>78</v>
      </c>
      <c r="AH42" t="s">
        <v>68</v>
      </c>
      <c r="AI42" t="s">
        <v>75</v>
      </c>
      <c r="AJ42" s="25" t="s">
        <v>74</v>
      </c>
      <c r="AK42" t="s">
        <v>76</v>
      </c>
      <c r="AL42" t="s">
        <v>87</v>
      </c>
      <c r="AM42" t="s">
        <v>88</v>
      </c>
      <c r="AN42" t="s">
        <v>89</v>
      </c>
      <c r="AO42" t="s">
        <v>90</v>
      </c>
      <c r="AP42" t="s">
        <v>91</v>
      </c>
      <c r="AQ42" t="s">
        <v>92</v>
      </c>
      <c r="AR42" t="s">
        <v>93</v>
      </c>
      <c r="AS42" t="s">
        <v>94</v>
      </c>
      <c r="AT42" t="s">
        <v>95</v>
      </c>
      <c r="AU42" s="4" t="s">
        <v>105</v>
      </c>
      <c r="AV42" t="s">
        <v>106</v>
      </c>
      <c r="AW42" t="s">
        <v>107</v>
      </c>
      <c r="AX42" t="s">
        <v>108</v>
      </c>
      <c r="AY42" s="27" t="s">
        <v>109</v>
      </c>
      <c r="AZ42" t="s">
        <v>110</v>
      </c>
      <c r="BA42" t="s">
        <v>111</v>
      </c>
      <c r="BB42" t="s">
        <v>112</v>
      </c>
      <c r="BC42" s="2" t="s">
        <v>113</v>
      </c>
      <c r="BD42" t="s">
        <v>114</v>
      </c>
      <c r="BK42" t="s">
        <v>324</v>
      </c>
      <c r="CB42">
        <v>2021</v>
      </c>
      <c r="CC42" t="s">
        <v>26</v>
      </c>
      <c r="CE42" t="s">
        <v>32</v>
      </c>
      <c r="CF42">
        <v>290</v>
      </c>
      <c r="CG42">
        <v>4</v>
      </c>
    </row>
    <row r="43" spans="1:85" x14ac:dyDescent="0.15">
      <c r="A43">
        <v>1</v>
      </c>
      <c r="B43" t="s">
        <v>394</v>
      </c>
      <c r="C43">
        <v>1999</v>
      </c>
      <c r="D43">
        <v>1</v>
      </c>
      <c r="E43" t="s">
        <v>419</v>
      </c>
      <c r="F43" t="s">
        <v>415</v>
      </c>
      <c r="G43" t="s">
        <v>395</v>
      </c>
      <c r="I43" t="s">
        <v>395</v>
      </c>
      <c r="J43" t="s">
        <v>396</v>
      </c>
      <c r="K43">
        <v>6</v>
      </c>
      <c r="L43">
        <v>156</v>
      </c>
      <c r="M43" s="1">
        <v>45646.45208333333</v>
      </c>
      <c r="N43" t="s">
        <v>397</v>
      </c>
      <c r="O43" t="s">
        <v>398</v>
      </c>
      <c r="T43" t="s">
        <v>31</v>
      </c>
      <c r="U43" t="s">
        <v>399</v>
      </c>
      <c r="V43" t="s">
        <v>400</v>
      </c>
      <c r="W43" t="s">
        <v>31</v>
      </c>
      <c r="X43" t="s">
        <v>61</v>
      </c>
      <c r="Y43">
        <v>1</v>
      </c>
      <c r="Z43" t="s">
        <v>117</v>
      </c>
      <c r="AA43" t="s">
        <v>401</v>
      </c>
      <c r="AB43">
        <v>4</v>
      </c>
      <c r="AC43">
        <v>4</v>
      </c>
      <c r="AD43">
        <v>4</v>
      </c>
      <c r="AE43">
        <v>1</v>
      </c>
      <c r="AF43">
        <v>10</v>
      </c>
      <c r="AG43">
        <v>10</v>
      </c>
      <c r="AH43">
        <v>10</v>
      </c>
      <c r="AI43">
        <v>10</v>
      </c>
      <c r="AJ43">
        <v>14.2857</v>
      </c>
      <c r="AK43">
        <v>70</v>
      </c>
      <c r="AL43">
        <v>10</v>
      </c>
      <c r="AM43">
        <v>14.2857</v>
      </c>
      <c r="AN43" t="s">
        <v>411</v>
      </c>
      <c r="AO43" t="s">
        <v>31</v>
      </c>
      <c r="AP43" t="s">
        <v>31</v>
      </c>
      <c r="AQ43" t="s">
        <v>31</v>
      </c>
      <c r="AR43" t="s">
        <v>31</v>
      </c>
      <c r="AS43" t="s">
        <v>31</v>
      </c>
      <c r="AT43" t="s">
        <v>31</v>
      </c>
      <c r="AU43" t="s">
        <v>118</v>
      </c>
      <c r="AV43">
        <v>100</v>
      </c>
      <c r="AW43">
        <v>1</v>
      </c>
      <c r="AX43">
        <v>100</v>
      </c>
      <c r="AY43" t="s">
        <v>118</v>
      </c>
      <c r="AZ43">
        <v>70</v>
      </c>
      <c r="BA43">
        <v>1</v>
      </c>
      <c r="BB43">
        <v>70</v>
      </c>
      <c r="BC43" t="s">
        <v>119</v>
      </c>
      <c r="BD43">
        <v>-26</v>
      </c>
      <c r="BK43" t="s">
        <v>325</v>
      </c>
    </row>
    <row r="44" spans="1:85" x14ac:dyDescent="0.15">
      <c r="A44">
        <v>2</v>
      </c>
      <c r="B44" t="s">
        <v>394</v>
      </c>
      <c r="C44">
        <v>1999</v>
      </c>
      <c r="D44">
        <v>1</v>
      </c>
      <c r="E44" t="s">
        <v>419</v>
      </c>
      <c r="F44" t="s">
        <v>415</v>
      </c>
      <c r="G44" t="s">
        <v>395</v>
      </c>
      <c r="I44" t="s">
        <v>395</v>
      </c>
      <c r="J44" t="s">
        <v>396</v>
      </c>
      <c r="K44">
        <v>6</v>
      </c>
      <c r="L44">
        <v>156</v>
      </c>
      <c r="M44" s="1">
        <v>45646.45208333333</v>
      </c>
      <c r="N44" t="s">
        <v>397</v>
      </c>
      <c r="O44" t="s">
        <v>398</v>
      </c>
      <c r="T44" t="s">
        <v>31</v>
      </c>
      <c r="U44" t="s">
        <v>399</v>
      </c>
      <c r="V44" t="s">
        <v>400</v>
      </c>
      <c r="W44" t="s">
        <v>31</v>
      </c>
      <c r="X44" t="s">
        <v>61</v>
      </c>
      <c r="Y44">
        <v>2</v>
      </c>
      <c r="Z44" t="s">
        <v>120</v>
      </c>
      <c r="AA44" t="s">
        <v>406</v>
      </c>
      <c r="AB44">
        <v>4</v>
      </c>
      <c r="AC44">
        <v>4</v>
      </c>
      <c r="AD44">
        <v>4</v>
      </c>
      <c r="AE44">
        <v>1</v>
      </c>
      <c r="AF44">
        <v>10</v>
      </c>
      <c r="AG44">
        <v>10</v>
      </c>
      <c r="AH44">
        <v>10</v>
      </c>
      <c r="AI44">
        <v>10</v>
      </c>
      <c r="AJ44">
        <v>14.2857</v>
      </c>
      <c r="AK44">
        <v>70</v>
      </c>
      <c r="AL44">
        <v>10</v>
      </c>
      <c r="AM44">
        <v>14.2857</v>
      </c>
      <c r="AN44" t="s">
        <v>411</v>
      </c>
      <c r="AO44" t="s">
        <v>31</v>
      </c>
      <c r="AP44" t="s">
        <v>31</v>
      </c>
      <c r="AQ44" t="s">
        <v>31</v>
      </c>
      <c r="AR44" t="s">
        <v>31</v>
      </c>
      <c r="AS44" t="s">
        <v>31</v>
      </c>
      <c r="AT44" t="s">
        <v>31</v>
      </c>
      <c r="AU44" t="s">
        <v>118</v>
      </c>
      <c r="AV44">
        <v>100</v>
      </c>
      <c r="AW44">
        <v>1</v>
      </c>
      <c r="AX44">
        <v>100</v>
      </c>
      <c r="AY44" t="s">
        <v>118</v>
      </c>
      <c r="AZ44">
        <v>70</v>
      </c>
      <c r="BA44">
        <v>1</v>
      </c>
      <c r="BB44">
        <v>70</v>
      </c>
      <c r="BC44" t="s">
        <v>119</v>
      </c>
      <c r="BD44">
        <v>-26</v>
      </c>
    </row>
    <row r="45" spans="1:85" x14ac:dyDescent="0.15">
      <c r="A45">
        <v>3</v>
      </c>
      <c r="B45" t="s">
        <v>394</v>
      </c>
      <c r="C45">
        <v>1999</v>
      </c>
      <c r="D45">
        <v>1</v>
      </c>
      <c r="E45" t="s">
        <v>419</v>
      </c>
      <c r="F45" t="s">
        <v>415</v>
      </c>
      <c r="G45" t="s">
        <v>395</v>
      </c>
      <c r="I45" t="s">
        <v>395</v>
      </c>
      <c r="J45" t="s">
        <v>396</v>
      </c>
      <c r="K45">
        <v>6</v>
      </c>
      <c r="L45">
        <v>156</v>
      </c>
      <c r="M45" s="1">
        <v>45646.45208333333</v>
      </c>
      <c r="N45" t="s">
        <v>397</v>
      </c>
      <c r="O45" t="s">
        <v>398</v>
      </c>
      <c r="T45" t="s">
        <v>31</v>
      </c>
      <c r="U45" t="s">
        <v>399</v>
      </c>
      <c r="V45" t="s">
        <v>400</v>
      </c>
      <c r="W45" t="s">
        <v>31</v>
      </c>
      <c r="X45" t="s">
        <v>61</v>
      </c>
      <c r="Y45">
        <v>3</v>
      </c>
      <c r="Z45" t="s">
        <v>122</v>
      </c>
      <c r="AA45" t="s">
        <v>404</v>
      </c>
      <c r="AB45">
        <v>4</v>
      </c>
      <c r="AC45">
        <v>4</v>
      </c>
      <c r="AD45">
        <v>4</v>
      </c>
      <c r="AE45">
        <v>1</v>
      </c>
      <c r="AF45">
        <v>10</v>
      </c>
      <c r="AG45">
        <v>10</v>
      </c>
      <c r="AH45">
        <v>10</v>
      </c>
      <c r="AI45">
        <v>10</v>
      </c>
      <c r="AJ45">
        <v>14.2857</v>
      </c>
      <c r="AK45">
        <v>70</v>
      </c>
      <c r="AL45">
        <v>10</v>
      </c>
      <c r="AM45">
        <v>14.2857</v>
      </c>
      <c r="AN45" t="s">
        <v>411</v>
      </c>
      <c r="AO45" t="s">
        <v>31</v>
      </c>
      <c r="AP45" t="s">
        <v>31</v>
      </c>
      <c r="AQ45" t="s">
        <v>31</v>
      </c>
      <c r="AR45" t="s">
        <v>31</v>
      </c>
      <c r="AS45" t="s">
        <v>31</v>
      </c>
      <c r="AT45" t="s">
        <v>31</v>
      </c>
      <c r="AU45" t="s">
        <v>118</v>
      </c>
      <c r="AV45">
        <v>100</v>
      </c>
      <c r="AW45">
        <v>1</v>
      </c>
      <c r="AX45">
        <v>100</v>
      </c>
      <c r="AY45" t="s">
        <v>118</v>
      </c>
      <c r="AZ45">
        <v>70</v>
      </c>
      <c r="BA45">
        <v>1</v>
      </c>
      <c r="BB45">
        <v>70</v>
      </c>
      <c r="BC45" t="s">
        <v>119</v>
      </c>
      <c r="BD45">
        <v>-26</v>
      </c>
      <c r="BJ45" s="7" t="s">
        <v>261</v>
      </c>
      <c r="BK45" t="s">
        <v>327</v>
      </c>
    </row>
    <row r="46" spans="1:85" x14ac:dyDescent="0.15">
      <c r="A46">
        <v>4</v>
      </c>
      <c r="B46" t="s">
        <v>394</v>
      </c>
      <c r="C46">
        <v>1999</v>
      </c>
      <c r="D46">
        <v>1</v>
      </c>
      <c r="E46" t="s">
        <v>419</v>
      </c>
      <c r="F46" t="s">
        <v>415</v>
      </c>
      <c r="G46" t="s">
        <v>395</v>
      </c>
      <c r="I46" t="s">
        <v>395</v>
      </c>
      <c r="J46" t="s">
        <v>396</v>
      </c>
      <c r="K46">
        <v>6</v>
      </c>
      <c r="L46">
        <v>156</v>
      </c>
      <c r="M46" s="1">
        <v>45646.45208333333</v>
      </c>
      <c r="N46" t="s">
        <v>397</v>
      </c>
      <c r="O46" t="s">
        <v>398</v>
      </c>
      <c r="T46" t="s">
        <v>31</v>
      </c>
      <c r="U46" t="s">
        <v>399</v>
      </c>
      <c r="V46" t="s">
        <v>400</v>
      </c>
      <c r="W46" t="s">
        <v>31</v>
      </c>
      <c r="X46" t="s">
        <v>63</v>
      </c>
      <c r="Y46">
        <v>4</v>
      </c>
      <c r="Z46" t="s">
        <v>121</v>
      </c>
      <c r="AA46" t="s">
        <v>403</v>
      </c>
      <c r="AB46">
        <v>4</v>
      </c>
      <c r="AC46">
        <v>4</v>
      </c>
      <c r="AD46">
        <v>4</v>
      </c>
      <c r="AE46">
        <v>1</v>
      </c>
      <c r="AF46">
        <v>10</v>
      </c>
      <c r="AG46">
        <v>10</v>
      </c>
      <c r="AH46">
        <v>10</v>
      </c>
      <c r="AI46">
        <v>10</v>
      </c>
      <c r="AJ46">
        <v>14.2857</v>
      </c>
      <c r="AK46">
        <v>70</v>
      </c>
      <c r="AL46">
        <v>10</v>
      </c>
      <c r="AM46">
        <v>14.2857</v>
      </c>
      <c r="AN46" t="s">
        <v>411</v>
      </c>
      <c r="AO46" t="s">
        <v>31</v>
      </c>
      <c r="AP46" t="s">
        <v>31</v>
      </c>
      <c r="AQ46" t="s">
        <v>31</v>
      </c>
      <c r="AR46" t="s">
        <v>31</v>
      </c>
      <c r="AS46" t="s">
        <v>31</v>
      </c>
      <c r="AT46" t="s">
        <v>31</v>
      </c>
      <c r="AU46" t="s">
        <v>118</v>
      </c>
      <c r="AV46">
        <v>100</v>
      </c>
      <c r="AW46">
        <v>1</v>
      </c>
      <c r="AX46">
        <v>100</v>
      </c>
      <c r="AY46" t="s">
        <v>118</v>
      </c>
      <c r="AZ46">
        <v>70</v>
      </c>
      <c r="BA46">
        <v>1</v>
      </c>
      <c r="BB46">
        <v>70</v>
      </c>
      <c r="BC46" t="s">
        <v>119</v>
      </c>
      <c r="BD46">
        <v>-26</v>
      </c>
      <c r="BM46" t="s">
        <v>328</v>
      </c>
    </row>
    <row r="47" spans="1:85" x14ac:dyDescent="0.15">
      <c r="A47">
        <v>5</v>
      </c>
      <c r="B47" t="s">
        <v>394</v>
      </c>
      <c r="C47">
        <v>1999</v>
      </c>
      <c r="D47">
        <v>1</v>
      </c>
      <c r="E47" t="s">
        <v>419</v>
      </c>
      <c r="F47" t="s">
        <v>415</v>
      </c>
      <c r="G47" t="s">
        <v>395</v>
      </c>
      <c r="I47" t="s">
        <v>395</v>
      </c>
      <c r="J47" t="s">
        <v>396</v>
      </c>
      <c r="K47">
        <v>6</v>
      </c>
      <c r="L47">
        <v>156</v>
      </c>
      <c r="M47" s="1">
        <v>45646.45208333333</v>
      </c>
      <c r="N47" t="s">
        <v>397</v>
      </c>
      <c r="O47" t="s">
        <v>398</v>
      </c>
      <c r="T47" t="s">
        <v>31</v>
      </c>
      <c r="U47" t="s">
        <v>399</v>
      </c>
      <c r="V47" t="s">
        <v>400</v>
      </c>
      <c r="W47" t="s">
        <v>31</v>
      </c>
      <c r="X47" t="s">
        <v>63</v>
      </c>
      <c r="Y47">
        <v>5</v>
      </c>
      <c r="Z47" t="s">
        <v>125</v>
      </c>
      <c r="AA47" t="s">
        <v>408</v>
      </c>
      <c r="AB47">
        <v>4</v>
      </c>
      <c r="AC47">
        <v>4</v>
      </c>
      <c r="AD47">
        <v>4</v>
      </c>
      <c r="AE47">
        <v>1</v>
      </c>
      <c r="AF47">
        <v>15</v>
      </c>
      <c r="AG47">
        <v>15</v>
      </c>
      <c r="AH47">
        <v>15</v>
      </c>
      <c r="AI47">
        <v>15</v>
      </c>
      <c r="AJ47">
        <v>21.428599999999999</v>
      </c>
      <c r="AK47">
        <v>70</v>
      </c>
      <c r="AL47">
        <v>15</v>
      </c>
      <c r="AM47">
        <v>21.428599999999999</v>
      </c>
      <c r="AN47" t="s">
        <v>412</v>
      </c>
      <c r="AO47" t="s">
        <v>31</v>
      </c>
      <c r="AP47" t="s">
        <v>31</v>
      </c>
      <c r="AQ47" t="s">
        <v>31</v>
      </c>
      <c r="AR47" t="s">
        <v>31</v>
      </c>
      <c r="AS47" t="s">
        <v>31</v>
      </c>
      <c r="AT47" t="s">
        <v>31</v>
      </c>
      <c r="AU47" t="s">
        <v>118</v>
      </c>
      <c r="AV47">
        <v>100</v>
      </c>
      <c r="AW47">
        <v>1</v>
      </c>
      <c r="AX47">
        <v>100</v>
      </c>
      <c r="AY47" t="s">
        <v>118</v>
      </c>
      <c r="AZ47">
        <v>70</v>
      </c>
      <c r="BA47">
        <v>1</v>
      </c>
      <c r="BB47">
        <v>70</v>
      </c>
      <c r="BC47" t="s">
        <v>119</v>
      </c>
      <c r="BD47">
        <v>-26</v>
      </c>
      <c r="BO47" t="s">
        <v>329</v>
      </c>
    </row>
    <row r="48" spans="1:85" x14ac:dyDescent="0.15">
      <c r="A48">
        <v>6</v>
      </c>
      <c r="B48" t="s">
        <v>394</v>
      </c>
      <c r="C48">
        <v>1999</v>
      </c>
      <c r="D48">
        <v>1</v>
      </c>
      <c r="E48" t="s">
        <v>419</v>
      </c>
      <c r="F48" t="s">
        <v>415</v>
      </c>
      <c r="G48" t="s">
        <v>395</v>
      </c>
      <c r="I48" t="s">
        <v>395</v>
      </c>
      <c r="J48" t="s">
        <v>396</v>
      </c>
      <c r="K48">
        <v>6</v>
      </c>
      <c r="L48">
        <v>156</v>
      </c>
      <c r="M48" s="1">
        <v>45646.45208333333</v>
      </c>
      <c r="N48" t="s">
        <v>397</v>
      </c>
      <c r="O48" t="s">
        <v>398</v>
      </c>
      <c r="T48" t="s">
        <v>31</v>
      </c>
      <c r="U48" t="s">
        <v>399</v>
      </c>
      <c r="V48" t="s">
        <v>400</v>
      </c>
      <c r="W48" t="s">
        <v>31</v>
      </c>
      <c r="X48" t="s">
        <v>62</v>
      </c>
      <c r="Y48">
        <v>7</v>
      </c>
      <c r="Z48" t="s">
        <v>123</v>
      </c>
      <c r="AA48" t="s">
        <v>410</v>
      </c>
      <c r="AB48">
        <v>4</v>
      </c>
      <c r="AC48">
        <v>4</v>
      </c>
      <c r="AD48">
        <v>4</v>
      </c>
      <c r="AE48">
        <v>1</v>
      </c>
      <c r="AF48">
        <v>10</v>
      </c>
      <c r="AG48">
        <v>10</v>
      </c>
      <c r="AH48">
        <v>10</v>
      </c>
      <c r="AI48">
        <v>10</v>
      </c>
      <c r="AJ48">
        <v>14.2857</v>
      </c>
      <c r="AK48">
        <v>70</v>
      </c>
      <c r="AL48">
        <v>10</v>
      </c>
      <c r="AM48">
        <v>14.2857</v>
      </c>
      <c r="AN48" t="s">
        <v>411</v>
      </c>
      <c r="AO48" t="s">
        <v>31</v>
      </c>
      <c r="AP48" t="s">
        <v>31</v>
      </c>
      <c r="AQ48" t="s">
        <v>31</v>
      </c>
      <c r="AR48" t="s">
        <v>31</v>
      </c>
      <c r="AS48" t="s">
        <v>31</v>
      </c>
      <c r="AT48" t="s">
        <v>31</v>
      </c>
      <c r="AU48" t="s">
        <v>118</v>
      </c>
      <c r="AV48">
        <v>100</v>
      </c>
      <c r="AW48">
        <v>1</v>
      </c>
      <c r="AX48">
        <v>100</v>
      </c>
      <c r="AY48" t="s">
        <v>118</v>
      </c>
      <c r="AZ48">
        <v>70</v>
      </c>
      <c r="BA48">
        <v>1</v>
      </c>
      <c r="BB48">
        <v>70</v>
      </c>
      <c r="BC48" t="s">
        <v>119</v>
      </c>
      <c r="BD48">
        <v>-26</v>
      </c>
      <c r="BO48" t="s">
        <v>330</v>
      </c>
    </row>
    <row r="49" spans="1:67" x14ac:dyDescent="0.15">
      <c r="A49">
        <v>7</v>
      </c>
      <c r="B49" t="s">
        <v>394</v>
      </c>
      <c r="C49">
        <v>1999</v>
      </c>
      <c r="D49">
        <v>1</v>
      </c>
      <c r="E49" t="s">
        <v>419</v>
      </c>
      <c r="F49" t="s">
        <v>415</v>
      </c>
      <c r="G49" t="s">
        <v>395</v>
      </c>
      <c r="I49" t="s">
        <v>395</v>
      </c>
      <c r="J49" t="s">
        <v>396</v>
      </c>
      <c r="K49">
        <v>6</v>
      </c>
      <c r="L49">
        <v>156</v>
      </c>
      <c r="M49" s="1">
        <v>45646.45208333333</v>
      </c>
      <c r="N49" t="s">
        <v>397</v>
      </c>
      <c r="O49" t="s">
        <v>398</v>
      </c>
      <c r="T49" t="s">
        <v>31</v>
      </c>
      <c r="U49" t="s">
        <v>399</v>
      </c>
      <c r="V49" t="s">
        <v>400</v>
      </c>
      <c r="W49" t="s">
        <v>31</v>
      </c>
      <c r="X49" t="s">
        <v>64</v>
      </c>
      <c r="Y49">
        <v>9</v>
      </c>
      <c r="Z49" t="s">
        <v>416</v>
      </c>
      <c r="AA49" t="s">
        <v>402</v>
      </c>
      <c r="AB49">
        <v>4</v>
      </c>
      <c r="AC49">
        <v>4</v>
      </c>
      <c r="AD49">
        <v>4</v>
      </c>
      <c r="AE49">
        <v>1</v>
      </c>
      <c r="AF49">
        <v>5</v>
      </c>
      <c r="AG49">
        <v>5</v>
      </c>
      <c r="AH49">
        <v>5</v>
      </c>
      <c r="AI49">
        <v>5</v>
      </c>
      <c r="AJ49">
        <v>7.1429</v>
      </c>
      <c r="AK49">
        <v>70</v>
      </c>
      <c r="AL49">
        <v>5</v>
      </c>
      <c r="AM49">
        <v>7.1429</v>
      </c>
      <c r="AN49" t="s">
        <v>413</v>
      </c>
      <c r="AO49" t="s">
        <v>31</v>
      </c>
      <c r="AP49" t="s">
        <v>31</v>
      </c>
      <c r="AQ49" t="s">
        <v>31</v>
      </c>
      <c r="AR49" t="s">
        <v>31</v>
      </c>
      <c r="AS49" t="s">
        <v>31</v>
      </c>
      <c r="AT49" t="s">
        <v>31</v>
      </c>
      <c r="AU49" t="s">
        <v>118</v>
      </c>
      <c r="AV49">
        <v>100</v>
      </c>
      <c r="AW49">
        <v>1</v>
      </c>
      <c r="AX49">
        <v>100</v>
      </c>
      <c r="AY49" t="s">
        <v>118</v>
      </c>
      <c r="AZ49">
        <v>70</v>
      </c>
      <c r="BA49">
        <v>1</v>
      </c>
      <c r="BB49">
        <v>70</v>
      </c>
      <c r="BC49" t="s">
        <v>119</v>
      </c>
      <c r="BD49">
        <v>-26</v>
      </c>
      <c r="BO49" t="s">
        <v>331</v>
      </c>
    </row>
    <row r="50" spans="1:67" x14ac:dyDescent="0.15">
      <c r="BO50" t="s">
        <v>332</v>
      </c>
    </row>
    <row r="51" spans="1:67" x14ac:dyDescent="0.15">
      <c r="BO51" t="s">
        <v>333</v>
      </c>
    </row>
    <row r="52" spans="1:67" x14ac:dyDescent="0.15">
      <c r="BM52" t="s">
        <v>334</v>
      </c>
    </row>
    <row r="53" spans="1:67" x14ac:dyDescent="0.15">
      <c r="BK53" t="s">
        <v>335</v>
      </c>
    </row>
    <row r="54" spans="1:67" x14ac:dyDescent="0.15">
      <c r="BK54" t="s">
        <v>325</v>
      </c>
    </row>
    <row r="55" spans="1:67" x14ac:dyDescent="0.15">
      <c r="BK55" t="s">
        <v>336</v>
      </c>
    </row>
    <row r="56" spans="1:67" x14ac:dyDescent="0.15">
      <c r="BM56" t="s">
        <v>337</v>
      </c>
    </row>
    <row r="57" spans="1:67" x14ac:dyDescent="0.15">
      <c r="BM57" t="s">
        <v>338</v>
      </c>
    </row>
    <row r="63" spans="1:67" x14ac:dyDescent="0.15">
      <c r="BI63" s="2" t="s">
        <v>113</v>
      </c>
      <c r="BJ63" t="s">
        <v>341</v>
      </c>
    </row>
    <row r="64" spans="1:67" x14ac:dyDescent="0.15">
      <c r="BJ64" t="s">
        <v>342</v>
      </c>
    </row>
    <row r="65" spans="62:62" x14ac:dyDescent="0.15">
      <c r="BJ65" t="s">
        <v>343</v>
      </c>
    </row>
    <row r="66" spans="62:62" x14ac:dyDescent="0.15">
      <c r="BJ66" t="s">
        <v>344</v>
      </c>
    </row>
    <row r="67" spans="62:62" x14ac:dyDescent="0.15">
      <c r="BJ67" t="s">
        <v>345</v>
      </c>
    </row>
    <row r="68" spans="62:62" x14ac:dyDescent="0.15">
      <c r="BJ68" t="s">
        <v>346</v>
      </c>
    </row>
    <row r="69" spans="62:62" x14ac:dyDescent="0.15">
      <c r="BJ69" t="s">
        <v>347</v>
      </c>
    </row>
    <row r="70" spans="62:62" x14ac:dyDescent="0.15">
      <c r="BJ70" t="s">
        <v>348</v>
      </c>
    </row>
    <row r="73" spans="62:62" x14ac:dyDescent="0.15">
      <c r="BJ73" s="7" t="s">
        <v>349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EB2-3E6E-46B5-9A43-C66E360B8ACE}">
  <dimension ref="A1:AJ71"/>
  <sheetViews>
    <sheetView tabSelected="1" topLeftCell="A36" zoomScale="70" zoomScaleNormal="70" workbookViewId="0">
      <pane xSplit="1" topLeftCell="X36" activePane="topRight" state="frozen"/>
      <selection activeCell="A14" sqref="A14"/>
      <selection pane="topRight" activeCell="Z57" sqref="Z57:Z68"/>
    </sheetView>
  </sheetViews>
  <sheetFormatPr defaultRowHeight="14.25" x14ac:dyDescent="0.15"/>
  <cols>
    <col min="23" max="23" width="14.23828125" bestFit="1" customWidth="1"/>
    <col min="24" max="24" width="18.859375" bestFit="1" customWidth="1"/>
    <col min="25" max="25" width="9.73828125" bestFit="1" customWidth="1"/>
    <col min="26" max="26" width="10.73828125" bestFit="1" customWidth="1"/>
    <col min="27" max="27" width="22.10546875" bestFit="1" customWidth="1"/>
    <col min="28" max="28" width="13.11328125" bestFit="1" customWidth="1"/>
    <col min="29" max="30" width="15.859375" bestFit="1" customWidth="1"/>
    <col min="31" max="31" width="5.8671875" bestFit="1" customWidth="1"/>
    <col min="32" max="32" width="45.3359375" bestFit="1" customWidth="1"/>
    <col min="36" max="36" width="35.96875" bestFit="1" customWidth="1"/>
  </cols>
  <sheetData>
    <row r="1" spans="1:32" x14ac:dyDescent="0.15">
      <c r="A1" s="2" t="s">
        <v>40</v>
      </c>
      <c r="B1" t="s">
        <v>2</v>
      </c>
      <c r="C1" t="s">
        <v>3</v>
      </c>
      <c r="D1" t="s">
        <v>0</v>
      </c>
      <c r="E1" t="s">
        <v>1</v>
      </c>
      <c r="F1" t="s">
        <v>41</v>
      </c>
      <c r="G1" t="s">
        <v>4</v>
      </c>
      <c r="H1" t="s">
        <v>5</v>
      </c>
      <c r="I1" t="s">
        <v>8</v>
      </c>
      <c r="J1" t="s">
        <v>9</v>
      </c>
      <c r="K1" t="s">
        <v>14</v>
      </c>
      <c r="L1" t="s">
        <v>13</v>
      </c>
      <c r="M1" t="s">
        <v>10</v>
      </c>
      <c r="N1" t="s">
        <v>11</v>
      </c>
      <c r="O1" t="s">
        <v>12</v>
      </c>
      <c r="P1" t="s">
        <v>16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23</v>
      </c>
      <c r="W1" t="s">
        <v>25</v>
      </c>
      <c r="X1" t="s">
        <v>44</v>
      </c>
      <c r="Y1" t="s">
        <v>65</v>
      </c>
      <c r="Z1" t="s">
        <v>87</v>
      </c>
      <c r="AA1" t="s">
        <v>126</v>
      </c>
      <c r="AB1" t="s">
        <v>68</v>
      </c>
      <c r="AC1" t="s">
        <v>127</v>
      </c>
      <c r="AD1" t="s">
        <v>128</v>
      </c>
      <c r="AE1" t="s">
        <v>74</v>
      </c>
      <c r="AF1" t="s">
        <v>129</v>
      </c>
    </row>
    <row r="2" spans="1:32" x14ac:dyDescent="0.15">
      <c r="A2">
        <v>1</v>
      </c>
      <c r="B2" t="s">
        <v>27</v>
      </c>
      <c r="C2">
        <v>2021</v>
      </c>
      <c r="D2" t="s">
        <v>26</v>
      </c>
      <c r="F2" t="s">
        <v>26</v>
      </c>
      <c r="G2">
        <v>1</v>
      </c>
      <c r="H2" t="s">
        <v>28</v>
      </c>
      <c r="I2" s="1">
        <v>44414.390844907408</v>
      </c>
      <c r="J2" t="s">
        <v>29</v>
      </c>
      <c r="M2" t="s">
        <v>26</v>
      </c>
      <c r="N2" t="s">
        <v>30</v>
      </c>
      <c r="P2" t="s">
        <v>32</v>
      </c>
      <c r="Q2" t="s">
        <v>31</v>
      </c>
      <c r="S2" t="s">
        <v>31</v>
      </c>
      <c r="T2" t="s">
        <v>63</v>
      </c>
      <c r="U2" t="s">
        <v>122</v>
      </c>
      <c r="V2" t="s">
        <v>35</v>
      </c>
      <c r="W2">
        <v>3</v>
      </c>
      <c r="X2">
        <v>4</v>
      </c>
      <c r="Y2">
        <v>0.75</v>
      </c>
      <c r="Z2">
        <v>30</v>
      </c>
      <c r="AA2" t="s">
        <v>31</v>
      </c>
      <c r="AB2">
        <v>30</v>
      </c>
      <c r="AC2">
        <v>30</v>
      </c>
      <c r="AD2">
        <v>30</v>
      </c>
      <c r="AE2">
        <v>22.5</v>
      </c>
      <c r="AF2" t="s">
        <v>130</v>
      </c>
    </row>
    <row r="3" spans="1:32" x14ac:dyDescent="0.15">
      <c r="A3">
        <v>2</v>
      </c>
      <c r="B3" t="s">
        <v>27</v>
      </c>
      <c r="C3">
        <v>2021</v>
      </c>
      <c r="D3" t="s">
        <v>26</v>
      </c>
      <c r="F3" t="s">
        <v>26</v>
      </c>
      <c r="G3">
        <v>1</v>
      </c>
      <c r="H3" t="s">
        <v>28</v>
      </c>
      <c r="I3" s="1">
        <v>44414.390844907408</v>
      </c>
      <c r="J3" t="s">
        <v>29</v>
      </c>
      <c r="M3" t="s">
        <v>26</v>
      </c>
      <c r="N3" t="s">
        <v>30</v>
      </c>
      <c r="P3" t="s">
        <v>32</v>
      </c>
      <c r="Q3" t="s">
        <v>31</v>
      </c>
      <c r="S3" t="s">
        <v>31</v>
      </c>
      <c r="T3" t="s">
        <v>62</v>
      </c>
      <c r="U3" t="s">
        <v>124</v>
      </c>
      <c r="V3" t="s">
        <v>38</v>
      </c>
      <c r="W3">
        <v>4</v>
      </c>
      <c r="X3">
        <v>4</v>
      </c>
      <c r="Y3">
        <v>1</v>
      </c>
      <c r="Z3">
        <v>15</v>
      </c>
      <c r="AA3" t="s">
        <v>31</v>
      </c>
      <c r="AB3">
        <v>15</v>
      </c>
      <c r="AC3">
        <v>15</v>
      </c>
      <c r="AD3">
        <v>15</v>
      </c>
      <c r="AE3">
        <v>15</v>
      </c>
      <c r="AF3" t="s">
        <v>131</v>
      </c>
    </row>
    <row r="4" spans="1:32" x14ac:dyDescent="0.15">
      <c r="A4">
        <v>3</v>
      </c>
      <c r="B4" t="s">
        <v>27</v>
      </c>
      <c r="C4">
        <v>2021</v>
      </c>
      <c r="D4" t="s">
        <v>26</v>
      </c>
      <c r="F4" t="s">
        <v>26</v>
      </c>
      <c r="G4">
        <v>1</v>
      </c>
      <c r="H4" t="s">
        <v>28</v>
      </c>
      <c r="I4" s="1">
        <v>44414.390844907408</v>
      </c>
      <c r="J4" t="s">
        <v>29</v>
      </c>
      <c r="M4" t="s">
        <v>26</v>
      </c>
      <c r="N4" t="s">
        <v>30</v>
      </c>
      <c r="P4" t="s">
        <v>32</v>
      </c>
      <c r="Q4" t="s">
        <v>31</v>
      </c>
      <c r="S4" t="s">
        <v>31</v>
      </c>
      <c r="T4" t="s">
        <v>62</v>
      </c>
      <c r="U4" t="s">
        <v>123</v>
      </c>
      <c r="V4" t="s">
        <v>39</v>
      </c>
      <c r="W4">
        <v>4</v>
      </c>
      <c r="X4">
        <v>4</v>
      </c>
      <c r="Y4">
        <v>1</v>
      </c>
      <c r="Z4">
        <v>15</v>
      </c>
      <c r="AA4" t="s">
        <v>31</v>
      </c>
      <c r="AB4">
        <v>15</v>
      </c>
      <c r="AC4">
        <v>15</v>
      </c>
      <c r="AD4">
        <v>15</v>
      </c>
      <c r="AE4">
        <v>15</v>
      </c>
      <c r="AF4" t="s">
        <v>131</v>
      </c>
    </row>
    <row r="5" spans="1:32" x14ac:dyDescent="0.15">
      <c r="A5">
        <v>4</v>
      </c>
      <c r="B5" t="s">
        <v>27</v>
      </c>
      <c r="C5">
        <v>2021</v>
      </c>
      <c r="D5" t="s">
        <v>26</v>
      </c>
      <c r="F5" t="s">
        <v>26</v>
      </c>
      <c r="G5">
        <v>1</v>
      </c>
      <c r="H5" t="s">
        <v>28</v>
      </c>
      <c r="I5" s="1">
        <v>44414.390844907408</v>
      </c>
      <c r="J5" t="s">
        <v>29</v>
      </c>
      <c r="M5" t="s">
        <v>26</v>
      </c>
      <c r="N5" t="s">
        <v>30</v>
      </c>
      <c r="P5" t="s">
        <v>32</v>
      </c>
      <c r="Q5" t="s">
        <v>31</v>
      </c>
      <c r="S5" t="s">
        <v>31</v>
      </c>
      <c r="T5" t="s">
        <v>61</v>
      </c>
      <c r="U5" t="s">
        <v>117</v>
      </c>
      <c r="V5" t="s">
        <v>33</v>
      </c>
      <c r="W5">
        <v>4</v>
      </c>
      <c r="X5">
        <v>4</v>
      </c>
      <c r="Y5">
        <v>1</v>
      </c>
      <c r="Z5">
        <v>15</v>
      </c>
      <c r="AA5" t="s">
        <v>31</v>
      </c>
      <c r="AB5">
        <v>15</v>
      </c>
      <c r="AC5">
        <v>15</v>
      </c>
      <c r="AD5">
        <v>15</v>
      </c>
      <c r="AE5">
        <v>15</v>
      </c>
      <c r="AF5" t="s">
        <v>131</v>
      </c>
    </row>
    <row r="6" spans="1:32" x14ac:dyDescent="0.15">
      <c r="A6">
        <v>5</v>
      </c>
      <c r="B6" t="s">
        <v>27</v>
      </c>
      <c r="C6">
        <v>2021</v>
      </c>
      <c r="D6" t="s">
        <v>26</v>
      </c>
      <c r="F6" t="s">
        <v>26</v>
      </c>
      <c r="G6">
        <v>1</v>
      </c>
      <c r="H6" t="s">
        <v>28</v>
      </c>
      <c r="I6" s="1">
        <v>44414.390844907408</v>
      </c>
      <c r="J6" t="s">
        <v>29</v>
      </c>
      <c r="M6" t="s">
        <v>26</v>
      </c>
      <c r="N6" t="s">
        <v>30</v>
      </c>
      <c r="P6" t="s">
        <v>32</v>
      </c>
      <c r="Q6" t="s">
        <v>31</v>
      </c>
      <c r="S6" t="s">
        <v>31</v>
      </c>
      <c r="T6" t="s">
        <v>61</v>
      </c>
      <c r="U6" t="s">
        <v>120</v>
      </c>
      <c r="V6" t="s">
        <v>34</v>
      </c>
      <c r="W6">
        <v>3</v>
      </c>
      <c r="X6">
        <v>4</v>
      </c>
      <c r="Y6">
        <v>0.75</v>
      </c>
      <c r="Z6">
        <v>15</v>
      </c>
      <c r="AA6" t="s">
        <v>31</v>
      </c>
      <c r="AB6">
        <v>15</v>
      </c>
      <c r="AC6">
        <v>15</v>
      </c>
      <c r="AD6">
        <v>15</v>
      </c>
      <c r="AE6">
        <v>11.25</v>
      </c>
      <c r="AF6" t="s">
        <v>132</v>
      </c>
    </row>
    <row r="7" spans="1:32" x14ac:dyDescent="0.15">
      <c r="A7">
        <v>6</v>
      </c>
      <c r="B7" t="s">
        <v>27</v>
      </c>
      <c r="C7">
        <v>2021</v>
      </c>
      <c r="D7" t="s">
        <v>26</v>
      </c>
      <c r="F7" t="s">
        <v>26</v>
      </c>
      <c r="G7">
        <v>1</v>
      </c>
      <c r="H7" t="s">
        <v>28</v>
      </c>
      <c r="I7" s="1">
        <v>44414.390844907408</v>
      </c>
      <c r="J7" t="s">
        <v>29</v>
      </c>
      <c r="M7" t="s">
        <v>26</v>
      </c>
      <c r="N7" t="s">
        <v>30</v>
      </c>
      <c r="P7" t="s">
        <v>32</v>
      </c>
      <c r="Q7" t="s">
        <v>31</v>
      </c>
      <c r="S7" t="s">
        <v>31</v>
      </c>
      <c r="T7" t="s">
        <v>64</v>
      </c>
      <c r="U7" t="s">
        <v>121</v>
      </c>
      <c r="V7" t="s">
        <v>36</v>
      </c>
      <c r="W7">
        <v>4</v>
      </c>
      <c r="X7">
        <v>4</v>
      </c>
      <c r="Y7">
        <v>1</v>
      </c>
      <c r="Z7">
        <v>5</v>
      </c>
      <c r="AA7" t="s">
        <v>31</v>
      </c>
      <c r="AB7">
        <v>5</v>
      </c>
      <c r="AC7">
        <v>5</v>
      </c>
      <c r="AD7">
        <v>5</v>
      </c>
      <c r="AE7">
        <v>5</v>
      </c>
      <c r="AF7" t="s">
        <v>133</v>
      </c>
    </row>
    <row r="8" spans="1:32" x14ac:dyDescent="0.15">
      <c r="A8">
        <v>7</v>
      </c>
      <c r="B8" t="s">
        <v>27</v>
      </c>
      <c r="C8">
        <v>2021</v>
      </c>
      <c r="D8" t="s">
        <v>26</v>
      </c>
      <c r="F8" t="s">
        <v>26</v>
      </c>
      <c r="G8">
        <v>1</v>
      </c>
      <c r="H8" t="s">
        <v>28</v>
      </c>
      <c r="I8" s="1">
        <v>44414.390844907408</v>
      </c>
      <c r="J8" t="s">
        <v>29</v>
      </c>
      <c r="M8" t="s">
        <v>26</v>
      </c>
      <c r="N8" t="s">
        <v>30</v>
      </c>
      <c r="P8" t="s">
        <v>32</v>
      </c>
      <c r="Q8" t="s">
        <v>31</v>
      </c>
      <c r="S8" t="s">
        <v>31</v>
      </c>
      <c r="T8" t="s">
        <v>64</v>
      </c>
      <c r="U8" t="s">
        <v>125</v>
      </c>
      <c r="V8" t="s">
        <v>37</v>
      </c>
      <c r="W8">
        <v>3</v>
      </c>
      <c r="X8">
        <v>4</v>
      </c>
      <c r="Y8">
        <v>0.75</v>
      </c>
      <c r="Z8">
        <v>5</v>
      </c>
      <c r="AA8" t="s">
        <v>31</v>
      </c>
      <c r="AB8">
        <v>5</v>
      </c>
      <c r="AC8">
        <v>5</v>
      </c>
      <c r="AD8">
        <v>5</v>
      </c>
      <c r="AE8">
        <v>3.75</v>
      </c>
      <c r="AF8" t="s">
        <v>134</v>
      </c>
    </row>
    <row r="12" spans="1:32" x14ac:dyDescent="0.15">
      <c r="B12" t="s">
        <v>2</v>
      </c>
      <c r="C12" t="s">
        <v>3</v>
      </c>
      <c r="D12" t="s">
        <v>0</v>
      </c>
      <c r="E12" t="s">
        <v>1</v>
      </c>
      <c r="F12" t="s">
        <v>41</v>
      </c>
      <c r="G12" t="s">
        <v>4</v>
      </c>
      <c r="H12" t="s">
        <v>5</v>
      </c>
      <c r="I12" t="s">
        <v>8</v>
      </c>
      <c r="J12" t="s">
        <v>9</v>
      </c>
      <c r="K12" t="s">
        <v>14</v>
      </c>
      <c r="L12" t="s">
        <v>13</v>
      </c>
      <c r="M12" t="s">
        <v>10</v>
      </c>
      <c r="N12" t="s">
        <v>11</v>
      </c>
      <c r="O12" t="s">
        <v>12</v>
      </c>
      <c r="P12" t="s">
        <v>16</v>
      </c>
      <c r="Q12" t="s">
        <v>15</v>
      </c>
      <c r="R12" t="s">
        <v>103</v>
      </c>
      <c r="S12" t="s">
        <v>21</v>
      </c>
      <c r="T12" t="s">
        <v>67</v>
      </c>
      <c r="U12" t="s">
        <v>104</v>
      </c>
      <c r="V12" t="s">
        <v>23</v>
      </c>
      <c r="W12" t="s">
        <v>25</v>
      </c>
      <c r="X12" t="s">
        <v>44</v>
      </c>
      <c r="Y12" t="s">
        <v>65</v>
      </c>
      <c r="Z12" t="s">
        <v>87</v>
      </c>
      <c r="AA12" t="s">
        <v>126</v>
      </c>
      <c r="AB12" t="s">
        <v>68</v>
      </c>
      <c r="AC12" t="s">
        <v>127</v>
      </c>
      <c r="AD12" t="s">
        <v>128</v>
      </c>
      <c r="AE12" t="s">
        <v>74</v>
      </c>
      <c r="AF12" t="s">
        <v>129</v>
      </c>
    </row>
    <row r="13" spans="1:32" x14ac:dyDescent="0.15">
      <c r="B13" t="s">
        <v>421</v>
      </c>
      <c r="C13">
        <v>2023</v>
      </c>
      <c r="D13" t="s">
        <v>350</v>
      </c>
      <c r="F13" t="s">
        <v>350</v>
      </c>
      <c r="G13">
        <v>1</v>
      </c>
      <c r="H13" t="s">
        <v>351</v>
      </c>
      <c r="I13" s="1">
        <v>45116.823564814818</v>
      </c>
      <c r="K13" t="s">
        <v>377</v>
      </c>
      <c r="L13" t="s">
        <v>353</v>
      </c>
      <c r="M13" t="s">
        <v>352</v>
      </c>
      <c r="P13" t="s">
        <v>354</v>
      </c>
      <c r="Q13" t="s">
        <v>352</v>
      </c>
      <c r="S13" t="s">
        <v>31</v>
      </c>
      <c r="T13" t="s">
        <v>392</v>
      </c>
      <c r="U13" t="s">
        <v>422</v>
      </c>
      <c r="V13" t="s">
        <v>390</v>
      </c>
      <c r="W13">
        <v>4</v>
      </c>
      <c r="X13">
        <v>4</v>
      </c>
      <c r="Y13">
        <v>1</v>
      </c>
      <c r="Z13">
        <v>15</v>
      </c>
      <c r="AA13">
        <v>1</v>
      </c>
      <c r="AB13">
        <v>15</v>
      </c>
      <c r="AC13">
        <v>15</v>
      </c>
      <c r="AD13">
        <v>15</v>
      </c>
      <c r="AE13">
        <v>15</v>
      </c>
      <c r="AF13" t="s">
        <v>423</v>
      </c>
    </row>
    <row r="14" spans="1:32" x14ac:dyDescent="0.15">
      <c r="B14" t="s">
        <v>421</v>
      </c>
      <c r="C14">
        <v>2023</v>
      </c>
      <c r="D14" t="s">
        <v>350</v>
      </c>
      <c r="F14" t="s">
        <v>350</v>
      </c>
      <c r="G14">
        <v>1</v>
      </c>
      <c r="H14" t="s">
        <v>351</v>
      </c>
      <c r="I14" s="1">
        <v>45116.823564814818</v>
      </c>
      <c r="K14" t="s">
        <v>377</v>
      </c>
      <c r="L14" t="s">
        <v>353</v>
      </c>
      <c r="M14" t="s">
        <v>352</v>
      </c>
      <c r="P14" t="s">
        <v>354</v>
      </c>
      <c r="Q14" t="s">
        <v>352</v>
      </c>
      <c r="S14" t="s">
        <v>31</v>
      </c>
      <c r="T14" t="s">
        <v>61</v>
      </c>
      <c r="U14" t="s">
        <v>117</v>
      </c>
      <c r="V14" t="s">
        <v>359</v>
      </c>
      <c r="W14">
        <v>3</v>
      </c>
      <c r="X14">
        <v>4</v>
      </c>
      <c r="Y14">
        <v>0.75</v>
      </c>
      <c r="Z14">
        <v>10</v>
      </c>
      <c r="AA14">
        <v>3</v>
      </c>
      <c r="AB14">
        <v>30</v>
      </c>
      <c r="AC14">
        <v>10</v>
      </c>
      <c r="AD14">
        <v>30</v>
      </c>
      <c r="AE14">
        <v>7.5</v>
      </c>
      <c r="AF14" t="s">
        <v>424</v>
      </c>
    </row>
    <row r="15" spans="1:32" x14ac:dyDescent="0.15">
      <c r="B15" t="s">
        <v>421</v>
      </c>
      <c r="C15">
        <v>2023</v>
      </c>
      <c r="D15" t="s">
        <v>350</v>
      </c>
      <c r="F15" t="s">
        <v>350</v>
      </c>
      <c r="G15">
        <v>1</v>
      </c>
      <c r="H15" t="s">
        <v>351</v>
      </c>
      <c r="I15" s="1">
        <v>45116.823564814818</v>
      </c>
      <c r="K15" t="s">
        <v>377</v>
      </c>
      <c r="L15" t="s">
        <v>353</v>
      </c>
      <c r="M15" t="s">
        <v>352</v>
      </c>
      <c r="P15" t="s">
        <v>354</v>
      </c>
      <c r="Q15" t="s">
        <v>352</v>
      </c>
      <c r="S15" t="s">
        <v>31</v>
      </c>
      <c r="T15" t="s">
        <v>61</v>
      </c>
      <c r="U15" t="s">
        <v>120</v>
      </c>
      <c r="V15" t="s">
        <v>378</v>
      </c>
      <c r="W15">
        <v>3</v>
      </c>
      <c r="X15">
        <v>4</v>
      </c>
      <c r="Y15">
        <v>0.75</v>
      </c>
      <c r="Z15">
        <v>10</v>
      </c>
      <c r="AA15">
        <v>3</v>
      </c>
      <c r="AB15">
        <v>30</v>
      </c>
      <c r="AC15">
        <v>10</v>
      </c>
      <c r="AD15">
        <v>30</v>
      </c>
      <c r="AE15">
        <v>7.5</v>
      </c>
      <c r="AF15" t="s">
        <v>424</v>
      </c>
    </row>
    <row r="16" spans="1:32" x14ac:dyDescent="0.15">
      <c r="B16" t="s">
        <v>421</v>
      </c>
      <c r="C16">
        <v>2023</v>
      </c>
      <c r="D16" t="s">
        <v>350</v>
      </c>
      <c r="F16" t="s">
        <v>350</v>
      </c>
      <c r="G16">
        <v>1</v>
      </c>
      <c r="H16" t="s">
        <v>351</v>
      </c>
      <c r="I16" s="1">
        <v>45116.823564814818</v>
      </c>
      <c r="K16" t="s">
        <v>377</v>
      </c>
      <c r="L16" t="s">
        <v>353</v>
      </c>
      <c r="M16" t="s">
        <v>352</v>
      </c>
      <c r="P16" t="s">
        <v>354</v>
      </c>
      <c r="Q16" t="s">
        <v>352</v>
      </c>
      <c r="S16" t="s">
        <v>31</v>
      </c>
      <c r="T16" t="s">
        <v>61</v>
      </c>
      <c r="U16" t="s">
        <v>122</v>
      </c>
      <c r="V16" t="s">
        <v>379</v>
      </c>
      <c r="W16">
        <v>4</v>
      </c>
      <c r="X16">
        <v>4</v>
      </c>
      <c r="Y16">
        <v>1</v>
      </c>
      <c r="Z16">
        <v>10</v>
      </c>
      <c r="AA16">
        <v>3</v>
      </c>
      <c r="AB16">
        <v>30</v>
      </c>
      <c r="AC16">
        <v>10</v>
      </c>
      <c r="AD16">
        <v>30</v>
      </c>
      <c r="AE16">
        <v>10</v>
      </c>
      <c r="AF16" t="s">
        <v>425</v>
      </c>
    </row>
    <row r="17" spans="2:32" x14ac:dyDescent="0.15">
      <c r="B17" t="s">
        <v>421</v>
      </c>
      <c r="C17">
        <v>2023</v>
      </c>
      <c r="D17" t="s">
        <v>350</v>
      </c>
      <c r="F17" t="s">
        <v>350</v>
      </c>
      <c r="G17">
        <v>1</v>
      </c>
      <c r="H17" t="s">
        <v>351</v>
      </c>
      <c r="I17" s="1">
        <v>45116.823564814818</v>
      </c>
      <c r="K17" t="s">
        <v>377</v>
      </c>
      <c r="L17" t="s">
        <v>353</v>
      </c>
      <c r="M17" t="s">
        <v>352</v>
      </c>
      <c r="P17" t="s">
        <v>354</v>
      </c>
      <c r="Q17" t="s">
        <v>352</v>
      </c>
      <c r="S17" t="s">
        <v>31</v>
      </c>
      <c r="T17" t="s">
        <v>64</v>
      </c>
      <c r="U17" t="s">
        <v>426</v>
      </c>
      <c r="V17" t="s">
        <v>358</v>
      </c>
      <c r="W17">
        <v>3</v>
      </c>
      <c r="X17">
        <v>4</v>
      </c>
      <c r="Y17">
        <v>0.75</v>
      </c>
      <c r="Z17">
        <v>2.5</v>
      </c>
      <c r="AA17">
        <v>6</v>
      </c>
      <c r="AB17">
        <v>15</v>
      </c>
      <c r="AC17">
        <v>1.875</v>
      </c>
      <c r="AD17">
        <v>15</v>
      </c>
      <c r="AE17">
        <v>1.875</v>
      </c>
      <c r="AF17" t="s">
        <v>427</v>
      </c>
    </row>
    <row r="18" spans="2:32" x14ac:dyDescent="0.15">
      <c r="B18" t="s">
        <v>421</v>
      </c>
      <c r="C18">
        <v>2023</v>
      </c>
      <c r="D18" t="s">
        <v>350</v>
      </c>
      <c r="F18" t="s">
        <v>350</v>
      </c>
      <c r="G18">
        <v>1</v>
      </c>
      <c r="H18" t="s">
        <v>351</v>
      </c>
      <c r="I18" s="1">
        <v>45116.823564814818</v>
      </c>
      <c r="K18" t="s">
        <v>377</v>
      </c>
      <c r="L18" t="s">
        <v>353</v>
      </c>
      <c r="M18" t="s">
        <v>352</v>
      </c>
      <c r="P18" t="s">
        <v>354</v>
      </c>
      <c r="Q18" t="s">
        <v>352</v>
      </c>
      <c r="S18" t="s">
        <v>31</v>
      </c>
      <c r="T18" t="s">
        <v>64</v>
      </c>
      <c r="U18" t="s">
        <v>428</v>
      </c>
      <c r="V18" t="s">
        <v>356</v>
      </c>
      <c r="W18">
        <v>3</v>
      </c>
      <c r="X18">
        <v>4</v>
      </c>
      <c r="Y18">
        <v>0.75</v>
      </c>
      <c r="Z18">
        <v>2.5</v>
      </c>
      <c r="AA18">
        <v>6</v>
      </c>
      <c r="AB18">
        <v>15</v>
      </c>
      <c r="AC18">
        <v>1.875</v>
      </c>
      <c r="AD18">
        <v>15</v>
      </c>
      <c r="AE18">
        <v>1.875</v>
      </c>
      <c r="AF18" t="s">
        <v>427</v>
      </c>
    </row>
    <row r="19" spans="2:32" x14ac:dyDescent="0.15">
      <c r="B19" t="s">
        <v>429</v>
      </c>
      <c r="C19">
        <v>2023</v>
      </c>
      <c r="D19" t="s">
        <v>350</v>
      </c>
      <c r="F19" t="s">
        <v>350</v>
      </c>
      <c r="G19">
        <v>2</v>
      </c>
      <c r="H19" t="s">
        <v>351</v>
      </c>
      <c r="I19" s="1">
        <v>45294.556712962964</v>
      </c>
      <c r="K19" t="s">
        <v>377</v>
      </c>
      <c r="L19" t="s">
        <v>353</v>
      </c>
      <c r="M19" t="s">
        <v>352</v>
      </c>
      <c r="P19" t="s">
        <v>354</v>
      </c>
      <c r="Q19" t="s">
        <v>352</v>
      </c>
      <c r="S19" t="s">
        <v>31</v>
      </c>
      <c r="T19" t="s">
        <v>392</v>
      </c>
      <c r="U19" t="s">
        <v>422</v>
      </c>
      <c r="V19" t="s">
        <v>390</v>
      </c>
      <c r="W19">
        <v>3</v>
      </c>
      <c r="X19">
        <v>4</v>
      </c>
      <c r="Y19">
        <v>0.75</v>
      </c>
      <c r="Z19">
        <v>15</v>
      </c>
      <c r="AA19">
        <v>1</v>
      </c>
      <c r="AB19">
        <v>15</v>
      </c>
      <c r="AC19">
        <v>15</v>
      </c>
      <c r="AD19">
        <v>15</v>
      </c>
      <c r="AE19">
        <v>11.25</v>
      </c>
      <c r="AF19" t="s">
        <v>430</v>
      </c>
    </row>
    <row r="20" spans="2:32" x14ac:dyDescent="0.15">
      <c r="B20" t="s">
        <v>429</v>
      </c>
      <c r="C20">
        <v>2023</v>
      </c>
      <c r="D20" t="s">
        <v>350</v>
      </c>
      <c r="F20" t="s">
        <v>350</v>
      </c>
      <c r="G20">
        <v>2</v>
      </c>
      <c r="H20" t="s">
        <v>351</v>
      </c>
      <c r="I20" s="1">
        <v>45294.556712962964</v>
      </c>
      <c r="K20" t="s">
        <v>377</v>
      </c>
      <c r="L20" t="s">
        <v>353</v>
      </c>
      <c r="M20" t="s">
        <v>352</v>
      </c>
      <c r="P20" t="s">
        <v>354</v>
      </c>
      <c r="Q20" t="s">
        <v>352</v>
      </c>
      <c r="S20" t="s">
        <v>31</v>
      </c>
      <c r="T20" t="s">
        <v>61</v>
      </c>
      <c r="U20" t="s">
        <v>117</v>
      </c>
      <c r="V20" t="s">
        <v>359</v>
      </c>
      <c r="W20">
        <v>3</v>
      </c>
      <c r="X20">
        <v>4</v>
      </c>
      <c r="Y20">
        <v>0.75</v>
      </c>
      <c r="Z20">
        <v>10</v>
      </c>
      <c r="AA20">
        <v>3</v>
      </c>
      <c r="AB20">
        <v>30</v>
      </c>
      <c r="AC20">
        <v>10</v>
      </c>
      <c r="AD20">
        <v>30</v>
      </c>
      <c r="AE20">
        <v>7.5</v>
      </c>
      <c r="AF20" t="s">
        <v>424</v>
      </c>
    </row>
    <row r="21" spans="2:32" x14ac:dyDescent="0.15">
      <c r="B21" t="s">
        <v>429</v>
      </c>
      <c r="C21">
        <v>2023</v>
      </c>
      <c r="D21" t="s">
        <v>350</v>
      </c>
      <c r="F21" t="s">
        <v>350</v>
      </c>
      <c r="G21">
        <v>2</v>
      </c>
      <c r="H21" t="s">
        <v>351</v>
      </c>
      <c r="I21" s="1">
        <v>45294.556712962964</v>
      </c>
      <c r="K21" t="s">
        <v>377</v>
      </c>
      <c r="L21" t="s">
        <v>353</v>
      </c>
      <c r="M21" t="s">
        <v>352</v>
      </c>
      <c r="P21" t="s">
        <v>354</v>
      </c>
      <c r="Q21" t="s">
        <v>352</v>
      </c>
      <c r="S21" t="s">
        <v>31</v>
      </c>
      <c r="T21" t="s">
        <v>61</v>
      </c>
      <c r="U21" t="s">
        <v>120</v>
      </c>
      <c r="V21" t="s">
        <v>378</v>
      </c>
      <c r="W21">
        <v>3</v>
      </c>
      <c r="X21">
        <v>4</v>
      </c>
      <c r="Y21">
        <v>0.75</v>
      </c>
      <c r="Z21">
        <v>10</v>
      </c>
      <c r="AA21">
        <v>3</v>
      </c>
      <c r="AB21">
        <v>30</v>
      </c>
      <c r="AC21">
        <v>10</v>
      </c>
      <c r="AD21">
        <v>30</v>
      </c>
      <c r="AE21">
        <v>7.5</v>
      </c>
      <c r="AF21" t="s">
        <v>424</v>
      </c>
    </row>
    <row r="22" spans="2:32" x14ac:dyDescent="0.15">
      <c r="B22" t="s">
        <v>429</v>
      </c>
      <c r="C22">
        <v>2023</v>
      </c>
      <c r="D22" t="s">
        <v>350</v>
      </c>
      <c r="F22" t="s">
        <v>350</v>
      </c>
      <c r="G22">
        <v>2</v>
      </c>
      <c r="H22" t="s">
        <v>351</v>
      </c>
      <c r="I22" s="1">
        <v>45294.556712962964</v>
      </c>
      <c r="K22" t="s">
        <v>377</v>
      </c>
      <c r="L22" t="s">
        <v>353</v>
      </c>
      <c r="M22" t="s">
        <v>352</v>
      </c>
      <c r="P22" t="s">
        <v>354</v>
      </c>
      <c r="Q22" t="s">
        <v>352</v>
      </c>
      <c r="S22" t="s">
        <v>31</v>
      </c>
      <c r="T22" t="s">
        <v>61</v>
      </c>
      <c r="U22" t="s">
        <v>122</v>
      </c>
      <c r="V22" t="s">
        <v>379</v>
      </c>
      <c r="W22">
        <v>4</v>
      </c>
      <c r="X22">
        <v>4</v>
      </c>
      <c r="Y22">
        <v>1</v>
      </c>
      <c r="Z22">
        <v>10</v>
      </c>
      <c r="AA22">
        <v>3</v>
      </c>
      <c r="AB22">
        <v>30</v>
      </c>
      <c r="AC22">
        <v>10</v>
      </c>
      <c r="AD22">
        <v>30</v>
      </c>
      <c r="AE22">
        <v>10</v>
      </c>
      <c r="AF22" t="s">
        <v>425</v>
      </c>
    </row>
    <row r="23" spans="2:32" x14ac:dyDescent="0.15">
      <c r="B23" t="s">
        <v>429</v>
      </c>
      <c r="C23">
        <v>2023</v>
      </c>
      <c r="D23" t="s">
        <v>350</v>
      </c>
      <c r="F23" t="s">
        <v>350</v>
      </c>
      <c r="G23">
        <v>2</v>
      </c>
      <c r="H23" t="s">
        <v>351</v>
      </c>
      <c r="I23" s="1">
        <v>45294.556712962964</v>
      </c>
      <c r="K23" t="s">
        <v>377</v>
      </c>
      <c r="L23" t="s">
        <v>353</v>
      </c>
      <c r="M23" t="s">
        <v>352</v>
      </c>
      <c r="P23" t="s">
        <v>354</v>
      </c>
      <c r="Q23" t="s">
        <v>352</v>
      </c>
      <c r="S23" t="s">
        <v>31</v>
      </c>
      <c r="T23" t="s">
        <v>64</v>
      </c>
      <c r="U23" t="s">
        <v>426</v>
      </c>
      <c r="V23" t="s">
        <v>358</v>
      </c>
      <c r="W23">
        <v>3</v>
      </c>
      <c r="X23">
        <v>4</v>
      </c>
      <c r="Y23">
        <v>0.75</v>
      </c>
      <c r="Z23">
        <v>1.5</v>
      </c>
      <c r="AA23">
        <v>10</v>
      </c>
      <c r="AB23">
        <v>15</v>
      </c>
      <c r="AC23">
        <v>1.875</v>
      </c>
      <c r="AD23">
        <v>15</v>
      </c>
      <c r="AE23">
        <v>1.125</v>
      </c>
      <c r="AF23" t="s">
        <v>431</v>
      </c>
    </row>
    <row r="24" spans="2:32" x14ac:dyDescent="0.15">
      <c r="B24" t="s">
        <v>429</v>
      </c>
      <c r="C24">
        <v>2023</v>
      </c>
      <c r="D24" t="s">
        <v>350</v>
      </c>
      <c r="F24" t="s">
        <v>350</v>
      </c>
      <c r="G24">
        <v>2</v>
      </c>
      <c r="H24" t="s">
        <v>351</v>
      </c>
      <c r="I24" s="1">
        <v>45294.556712962964</v>
      </c>
      <c r="K24" t="s">
        <v>377</v>
      </c>
      <c r="L24" t="s">
        <v>353</v>
      </c>
      <c r="M24" t="s">
        <v>352</v>
      </c>
      <c r="P24" t="s">
        <v>354</v>
      </c>
      <c r="Q24" t="s">
        <v>352</v>
      </c>
      <c r="S24" t="s">
        <v>31</v>
      </c>
      <c r="T24" t="s">
        <v>64</v>
      </c>
      <c r="U24" t="s">
        <v>428</v>
      </c>
      <c r="V24" t="s">
        <v>356</v>
      </c>
      <c r="W24">
        <v>3</v>
      </c>
      <c r="X24">
        <v>4</v>
      </c>
      <c r="Y24">
        <v>0.75</v>
      </c>
      <c r="Z24">
        <v>1.5</v>
      </c>
      <c r="AA24">
        <v>10</v>
      </c>
      <c r="AB24">
        <v>15</v>
      </c>
      <c r="AC24">
        <v>1.875</v>
      </c>
      <c r="AD24">
        <v>15</v>
      </c>
      <c r="AE24">
        <v>1.125</v>
      </c>
      <c r="AF24" t="s">
        <v>431</v>
      </c>
    </row>
    <row r="43" spans="1:36" x14ac:dyDescent="0.15">
      <c r="A43" s="2" t="s">
        <v>40</v>
      </c>
      <c r="B43" t="s">
        <v>2</v>
      </c>
      <c r="C43" t="s">
        <v>3</v>
      </c>
      <c r="D43" t="s">
        <v>0</v>
      </c>
      <c r="E43" t="s">
        <v>1</v>
      </c>
      <c r="F43" t="s">
        <v>41</v>
      </c>
      <c r="G43" t="s">
        <v>4</v>
      </c>
      <c r="H43" t="s">
        <v>5</v>
      </c>
      <c r="I43" t="s">
        <v>8</v>
      </c>
      <c r="J43" t="s">
        <v>9</v>
      </c>
      <c r="K43" t="s">
        <v>14</v>
      </c>
      <c r="L43" t="s">
        <v>13</v>
      </c>
      <c r="M43" t="s">
        <v>10</v>
      </c>
      <c r="N43" t="s">
        <v>11</v>
      </c>
      <c r="O43" t="s">
        <v>12</v>
      </c>
      <c r="P43" t="s">
        <v>16</v>
      </c>
      <c r="Q43" t="s">
        <v>15</v>
      </c>
      <c r="R43" t="s">
        <v>103</v>
      </c>
      <c r="S43" t="s">
        <v>21</v>
      </c>
      <c r="T43" t="s">
        <v>67</v>
      </c>
      <c r="U43" t="s">
        <v>104</v>
      </c>
      <c r="V43" t="s">
        <v>23</v>
      </c>
      <c r="W43" t="s">
        <v>25</v>
      </c>
      <c r="X43" t="s">
        <v>44</v>
      </c>
      <c r="Y43" t="s">
        <v>65</v>
      </c>
      <c r="Z43" t="s">
        <v>87</v>
      </c>
      <c r="AA43" t="s">
        <v>126</v>
      </c>
      <c r="AB43" t="s">
        <v>68</v>
      </c>
      <c r="AC43" t="s">
        <v>127</v>
      </c>
      <c r="AD43" t="s">
        <v>128</v>
      </c>
      <c r="AE43" s="4" t="s">
        <v>74</v>
      </c>
      <c r="AF43" t="s">
        <v>129</v>
      </c>
    </row>
    <row r="44" spans="1:36" ht="18" x14ac:dyDescent="0.25">
      <c r="A44">
        <v>1</v>
      </c>
      <c r="B44" t="s">
        <v>394</v>
      </c>
      <c r="C44">
        <v>1999</v>
      </c>
      <c r="D44" t="s">
        <v>395</v>
      </c>
      <c r="F44" t="s">
        <v>395</v>
      </c>
      <c r="G44">
        <v>1</v>
      </c>
      <c r="H44" t="s">
        <v>396</v>
      </c>
      <c r="I44" s="1">
        <v>45646.45208333333</v>
      </c>
      <c r="J44" t="s">
        <v>397</v>
      </c>
      <c r="M44" t="s">
        <v>398</v>
      </c>
      <c r="P44" t="s">
        <v>399</v>
      </c>
      <c r="Q44" t="s">
        <v>31</v>
      </c>
      <c r="R44" t="s">
        <v>400</v>
      </c>
      <c r="S44" t="s">
        <v>31</v>
      </c>
      <c r="T44" t="s">
        <v>63</v>
      </c>
      <c r="U44" t="s">
        <v>121</v>
      </c>
      <c r="V44" t="s">
        <v>403</v>
      </c>
      <c r="W44">
        <v>4</v>
      </c>
      <c r="X44">
        <v>4</v>
      </c>
      <c r="Y44" s="4">
        <v>1</v>
      </c>
      <c r="Z44" s="4">
        <v>10</v>
      </c>
      <c r="AA44" t="s">
        <v>31</v>
      </c>
      <c r="AB44" s="4">
        <v>10</v>
      </c>
      <c r="AC44">
        <v>10</v>
      </c>
      <c r="AD44" s="4">
        <v>10</v>
      </c>
      <c r="AE44">
        <v>10</v>
      </c>
      <c r="AF44" t="s">
        <v>420</v>
      </c>
      <c r="AJ44" s="42" t="s">
        <v>443</v>
      </c>
    </row>
    <row r="45" spans="1:36" x14ac:dyDescent="0.15">
      <c r="A45">
        <v>2</v>
      </c>
      <c r="B45" t="s">
        <v>394</v>
      </c>
      <c r="C45">
        <v>1999</v>
      </c>
      <c r="D45" t="s">
        <v>395</v>
      </c>
      <c r="F45" t="s">
        <v>395</v>
      </c>
      <c r="G45">
        <v>1</v>
      </c>
      <c r="H45" t="s">
        <v>396</v>
      </c>
      <c r="I45" s="1">
        <v>45646.45208333333</v>
      </c>
      <c r="J45" t="s">
        <v>397</v>
      </c>
      <c r="M45" t="s">
        <v>398</v>
      </c>
      <c r="P45" t="s">
        <v>399</v>
      </c>
      <c r="Q45" t="s">
        <v>31</v>
      </c>
      <c r="R45" t="s">
        <v>400</v>
      </c>
      <c r="S45" t="s">
        <v>31</v>
      </c>
      <c r="T45" t="s">
        <v>63</v>
      </c>
      <c r="U45" t="s">
        <v>125</v>
      </c>
      <c r="V45" t="s">
        <v>408</v>
      </c>
      <c r="W45">
        <v>4</v>
      </c>
      <c r="X45">
        <v>4</v>
      </c>
      <c r="Y45">
        <v>1</v>
      </c>
      <c r="Z45">
        <v>15</v>
      </c>
      <c r="AA45" t="s">
        <v>31</v>
      </c>
      <c r="AB45">
        <v>15</v>
      </c>
      <c r="AC45">
        <v>15</v>
      </c>
      <c r="AD45">
        <v>15</v>
      </c>
      <c r="AE45">
        <v>15</v>
      </c>
      <c r="AF45" t="s">
        <v>131</v>
      </c>
    </row>
    <row r="46" spans="1:36" x14ac:dyDescent="0.15">
      <c r="A46">
        <v>3</v>
      </c>
      <c r="B46" t="s">
        <v>394</v>
      </c>
      <c r="C46">
        <v>1999</v>
      </c>
      <c r="D46" t="s">
        <v>395</v>
      </c>
      <c r="F46" t="s">
        <v>395</v>
      </c>
      <c r="G46">
        <v>1</v>
      </c>
      <c r="H46" t="s">
        <v>396</v>
      </c>
      <c r="I46" s="1">
        <v>45646.45208333333</v>
      </c>
      <c r="J46" t="s">
        <v>397</v>
      </c>
      <c r="M46" t="s">
        <v>398</v>
      </c>
      <c r="P46" t="s">
        <v>399</v>
      </c>
      <c r="Q46" t="s">
        <v>31</v>
      </c>
      <c r="R46" t="s">
        <v>400</v>
      </c>
      <c r="S46" t="s">
        <v>31</v>
      </c>
      <c r="T46" t="s">
        <v>62</v>
      </c>
      <c r="U46" t="s">
        <v>123</v>
      </c>
      <c r="V46" t="s">
        <v>410</v>
      </c>
      <c r="W46">
        <v>4</v>
      </c>
      <c r="X46">
        <v>4</v>
      </c>
      <c r="Y46">
        <v>1</v>
      </c>
      <c r="Z46">
        <v>10</v>
      </c>
      <c r="AA46" t="s">
        <v>31</v>
      </c>
      <c r="AB46">
        <v>10</v>
      </c>
      <c r="AC46">
        <v>10</v>
      </c>
      <c r="AD46">
        <v>10</v>
      </c>
      <c r="AE46">
        <v>10</v>
      </c>
      <c r="AF46" t="s">
        <v>420</v>
      </c>
    </row>
    <row r="47" spans="1:36" x14ac:dyDescent="0.15">
      <c r="A47">
        <v>4</v>
      </c>
      <c r="B47" t="s">
        <v>394</v>
      </c>
      <c r="C47">
        <v>1999</v>
      </c>
      <c r="D47" t="s">
        <v>395</v>
      </c>
      <c r="F47" t="s">
        <v>395</v>
      </c>
      <c r="G47">
        <v>1</v>
      </c>
      <c r="H47" t="s">
        <v>396</v>
      </c>
      <c r="I47" s="1">
        <v>45646.45208333333</v>
      </c>
      <c r="J47" t="s">
        <v>397</v>
      </c>
      <c r="M47" t="s">
        <v>398</v>
      </c>
      <c r="P47" t="s">
        <v>399</v>
      </c>
      <c r="Q47" t="s">
        <v>31</v>
      </c>
      <c r="R47" t="s">
        <v>400</v>
      </c>
      <c r="S47" t="s">
        <v>31</v>
      </c>
      <c r="T47" t="s">
        <v>61</v>
      </c>
      <c r="U47" t="s">
        <v>117</v>
      </c>
      <c r="V47" t="s">
        <v>401</v>
      </c>
      <c r="W47">
        <v>4</v>
      </c>
      <c r="X47">
        <v>4</v>
      </c>
      <c r="Y47">
        <v>1</v>
      </c>
      <c r="Z47">
        <v>10</v>
      </c>
      <c r="AA47" t="s">
        <v>31</v>
      </c>
      <c r="AB47">
        <v>10</v>
      </c>
      <c r="AC47">
        <v>10</v>
      </c>
      <c r="AD47">
        <v>10</v>
      </c>
      <c r="AE47">
        <v>10</v>
      </c>
      <c r="AF47" t="s">
        <v>420</v>
      </c>
    </row>
    <row r="48" spans="1:36" x14ac:dyDescent="0.15">
      <c r="A48">
        <v>5</v>
      </c>
      <c r="B48" t="s">
        <v>394</v>
      </c>
      <c r="C48">
        <v>1999</v>
      </c>
      <c r="D48" t="s">
        <v>395</v>
      </c>
      <c r="F48" t="s">
        <v>395</v>
      </c>
      <c r="G48">
        <v>1</v>
      </c>
      <c r="H48" t="s">
        <v>396</v>
      </c>
      <c r="I48" s="1">
        <v>45646.45208333333</v>
      </c>
      <c r="J48" t="s">
        <v>397</v>
      </c>
      <c r="M48" t="s">
        <v>398</v>
      </c>
      <c r="P48" t="s">
        <v>399</v>
      </c>
      <c r="Q48" t="s">
        <v>31</v>
      </c>
      <c r="R48" t="s">
        <v>400</v>
      </c>
      <c r="S48" t="s">
        <v>31</v>
      </c>
      <c r="T48" t="s">
        <v>61</v>
      </c>
      <c r="U48" t="s">
        <v>120</v>
      </c>
      <c r="V48" t="s">
        <v>406</v>
      </c>
      <c r="W48">
        <v>4</v>
      </c>
      <c r="X48">
        <v>4</v>
      </c>
      <c r="Y48">
        <v>1</v>
      </c>
      <c r="Z48">
        <v>10</v>
      </c>
      <c r="AA48" t="s">
        <v>31</v>
      </c>
      <c r="AB48">
        <v>10</v>
      </c>
      <c r="AC48">
        <v>10</v>
      </c>
      <c r="AD48">
        <v>10</v>
      </c>
      <c r="AE48">
        <v>10</v>
      </c>
      <c r="AF48" t="s">
        <v>420</v>
      </c>
    </row>
    <row r="49" spans="1:32" x14ac:dyDescent="0.15">
      <c r="A49">
        <v>6</v>
      </c>
      <c r="B49" t="s">
        <v>394</v>
      </c>
      <c r="C49">
        <v>1999</v>
      </c>
      <c r="D49" t="s">
        <v>395</v>
      </c>
      <c r="F49" t="s">
        <v>395</v>
      </c>
      <c r="G49">
        <v>1</v>
      </c>
      <c r="H49" t="s">
        <v>396</v>
      </c>
      <c r="I49" s="1">
        <v>45646.45208333333</v>
      </c>
      <c r="J49" t="s">
        <v>397</v>
      </c>
      <c r="M49" t="s">
        <v>398</v>
      </c>
      <c r="P49" t="s">
        <v>399</v>
      </c>
      <c r="Q49" t="s">
        <v>31</v>
      </c>
      <c r="R49" t="s">
        <v>400</v>
      </c>
      <c r="S49" t="s">
        <v>31</v>
      </c>
      <c r="T49" t="s">
        <v>61</v>
      </c>
      <c r="U49" t="s">
        <v>122</v>
      </c>
      <c r="V49" t="s">
        <v>404</v>
      </c>
      <c r="W49">
        <v>4</v>
      </c>
      <c r="X49">
        <v>4</v>
      </c>
      <c r="Y49">
        <v>1</v>
      </c>
      <c r="Z49">
        <v>10</v>
      </c>
      <c r="AA49" t="s">
        <v>31</v>
      </c>
      <c r="AB49">
        <v>10</v>
      </c>
      <c r="AC49">
        <v>10</v>
      </c>
      <c r="AD49">
        <v>10</v>
      </c>
      <c r="AE49">
        <v>10</v>
      </c>
      <c r="AF49" t="s">
        <v>420</v>
      </c>
    </row>
    <row r="50" spans="1:32" x14ac:dyDescent="0.15">
      <c r="A50">
        <v>7</v>
      </c>
      <c r="B50" t="s">
        <v>394</v>
      </c>
      <c r="C50">
        <v>1999</v>
      </c>
      <c r="D50" t="s">
        <v>395</v>
      </c>
      <c r="F50" t="s">
        <v>395</v>
      </c>
      <c r="G50">
        <v>1</v>
      </c>
      <c r="H50" t="s">
        <v>396</v>
      </c>
      <c r="I50" s="1">
        <v>45646.45208333333</v>
      </c>
      <c r="J50" t="s">
        <v>397</v>
      </c>
      <c r="M50" t="s">
        <v>398</v>
      </c>
      <c r="P50" t="s">
        <v>399</v>
      </c>
      <c r="Q50" t="s">
        <v>31</v>
      </c>
      <c r="R50" t="s">
        <v>400</v>
      </c>
      <c r="S50" t="s">
        <v>31</v>
      </c>
      <c r="T50" t="s">
        <v>64</v>
      </c>
      <c r="U50" t="s">
        <v>416</v>
      </c>
      <c r="V50" t="s">
        <v>402</v>
      </c>
      <c r="W50">
        <v>4</v>
      </c>
      <c r="X50">
        <v>4</v>
      </c>
      <c r="Y50">
        <v>1</v>
      </c>
      <c r="Z50">
        <v>5</v>
      </c>
      <c r="AA50" t="s">
        <v>31</v>
      </c>
      <c r="AB50">
        <v>5</v>
      </c>
      <c r="AC50">
        <v>5</v>
      </c>
      <c r="AD50">
        <v>5</v>
      </c>
      <c r="AE50">
        <v>5</v>
      </c>
      <c r="AF50" t="s">
        <v>133</v>
      </c>
    </row>
    <row r="56" spans="1:32" x14ac:dyDescent="0.15">
      <c r="Y56" t="s">
        <v>65</v>
      </c>
      <c r="Z56" t="s">
        <v>87</v>
      </c>
      <c r="AA56" t="s">
        <v>126</v>
      </c>
      <c r="AB56" t="s">
        <v>68</v>
      </c>
      <c r="AC56" t="s">
        <v>127</v>
      </c>
      <c r="AD56" t="s">
        <v>128</v>
      </c>
      <c r="AE56" t="s">
        <v>74</v>
      </c>
    </row>
    <row r="57" spans="1:32" x14ac:dyDescent="0.15">
      <c r="Y57">
        <v>1</v>
      </c>
      <c r="Z57">
        <v>15</v>
      </c>
      <c r="AA57">
        <v>1</v>
      </c>
      <c r="AB57">
        <v>15</v>
      </c>
      <c r="AC57">
        <v>15</v>
      </c>
      <c r="AD57">
        <v>15</v>
      </c>
      <c r="AE57">
        <f>Y57*Z57*(AD57/AB57)</f>
        <v>15</v>
      </c>
    </row>
    <row r="58" spans="1:32" x14ac:dyDescent="0.15">
      <c r="Y58">
        <v>1</v>
      </c>
      <c r="Z58">
        <v>10</v>
      </c>
      <c r="AA58">
        <v>3</v>
      </c>
      <c r="AB58">
        <v>30</v>
      </c>
      <c r="AC58">
        <v>10</v>
      </c>
      <c r="AD58">
        <v>30</v>
      </c>
      <c r="AE58">
        <f t="shared" ref="AE58:AE68" si="0">Y58*Z58*(AD58/AB58)</f>
        <v>10</v>
      </c>
    </row>
    <row r="59" spans="1:32" x14ac:dyDescent="0.15">
      <c r="Y59">
        <v>1</v>
      </c>
      <c r="Z59">
        <v>10</v>
      </c>
      <c r="AA59">
        <v>3</v>
      </c>
      <c r="AB59">
        <v>30</v>
      </c>
      <c r="AC59">
        <v>10</v>
      </c>
      <c r="AD59">
        <v>30</v>
      </c>
      <c r="AE59">
        <f t="shared" si="0"/>
        <v>10</v>
      </c>
    </row>
    <row r="60" spans="1:32" x14ac:dyDescent="0.15">
      <c r="I60" s="1"/>
      <c r="Y60">
        <v>1</v>
      </c>
      <c r="Z60">
        <v>10</v>
      </c>
      <c r="AA60">
        <v>3</v>
      </c>
      <c r="AB60">
        <v>30</v>
      </c>
      <c r="AC60">
        <v>10</v>
      </c>
      <c r="AD60">
        <v>30</v>
      </c>
      <c r="AE60">
        <f t="shared" si="0"/>
        <v>10</v>
      </c>
    </row>
    <row r="61" spans="1:32" x14ac:dyDescent="0.15">
      <c r="I61" s="1"/>
      <c r="Y61">
        <v>1</v>
      </c>
      <c r="Z61">
        <v>2.5</v>
      </c>
      <c r="AA61">
        <v>6</v>
      </c>
      <c r="AB61">
        <v>15</v>
      </c>
      <c r="AC61">
        <v>1.875</v>
      </c>
      <c r="AD61">
        <v>15</v>
      </c>
      <c r="AE61">
        <f t="shared" si="0"/>
        <v>2.5</v>
      </c>
    </row>
    <row r="62" spans="1:32" x14ac:dyDescent="0.15">
      <c r="I62" s="1"/>
      <c r="Y62">
        <v>1</v>
      </c>
      <c r="Z62">
        <v>2.5</v>
      </c>
      <c r="AA62">
        <v>6</v>
      </c>
      <c r="AB62">
        <v>15</v>
      </c>
      <c r="AC62">
        <v>1.875</v>
      </c>
      <c r="AD62">
        <v>15</v>
      </c>
      <c r="AE62">
        <f t="shared" si="0"/>
        <v>2.5</v>
      </c>
    </row>
    <row r="63" spans="1:32" x14ac:dyDescent="0.15">
      <c r="I63" s="1"/>
      <c r="Y63">
        <v>1</v>
      </c>
      <c r="Z63">
        <v>15</v>
      </c>
      <c r="AA63">
        <v>1</v>
      </c>
      <c r="AB63">
        <v>15</v>
      </c>
      <c r="AC63">
        <v>15</v>
      </c>
      <c r="AD63">
        <v>15</v>
      </c>
      <c r="AE63">
        <f t="shared" si="0"/>
        <v>15</v>
      </c>
    </row>
    <row r="64" spans="1:32" x14ac:dyDescent="0.15">
      <c r="I64" s="1"/>
      <c r="Y64">
        <v>1</v>
      </c>
      <c r="Z64">
        <v>10</v>
      </c>
      <c r="AA64">
        <v>3</v>
      </c>
      <c r="AB64">
        <v>30</v>
      </c>
      <c r="AC64">
        <v>10</v>
      </c>
      <c r="AD64">
        <v>30</v>
      </c>
      <c r="AE64">
        <f t="shared" si="0"/>
        <v>10</v>
      </c>
    </row>
    <row r="65" spans="9:31" x14ac:dyDescent="0.15">
      <c r="I65" s="1"/>
      <c r="Y65">
        <v>1</v>
      </c>
      <c r="Z65">
        <v>10</v>
      </c>
      <c r="AA65">
        <v>3</v>
      </c>
      <c r="AB65">
        <v>30</v>
      </c>
      <c r="AC65">
        <v>10</v>
      </c>
      <c r="AD65">
        <v>30</v>
      </c>
      <c r="AE65">
        <f t="shared" si="0"/>
        <v>10</v>
      </c>
    </row>
    <row r="66" spans="9:31" x14ac:dyDescent="0.15">
      <c r="I66" s="1"/>
      <c r="Y66">
        <v>1</v>
      </c>
      <c r="Z66">
        <v>10</v>
      </c>
      <c r="AA66">
        <v>3</v>
      </c>
      <c r="AB66">
        <v>30</v>
      </c>
      <c r="AC66">
        <v>10</v>
      </c>
      <c r="AD66">
        <v>30</v>
      </c>
      <c r="AE66">
        <f t="shared" si="0"/>
        <v>10</v>
      </c>
    </row>
    <row r="67" spans="9:31" x14ac:dyDescent="0.15">
      <c r="I67" s="1"/>
      <c r="Y67">
        <v>1</v>
      </c>
      <c r="Z67">
        <v>1.5</v>
      </c>
      <c r="AA67">
        <v>10</v>
      </c>
      <c r="AB67">
        <v>15</v>
      </c>
      <c r="AC67">
        <v>1.875</v>
      </c>
      <c r="AD67">
        <v>15</v>
      </c>
      <c r="AE67">
        <f t="shared" si="0"/>
        <v>1.5</v>
      </c>
    </row>
    <row r="68" spans="9:31" x14ac:dyDescent="0.15">
      <c r="I68" s="1"/>
      <c r="Y68">
        <v>1</v>
      </c>
      <c r="Z68">
        <v>1.5</v>
      </c>
      <c r="AA68">
        <v>10</v>
      </c>
      <c r="AB68">
        <v>15</v>
      </c>
      <c r="AC68">
        <v>1.875</v>
      </c>
      <c r="AD68">
        <v>15</v>
      </c>
      <c r="AE68">
        <f t="shared" si="0"/>
        <v>1.5</v>
      </c>
    </row>
    <row r="69" spans="9:31" x14ac:dyDescent="0.15">
      <c r="I69" s="1"/>
    </row>
    <row r="70" spans="9:31" x14ac:dyDescent="0.15">
      <c r="I70" s="1"/>
    </row>
    <row r="71" spans="9:31" x14ac:dyDescent="0.15">
      <c r="I71" s="1"/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DB1-723C-4D91-8AAF-6BF8F7E57A0C}">
  <dimension ref="A1:AD47"/>
  <sheetViews>
    <sheetView zoomScale="70" zoomScaleNormal="70" workbookViewId="0">
      <pane xSplit="2" ySplit="1" topLeftCell="P2" activePane="bottomRight" state="frozen"/>
      <selection pane="bottomLeft" activeCell="A2" sqref="A2"/>
      <selection pane="topRight" activeCell="C1" sqref="C1"/>
      <selection pane="bottomRight" activeCell="Y45" sqref="Y45"/>
    </sheetView>
  </sheetViews>
  <sheetFormatPr defaultRowHeight="14.25" x14ac:dyDescent="0.15"/>
  <cols>
    <col min="2" max="2" width="22.85546875" bestFit="1" customWidth="1"/>
    <col min="3" max="3" width="53.078125" bestFit="1" customWidth="1"/>
    <col min="4" max="4" width="17.609375" bestFit="1" customWidth="1"/>
    <col min="11" max="11" width="13.86328125" bestFit="1" customWidth="1"/>
    <col min="14" max="14" width="16.609375" bestFit="1" customWidth="1"/>
    <col min="21" max="21" width="13.98828125" bestFit="1" customWidth="1"/>
    <col min="22" max="22" width="15.609375" bestFit="1" customWidth="1"/>
    <col min="23" max="23" width="19.98046875" bestFit="1" customWidth="1"/>
    <col min="24" max="24" width="107.53515625" bestFit="1" customWidth="1"/>
    <col min="25" max="25" width="9.1171875" bestFit="1" customWidth="1"/>
    <col min="26" max="26" width="14.23828125" bestFit="1" customWidth="1"/>
    <col min="27" max="27" width="18.859375" bestFit="1" customWidth="1"/>
    <col min="28" max="28" width="13.11328125" bestFit="1" customWidth="1"/>
    <col min="29" max="29" width="10.73828125" bestFit="1" customWidth="1"/>
    <col min="30" max="30" width="15.859375" bestFit="1" customWidth="1"/>
  </cols>
  <sheetData>
    <row r="1" spans="1:30" x14ac:dyDescent="0.15">
      <c r="A1" s="2" t="s">
        <v>40</v>
      </c>
      <c r="B1" t="s">
        <v>135</v>
      </c>
      <c r="C1" t="s">
        <v>102</v>
      </c>
      <c r="D1" t="s">
        <v>2</v>
      </c>
      <c r="E1" t="s">
        <v>3</v>
      </c>
      <c r="F1" t="s">
        <v>0</v>
      </c>
      <c r="G1" t="s">
        <v>1</v>
      </c>
      <c r="H1" t="s">
        <v>41</v>
      </c>
      <c r="I1" t="s">
        <v>4</v>
      </c>
      <c r="J1" t="s">
        <v>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16</v>
      </c>
      <c r="Q1" t="s">
        <v>14</v>
      </c>
      <c r="R1" t="s">
        <v>15</v>
      </c>
      <c r="S1" t="s">
        <v>103</v>
      </c>
      <c r="T1" t="s">
        <v>21</v>
      </c>
      <c r="U1" t="s">
        <v>67</v>
      </c>
      <c r="V1" t="s">
        <v>104</v>
      </c>
      <c r="W1" t="s">
        <v>136</v>
      </c>
      <c r="X1" t="s">
        <v>23</v>
      </c>
      <c r="Y1" t="s">
        <v>137</v>
      </c>
      <c r="Z1" t="s">
        <v>25</v>
      </c>
      <c r="AA1" t="s">
        <v>44</v>
      </c>
      <c r="AB1" t="s">
        <v>68</v>
      </c>
      <c r="AC1" t="s">
        <v>87</v>
      </c>
      <c r="AD1" t="s">
        <v>127</v>
      </c>
    </row>
    <row r="2" spans="1:30" x14ac:dyDescent="0.15">
      <c r="A2">
        <v>18</v>
      </c>
      <c r="B2" t="s">
        <v>156</v>
      </c>
      <c r="C2" t="s">
        <v>116</v>
      </c>
      <c r="D2" t="s">
        <v>27</v>
      </c>
      <c r="E2">
        <v>2021</v>
      </c>
      <c r="F2" t="s">
        <v>26</v>
      </c>
      <c r="H2" t="s">
        <v>26</v>
      </c>
      <c r="I2">
        <v>1</v>
      </c>
      <c r="J2" t="s">
        <v>28</v>
      </c>
      <c r="K2" s="1">
        <v>44414.390844907408</v>
      </c>
      <c r="L2" t="s">
        <v>29</v>
      </c>
      <c r="M2" t="s">
        <v>26</v>
      </c>
      <c r="N2" t="s">
        <v>30</v>
      </c>
      <c r="P2" t="s">
        <v>32</v>
      </c>
      <c r="R2" t="s">
        <v>31</v>
      </c>
      <c r="T2" t="s">
        <v>31</v>
      </c>
      <c r="V2" t="s">
        <v>103</v>
      </c>
      <c r="W2" t="s">
        <v>157</v>
      </c>
      <c r="X2" t="s">
        <v>158</v>
      </c>
      <c r="Y2">
        <v>87.5</v>
      </c>
      <c r="Z2">
        <v>25</v>
      </c>
      <c r="AA2">
        <v>4</v>
      </c>
      <c r="AB2">
        <v>30</v>
      </c>
      <c r="AC2">
        <v>30</v>
      </c>
      <c r="AD2">
        <v>30</v>
      </c>
    </row>
    <row r="3" spans="1:30" x14ac:dyDescent="0.15">
      <c r="A3">
        <v>4</v>
      </c>
      <c r="B3" t="s">
        <v>138</v>
      </c>
      <c r="C3" t="s">
        <v>116</v>
      </c>
      <c r="D3" t="s">
        <v>27</v>
      </c>
      <c r="E3">
        <v>2021</v>
      </c>
      <c r="F3" t="s">
        <v>26</v>
      </c>
      <c r="H3" t="s">
        <v>26</v>
      </c>
      <c r="I3">
        <v>1</v>
      </c>
      <c r="J3" t="s">
        <v>28</v>
      </c>
      <c r="K3" s="1">
        <v>44414.390844907408</v>
      </c>
      <c r="L3" t="s">
        <v>29</v>
      </c>
      <c r="M3" t="s">
        <v>26</v>
      </c>
      <c r="N3" t="s">
        <v>30</v>
      </c>
      <c r="P3" t="s">
        <v>32</v>
      </c>
      <c r="R3" t="s">
        <v>31</v>
      </c>
      <c r="T3" t="s">
        <v>31</v>
      </c>
      <c r="U3" t="s">
        <v>61</v>
      </c>
      <c r="V3" t="s">
        <v>117</v>
      </c>
      <c r="W3" t="s">
        <v>117</v>
      </c>
      <c r="X3" t="s">
        <v>33</v>
      </c>
      <c r="Y3">
        <v>4</v>
      </c>
      <c r="Z3">
        <v>4</v>
      </c>
      <c r="AA3">
        <v>4</v>
      </c>
      <c r="AB3">
        <v>15</v>
      </c>
      <c r="AC3">
        <v>15</v>
      </c>
      <c r="AD3">
        <v>15</v>
      </c>
    </row>
    <row r="4" spans="1:30" x14ac:dyDescent="0.15">
      <c r="A4">
        <v>5</v>
      </c>
      <c r="B4" t="s">
        <v>138</v>
      </c>
      <c r="C4" t="s">
        <v>116</v>
      </c>
      <c r="D4" t="s">
        <v>27</v>
      </c>
      <c r="E4">
        <v>2021</v>
      </c>
      <c r="F4" t="s">
        <v>26</v>
      </c>
      <c r="H4" t="s">
        <v>26</v>
      </c>
      <c r="I4">
        <v>1</v>
      </c>
      <c r="J4" t="s">
        <v>28</v>
      </c>
      <c r="K4" s="1">
        <v>44414.390844907408</v>
      </c>
      <c r="L4" t="s">
        <v>29</v>
      </c>
      <c r="M4" t="s">
        <v>26</v>
      </c>
      <c r="N4" t="s">
        <v>30</v>
      </c>
      <c r="P4" t="s">
        <v>32</v>
      </c>
      <c r="R4" t="s">
        <v>31</v>
      </c>
      <c r="T4" t="s">
        <v>31</v>
      </c>
      <c r="U4" t="s">
        <v>61</v>
      </c>
      <c r="V4" t="s">
        <v>120</v>
      </c>
      <c r="W4" t="s">
        <v>120</v>
      </c>
      <c r="X4" t="s">
        <v>34</v>
      </c>
      <c r="Y4">
        <v>3</v>
      </c>
      <c r="Z4">
        <v>3</v>
      </c>
      <c r="AA4">
        <v>4</v>
      </c>
      <c r="AB4">
        <v>15</v>
      </c>
      <c r="AC4">
        <v>15</v>
      </c>
      <c r="AD4">
        <v>15</v>
      </c>
    </row>
    <row r="5" spans="1:30" x14ac:dyDescent="0.15">
      <c r="A5">
        <v>1</v>
      </c>
      <c r="B5" t="s">
        <v>138</v>
      </c>
      <c r="C5" t="s">
        <v>116</v>
      </c>
      <c r="D5" t="s">
        <v>27</v>
      </c>
      <c r="E5">
        <v>2021</v>
      </c>
      <c r="F5" t="s">
        <v>26</v>
      </c>
      <c r="H5" t="s">
        <v>26</v>
      </c>
      <c r="I5">
        <v>1</v>
      </c>
      <c r="J5" t="s">
        <v>28</v>
      </c>
      <c r="K5" s="1">
        <v>44414.390844907408</v>
      </c>
      <c r="L5" t="s">
        <v>29</v>
      </c>
      <c r="M5" t="s">
        <v>26</v>
      </c>
      <c r="N5" t="s">
        <v>30</v>
      </c>
      <c r="P5" t="s">
        <v>32</v>
      </c>
      <c r="R5" t="s">
        <v>31</v>
      </c>
      <c r="T5" t="s">
        <v>31</v>
      </c>
      <c r="U5" t="s">
        <v>63</v>
      </c>
      <c r="V5" t="s">
        <v>122</v>
      </c>
      <c r="W5" t="s">
        <v>122</v>
      </c>
      <c r="X5" t="s">
        <v>35</v>
      </c>
      <c r="Y5">
        <v>3</v>
      </c>
      <c r="Z5">
        <v>3</v>
      </c>
      <c r="AA5">
        <v>4</v>
      </c>
      <c r="AB5">
        <v>30</v>
      </c>
      <c r="AC5">
        <v>30</v>
      </c>
      <c r="AD5">
        <v>30</v>
      </c>
    </row>
    <row r="6" spans="1:30" x14ac:dyDescent="0.15">
      <c r="A6">
        <v>6</v>
      </c>
      <c r="B6" t="s">
        <v>138</v>
      </c>
      <c r="C6" t="s">
        <v>116</v>
      </c>
      <c r="D6" t="s">
        <v>27</v>
      </c>
      <c r="E6">
        <v>2021</v>
      </c>
      <c r="F6" t="s">
        <v>26</v>
      </c>
      <c r="H6" t="s">
        <v>26</v>
      </c>
      <c r="I6">
        <v>1</v>
      </c>
      <c r="J6" t="s">
        <v>28</v>
      </c>
      <c r="K6" s="1">
        <v>44414.390844907408</v>
      </c>
      <c r="L6" t="s">
        <v>29</v>
      </c>
      <c r="M6" t="s">
        <v>26</v>
      </c>
      <c r="N6" t="s">
        <v>30</v>
      </c>
      <c r="P6" t="s">
        <v>32</v>
      </c>
      <c r="R6" t="s">
        <v>31</v>
      </c>
      <c r="T6" t="s">
        <v>31</v>
      </c>
      <c r="U6" t="s">
        <v>64</v>
      </c>
      <c r="V6" t="s">
        <v>121</v>
      </c>
      <c r="W6" t="s">
        <v>121</v>
      </c>
      <c r="X6" t="s">
        <v>36</v>
      </c>
      <c r="Y6">
        <v>4</v>
      </c>
      <c r="Z6">
        <v>4</v>
      </c>
      <c r="AA6">
        <v>4</v>
      </c>
      <c r="AB6">
        <v>5</v>
      </c>
      <c r="AC6">
        <v>5</v>
      </c>
      <c r="AD6">
        <v>5</v>
      </c>
    </row>
    <row r="7" spans="1:30" x14ac:dyDescent="0.15">
      <c r="A7">
        <v>7</v>
      </c>
      <c r="B7" t="s">
        <v>138</v>
      </c>
      <c r="C7" t="s">
        <v>116</v>
      </c>
      <c r="D7" t="s">
        <v>27</v>
      </c>
      <c r="E7">
        <v>2021</v>
      </c>
      <c r="F7" t="s">
        <v>26</v>
      </c>
      <c r="H7" t="s">
        <v>26</v>
      </c>
      <c r="I7">
        <v>1</v>
      </c>
      <c r="J7" t="s">
        <v>28</v>
      </c>
      <c r="K7" s="1">
        <v>44414.390844907408</v>
      </c>
      <c r="L7" t="s">
        <v>29</v>
      </c>
      <c r="M7" t="s">
        <v>26</v>
      </c>
      <c r="N7" t="s">
        <v>30</v>
      </c>
      <c r="P7" t="s">
        <v>32</v>
      </c>
      <c r="R7" t="s">
        <v>31</v>
      </c>
      <c r="T7" t="s">
        <v>31</v>
      </c>
      <c r="U7" t="s">
        <v>64</v>
      </c>
      <c r="V7" t="s">
        <v>125</v>
      </c>
      <c r="W7" t="s">
        <v>125</v>
      </c>
      <c r="X7" t="s">
        <v>37</v>
      </c>
      <c r="Y7">
        <v>3</v>
      </c>
      <c r="Z7">
        <v>3</v>
      </c>
      <c r="AA7">
        <v>4</v>
      </c>
      <c r="AB7">
        <v>5</v>
      </c>
      <c r="AC7">
        <v>5</v>
      </c>
      <c r="AD7">
        <v>5</v>
      </c>
    </row>
    <row r="8" spans="1:30" x14ac:dyDescent="0.15">
      <c r="A8">
        <v>2</v>
      </c>
      <c r="B8" t="s">
        <v>138</v>
      </c>
      <c r="C8" t="s">
        <v>116</v>
      </c>
      <c r="D8" t="s">
        <v>27</v>
      </c>
      <c r="E8">
        <v>2021</v>
      </c>
      <c r="F8" t="s">
        <v>26</v>
      </c>
      <c r="H8" t="s">
        <v>26</v>
      </c>
      <c r="I8">
        <v>1</v>
      </c>
      <c r="J8" t="s">
        <v>28</v>
      </c>
      <c r="K8" s="1">
        <v>44414.390844907408</v>
      </c>
      <c r="L8" t="s">
        <v>29</v>
      </c>
      <c r="M8" t="s">
        <v>26</v>
      </c>
      <c r="N8" t="s">
        <v>30</v>
      </c>
      <c r="P8" t="s">
        <v>32</v>
      </c>
      <c r="R8" t="s">
        <v>31</v>
      </c>
      <c r="T8" t="s">
        <v>31</v>
      </c>
      <c r="U8" t="s">
        <v>62</v>
      </c>
      <c r="V8" t="s">
        <v>124</v>
      </c>
      <c r="W8" t="s">
        <v>124</v>
      </c>
      <c r="X8" t="s">
        <v>38</v>
      </c>
      <c r="Y8">
        <v>4</v>
      </c>
      <c r="Z8">
        <v>4</v>
      </c>
      <c r="AA8">
        <v>4</v>
      </c>
      <c r="AB8">
        <v>15</v>
      </c>
      <c r="AC8">
        <v>15</v>
      </c>
      <c r="AD8">
        <v>15</v>
      </c>
    </row>
    <row r="9" spans="1:30" x14ac:dyDescent="0.15">
      <c r="A9">
        <v>3</v>
      </c>
      <c r="B9" t="s">
        <v>138</v>
      </c>
      <c r="C9" t="s">
        <v>116</v>
      </c>
      <c r="D9" t="s">
        <v>27</v>
      </c>
      <c r="E9">
        <v>2021</v>
      </c>
      <c r="F9" t="s">
        <v>26</v>
      </c>
      <c r="H9" t="s">
        <v>26</v>
      </c>
      <c r="I9">
        <v>1</v>
      </c>
      <c r="J9" t="s">
        <v>28</v>
      </c>
      <c r="K9" s="1">
        <v>44414.390844907408</v>
      </c>
      <c r="L9" t="s">
        <v>29</v>
      </c>
      <c r="M9" t="s">
        <v>26</v>
      </c>
      <c r="N9" t="s">
        <v>30</v>
      </c>
      <c r="P9" t="s">
        <v>32</v>
      </c>
      <c r="R9" t="s">
        <v>31</v>
      </c>
      <c r="T9" t="s">
        <v>31</v>
      </c>
      <c r="U9" t="s">
        <v>62</v>
      </c>
      <c r="V9" t="s">
        <v>123</v>
      </c>
      <c r="W9" t="s">
        <v>123</v>
      </c>
      <c r="X9" t="s">
        <v>39</v>
      </c>
      <c r="Y9">
        <v>4</v>
      </c>
      <c r="Z9">
        <v>4</v>
      </c>
      <c r="AA9">
        <v>4</v>
      </c>
      <c r="AB9">
        <v>15</v>
      </c>
      <c r="AC9">
        <v>15</v>
      </c>
      <c r="AD9">
        <v>15</v>
      </c>
    </row>
    <row r="10" spans="1:30" x14ac:dyDescent="0.15">
      <c r="A10">
        <v>8</v>
      </c>
      <c r="B10" t="s">
        <v>139</v>
      </c>
      <c r="C10" t="s">
        <v>116</v>
      </c>
      <c r="D10" t="s">
        <v>27</v>
      </c>
      <c r="E10">
        <v>2021</v>
      </c>
      <c r="F10" t="s">
        <v>26</v>
      </c>
      <c r="H10" t="s">
        <v>26</v>
      </c>
      <c r="I10">
        <v>1</v>
      </c>
      <c r="J10" t="s">
        <v>28</v>
      </c>
      <c r="K10" s="1">
        <v>44414.390844907408</v>
      </c>
      <c r="L10" t="s">
        <v>29</v>
      </c>
      <c r="M10" t="s">
        <v>26</v>
      </c>
      <c r="N10" t="s">
        <v>30</v>
      </c>
      <c r="P10" t="s">
        <v>32</v>
      </c>
      <c r="R10" t="s">
        <v>31</v>
      </c>
      <c r="T10" t="s">
        <v>31</v>
      </c>
      <c r="V10" t="s">
        <v>140</v>
      </c>
      <c r="W10" t="s">
        <v>140</v>
      </c>
      <c r="X10" t="s">
        <v>141</v>
      </c>
      <c r="Y10">
        <v>25</v>
      </c>
      <c r="Z10">
        <v>25</v>
      </c>
      <c r="AA10">
        <v>4</v>
      </c>
      <c r="AB10">
        <v>30</v>
      </c>
      <c r="AC10">
        <v>30</v>
      </c>
      <c r="AD10">
        <v>30</v>
      </c>
    </row>
    <row r="11" spans="1:30" x14ac:dyDescent="0.15">
      <c r="A11">
        <v>12</v>
      </c>
      <c r="B11" t="s">
        <v>142</v>
      </c>
      <c r="C11" t="s">
        <v>116</v>
      </c>
      <c r="D11" t="s">
        <v>27</v>
      </c>
      <c r="E11">
        <v>2021</v>
      </c>
      <c r="F11" t="s">
        <v>26</v>
      </c>
      <c r="H11" t="s">
        <v>26</v>
      </c>
      <c r="I11">
        <v>1</v>
      </c>
      <c r="J11" t="s">
        <v>28</v>
      </c>
      <c r="K11" s="1">
        <v>44414.390844907408</v>
      </c>
      <c r="L11" t="s">
        <v>29</v>
      </c>
      <c r="M11" t="s">
        <v>26</v>
      </c>
      <c r="N11" t="s">
        <v>30</v>
      </c>
      <c r="P11" t="s">
        <v>32</v>
      </c>
      <c r="R11" t="s">
        <v>31</v>
      </c>
      <c r="T11" t="s">
        <v>31</v>
      </c>
      <c r="U11" t="s">
        <v>61</v>
      </c>
      <c r="V11" t="s">
        <v>146</v>
      </c>
      <c r="W11" t="s">
        <v>146</v>
      </c>
      <c r="X11" t="s">
        <v>33</v>
      </c>
      <c r="Y11">
        <v>15</v>
      </c>
      <c r="Z11">
        <v>4</v>
      </c>
      <c r="AA11">
        <v>4</v>
      </c>
      <c r="AB11">
        <v>15</v>
      </c>
      <c r="AC11">
        <v>15</v>
      </c>
      <c r="AD11">
        <v>15</v>
      </c>
    </row>
    <row r="12" spans="1:30" x14ac:dyDescent="0.15">
      <c r="A12">
        <v>13</v>
      </c>
      <c r="B12" t="s">
        <v>142</v>
      </c>
      <c r="C12" t="s">
        <v>116</v>
      </c>
      <c r="D12" t="s">
        <v>27</v>
      </c>
      <c r="E12">
        <v>2021</v>
      </c>
      <c r="F12" t="s">
        <v>26</v>
      </c>
      <c r="H12" t="s">
        <v>26</v>
      </c>
      <c r="I12">
        <v>1</v>
      </c>
      <c r="J12" t="s">
        <v>28</v>
      </c>
      <c r="K12" s="1">
        <v>44414.390844907408</v>
      </c>
      <c r="L12" t="s">
        <v>29</v>
      </c>
      <c r="M12" t="s">
        <v>26</v>
      </c>
      <c r="N12" t="s">
        <v>30</v>
      </c>
      <c r="P12" t="s">
        <v>32</v>
      </c>
      <c r="R12" t="s">
        <v>31</v>
      </c>
      <c r="T12" t="s">
        <v>31</v>
      </c>
      <c r="U12" t="s">
        <v>61</v>
      </c>
      <c r="V12" t="s">
        <v>147</v>
      </c>
      <c r="W12" t="s">
        <v>147</v>
      </c>
      <c r="X12" t="s">
        <v>34</v>
      </c>
      <c r="Y12">
        <v>11.25</v>
      </c>
      <c r="Z12">
        <v>3</v>
      </c>
      <c r="AA12">
        <v>4</v>
      </c>
      <c r="AB12">
        <v>15</v>
      </c>
      <c r="AC12">
        <v>15</v>
      </c>
      <c r="AD12">
        <v>15</v>
      </c>
    </row>
    <row r="13" spans="1:30" x14ac:dyDescent="0.15">
      <c r="A13">
        <v>9</v>
      </c>
      <c r="B13" t="s">
        <v>142</v>
      </c>
      <c r="C13" t="s">
        <v>116</v>
      </c>
      <c r="D13" t="s">
        <v>27</v>
      </c>
      <c r="E13">
        <v>2021</v>
      </c>
      <c r="F13" t="s">
        <v>26</v>
      </c>
      <c r="H13" t="s">
        <v>26</v>
      </c>
      <c r="I13">
        <v>1</v>
      </c>
      <c r="J13" t="s">
        <v>28</v>
      </c>
      <c r="K13" s="1">
        <v>44414.390844907408</v>
      </c>
      <c r="L13" t="s">
        <v>29</v>
      </c>
      <c r="M13" t="s">
        <v>26</v>
      </c>
      <c r="N13" t="s">
        <v>30</v>
      </c>
      <c r="P13" t="s">
        <v>32</v>
      </c>
      <c r="R13" t="s">
        <v>31</v>
      </c>
      <c r="T13" t="s">
        <v>31</v>
      </c>
      <c r="U13" t="s">
        <v>63</v>
      </c>
      <c r="V13" t="s">
        <v>143</v>
      </c>
      <c r="W13" t="s">
        <v>143</v>
      </c>
      <c r="X13" t="s">
        <v>35</v>
      </c>
      <c r="Y13">
        <v>22.5</v>
      </c>
      <c r="Z13">
        <v>3</v>
      </c>
      <c r="AA13">
        <v>4</v>
      </c>
      <c r="AB13">
        <v>30</v>
      </c>
      <c r="AC13">
        <v>30</v>
      </c>
      <c r="AD13">
        <v>30</v>
      </c>
    </row>
    <row r="14" spans="1:30" x14ac:dyDescent="0.15">
      <c r="A14">
        <v>14</v>
      </c>
      <c r="B14" t="s">
        <v>142</v>
      </c>
      <c r="C14" t="s">
        <v>116</v>
      </c>
      <c r="D14" t="s">
        <v>27</v>
      </c>
      <c r="E14">
        <v>2021</v>
      </c>
      <c r="F14" t="s">
        <v>26</v>
      </c>
      <c r="H14" t="s">
        <v>26</v>
      </c>
      <c r="I14">
        <v>1</v>
      </c>
      <c r="J14" t="s">
        <v>28</v>
      </c>
      <c r="K14" s="1">
        <v>44414.390844907408</v>
      </c>
      <c r="L14" t="s">
        <v>29</v>
      </c>
      <c r="M14" t="s">
        <v>26</v>
      </c>
      <c r="N14" t="s">
        <v>30</v>
      </c>
      <c r="P14" t="s">
        <v>32</v>
      </c>
      <c r="R14" t="s">
        <v>31</v>
      </c>
      <c r="T14" t="s">
        <v>31</v>
      </c>
      <c r="U14" t="s">
        <v>64</v>
      </c>
      <c r="V14" t="s">
        <v>148</v>
      </c>
      <c r="W14" t="s">
        <v>148</v>
      </c>
      <c r="X14" t="s">
        <v>36</v>
      </c>
      <c r="Y14">
        <v>5</v>
      </c>
      <c r="Z14">
        <v>4</v>
      </c>
      <c r="AA14">
        <v>4</v>
      </c>
      <c r="AB14">
        <v>5</v>
      </c>
      <c r="AC14">
        <v>5</v>
      </c>
      <c r="AD14">
        <v>5</v>
      </c>
    </row>
    <row r="15" spans="1:30" x14ac:dyDescent="0.15">
      <c r="A15">
        <v>15</v>
      </c>
      <c r="B15" t="s">
        <v>142</v>
      </c>
      <c r="C15" t="s">
        <v>116</v>
      </c>
      <c r="D15" t="s">
        <v>27</v>
      </c>
      <c r="E15">
        <v>2021</v>
      </c>
      <c r="F15" t="s">
        <v>26</v>
      </c>
      <c r="H15" t="s">
        <v>26</v>
      </c>
      <c r="I15">
        <v>1</v>
      </c>
      <c r="J15" t="s">
        <v>28</v>
      </c>
      <c r="K15" s="1">
        <v>44414.390844907408</v>
      </c>
      <c r="L15" t="s">
        <v>29</v>
      </c>
      <c r="M15" t="s">
        <v>26</v>
      </c>
      <c r="N15" t="s">
        <v>30</v>
      </c>
      <c r="P15" t="s">
        <v>32</v>
      </c>
      <c r="R15" t="s">
        <v>31</v>
      </c>
      <c r="T15" t="s">
        <v>31</v>
      </c>
      <c r="U15" t="s">
        <v>64</v>
      </c>
      <c r="V15" t="s">
        <v>149</v>
      </c>
      <c r="W15" t="s">
        <v>149</v>
      </c>
      <c r="X15" t="s">
        <v>37</v>
      </c>
      <c r="Y15">
        <v>3.75</v>
      </c>
      <c r="Z15">
        <v>3</v>
      </c>
      <c r="AA15">
        <v>4</v>
      </c>
      <c r="AB15">
        <v>5</v>
      </c>
      <c r="AC15">
        <v>5</v>
      </c>
      <c r="AD15">
        <v>5</v>
      </c>
    </row>
    <row r="16" spans="1:30" x14ac:dyDescent="0.15">
      <c r="A16">
        <v>10</v>
      </c>
      <c r="B16" t="s">
        <v>142</v>
      </c>
      <c r="C16" t="s">
        <v>116</v>
      </c>
      <c r="D16" t="s">
        <v>27</v>
      </c>
      <c r="E16">
        <v>2021</v>
      </c>
      <c r="F16" t="s">
        <v>26</v>
      </c>
      <c r="H16" t="s">
        <v>26</v>
      </c>
      <c r="I16">
        <v>1</v>
      </c>
      <c r="J16" t="s">
        <v>28</v>
      </c>
      <c r="K16" s="1">
        <v>44414.390844907408</v>
      </c>
      <c r="L16" t="s">
        <v>29</v>
      </c>
      <c r="M16" t="s">
        <v>26</v>
      </c>
      <c r="N16" t="s">
        <v>30</v>
      </c>
      <c r="P16" t="s">
        <v>32</v>
      </c>
      <c r="R16" t="s">
        <v>31</v>
      </c>
      <c r="T16" t="s">
        <v>31</v>
      </c>
      <c r="U16" t="s">
        <v>62</v>
      </c>
      <c r="V16" t="s">
        <v>144</v>
      </c>
      <c r="W16" t="s">
        <v>144</v>
      </c>
      <c r="X16" t="s">
        <v>38</v>
      </c>
      <c r="Y16">
        <v>15</v>
      </c>
      <c r="Z16">
        <v>4</v>
      </c>
      <c r="AA16">
        <v>4</v>
      </c>
      <c r="AB16">
        <v>15</v>
      </c>
      <c r="AC16">
        <v>15</v>
      </c>
      <c r="AD16">
        <v>15</v>
      </c>
    </row>
    <row r="17" spans="1:30" x14ac:dyDescent="0.15">
      <c r="A17">
        <v>11</v>
      </c>
      <c r="B17" t="s">
        <v>142</v>
      </c>
      <c r="C17" t="s">
        <v>116</v>
      </c>
      <c r="D17" t="s">
        <v>27</v>
      </c>
      <c r="E17">
        <v>2021</v>
      </c>
      <c r="F17" t="s">
        <v>26</v>
      </c>
      <c r="H17" t="s">
        <v>26</v>
      </c>
      <c r="I17">
        <v>1</v>
      </c>
      <c r="J17" t="s">
        <v>28</v>
      </c>
      <c r="K17" s="1">
        <v>44414.390844907408</v>
      </c>
      <c r="L17" t="s">
        <v>29</v>
      </c>
      <c r="M17" t="s">
        <v>26</v>
      </c>
      <c r="N17" t="s">
        <v>30</v>
      </c>
      <c r="P17" t="s">
        <v>32</v>
      </c>
      <c r="R17" t="s">
        <v>31</v>
      </c>
      <c r="T17" t="s">
        <v>31</v>
      </c>
      <c r="U17" t="s">
        <v>62</v>
      </c>
      <c r="V17" t="s">
        <v>145</v>
      </c>
      <c r="W17" t="s">
        <v>145</v>
      </c>
      <c r="X17" t="s">
        <v>39</v>
      </c>
      <c r="Y17">
        <v>15</v>
      </c>
      <c r="Z17">
        <v>4</v>
      </c>
      <c r="AA17">
        <v>4</v>
      </c>
      <c r="AB17">
        <v>15</v>
      </c>
      <c r="AC17">
        <v>15</v>
      </c>
      <c r="AD17">
        <v>15</v>
      </c>
    </row>
    <row r="18" spans="1:30" x14ac:dyDescent="0.15">
      <c r="A18">
        <v>16</v>
      </c>
      <c r="B18" t="s">
        <v>150</v>
      </c>
      <c r="C18" t="s">
        <v>116</v>
      </c>
      <c r="D18" t="s">
        <v>27</v>
      </c>
      <c r="E18">
        <v>2021</v>
      </c>
      <c r="F18" t="s">
        <v>26</v>
      </c>
      <c r="H18" t="s">
        <v>26</v>
      </c>
      <c r="I18">
        <v>1</v>
      </c>
      <c r="J18" t="s">
        <v>28</v>
      </c>
      <c r="K18" s="1">
        <v>44414.390844907408</v>
      </c>
      <c r="L18" t="s">
        <v>29</v>
      </c>
      <c r="M18" t="s">
        <v>26</v>
      </c>
      <c r="N18" t="s">
        <v>30</v>
      </c>
      <c r="P18" t="s">
        <v>32</v>
      </c>
      <c r="R18" t="s">
        <v>31</v>
      </c>
      <c r="T18" t="s">
        <v>31</v>
      </c>
      <c r="V18" t="s">
        <v>151</v>
      </c>
      <c r="W18" t="s">
        <v>151</v>
      </c>
      <c r="X18" t="s">
        <v>152</v>
      </c>
      <c r="Y18">
        <v>87.5</v>
      </c>
      <c r="Z18">
        <v>25</v>
      </c>
      <c r="AA18">
        <v>4</v>
      </c>
      <c r="AB18">
        <v>30</v>
      </c>
      <c r="AC18">
        <v>30</v>
      </c>
      <c r="AD18">
        <v>30</v>
      </c>
    </row>
    <row r="19" spans="1:30" x14ac:dyDescent="0.15">
      <c r="A19">
        <v>17</v>
      </c>
      <c r="B19" t="s">
        <v>153</v>
      </c>
      <c r="C19" t="s">
        <v>116</v>
      </c>
      <c r="D19" t="s">
        <v>27</v>
      </c>
      <c r="E19">
        <v>2021</v>
      </c>
      <c r="F19" t="s">
        <v>26</v>
      </c>
      <c r="H19" t="s">
        <v>26</v>
      </c>
      <c r="I19">
        <v>1</v>
      </c>
      <c r="J19" t="s">
        <v>28</v>
      </c>
      <c r="K19" s="1">
        <v>44414.390844907408</v>
      </c>
      <c r="L19" t="s">
        <v>29</v>
      </c>
      <c r="M19" t="s">
        <v>26</v>
      </c>
      <c r="N19" t="s">
        <v>30</v>
      </c>
      <c r="P19" t="s">
        <v>32</v>
      </c>
      <c r="R19" t="s">
        <v>31</v>
      </c>
      <c r="T19" t="s">
        <v>31</v>
      </c>
      <c r="V19" t="s">
        <v>154</v>
      </c>
      <c r="W19" t="s">
        <v>154</v>
      </c>
      <c r="X19" t="s">
        <v>155</v>
      </c>
      <c r="Y19">
        <v>87.5</v>
      </c>
      <c r="Z19">
        <v>25</v>
      </c>
      <c r="AA19">
        <v>4</v>
      </c>
      <c r="AB19">
        <v>30</v>
      </c>
      <c r="AC19">
        <v>30</v>
      </c>
      <c r="AD19">
        <v>30</v>
      </c>
    </row>
    <row r="29" spans="1:30" x14ac:dyDescent="0.15">
      <c r="A29" s="2" t="s">
        <v>40</v>
      </c>
      <c r="B29" t="s">
        <v>135</v>
      </c>
      <c r="C29" t="s">
        <v>102</v>
      </c>
      <c r="D29" t="s">
        <v>2</v>
      </c>
      <c r="E29" t="s">
        <v>3</v>
      </c>
      <c r="F29" t="s">
        <v>0</v>
      </c>
      <c r="G29" t="s">
        <v>1</v>
      </c>
      <c r="H29" t="s">
        <v>41</v>
      </c>
      <c r="I29" t="s">
        <v>4</v>
      </c>
      <c r="J29" t="s">
        <v>5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t="s">
        <v>16</v>
      </c>
      <c r="Q29" t="s">
        <v>14</v>
      </c>
      <c r="R29" t="s">
        <v>15</v>
      </c>
      <c r="S29" t="s">
        <v>103</v>
      </c>
      <c r="T29" t="s">
        <v>21</v>
      </c>
      <c r="U29" t="s">
        <v>67</v>
      </c>
      <c r="V29" t="s">
        <v>104</v>
      </c>
      <c r="W29" t="s">
        <v>136</v>
      </c>
      <c r="X29" t="s">
        <v>23</v>
      </c>
      <c r="Y29" t="s">
        <v>137</v>
      </c>
      <c r="Z29" t="s">
        <v>25</v>
      </c>
      <c r="AA29" t="s">
        <v>44</v>
      </c>
      <c r="AB29" t="s">
        <v>68</v>
      </c>
      <c r="AC29" t="s">
        <v>87</v>
      </c>
      <c r="AD29" t="s">
        <v>127</v>
      </c>
    </row>
    <row r="30" spans="1:30" x14ac:dyDescent="0.15">
      <c r="A30">
        <v>1</v>
      </c>
      <c r="B30" t="s">
        <v>138</v>
      </c>
      <c r="C30" t="s">
        <v>415</v>
      </c>
      <c r="D30" t="s">
        <v>394</v>
      </c>
      <c r="E30">
        <v>1999</v>
      </c>
      <c r="F30" t="s">
        <v>395</v>
      </c>
      <c r="H30" t="s">
        <v>395</v>
      </c>
      <c r="I30">
        <v>1</v>
      </c>
      <c r="J30" t="s">
        <v>396</v>
      </c>
      <c r="K30" s="1">
        <v>45646.45208333333</v>
      </c>
      <c r="L30" t="s">
        <v>397</v>
      </c>
      <c r="M30" t="s">
        <v>398</v>
      </c>
      <c r="P30" t="s">
        <v>399</v>
      </c>
      <c r="R30" t="s">
        <v>31</v>
      </c>
      <c r="S30" t="s">
        <v>400</v>
      </c>
      <c r="T30" t="s">
        <v>31</v>
      </c>
      <c r="U30" t="s">
        <v>61</v>
      </c>
      <c r="V30" t="s">
        <v>117</v>
      </c>
      <c r="W30" t="s">
        <v>117</v>
      </c>
      <c r="X30" t="s">
        <v>401</v>
      </c>
      <c r="Y30">
        <v>4</v>
      </c>
      <c r="Z30">
        <v>4</v>
      </c>
      <c r="AA30">
        <v>4</v>
      </c>
      <c r="AB30">
        <v>10</v>
      </c>
      <c r="AC30">
        <v>10</v>
      </c>
      <c r="AD30">
        <v>10</v>
      </c>
    </row>
    <row r="31" spans="1:30" x14ac:dyDescent="0.15">
      <c r="A31">
        <v>2</v>
      </c>
      <c r="B31" t="s">
        <v>138</v>
      </c>
      <c r="C31" t="s">
        <v>415</v>
      </c>
      <c r="D31" t="s">
        <v>394</v>
      </c>
      <c r="E31">
        <v>1999</v>
      </c>
      <c r="F31" t="s">
        <v>395</v>
      </c>
      <c r="H31" t="s">
        <v>395</v>
      </c>
      <c r="I31">
        <v>1</v>
      </c>
      <c r="J31" t="s">
        <v>396</v>
      </c>
      <c r="K31" s="1">
        <v>45646.45208333333</v>
      </c>
      <c r="L31" t="s">
        <v>397</v>
      </c>
      <c r="M31" t="s">
        <v>398</v>
      </c>
      <c r="P31" t="s">
        <v>399</v>
      </c>
      <c r="R31" t="s">
        <v>31</v>
      </c>
      <c r="S31" t="s">
        <v>400</v>
      </c>
      <c r="T31" t="s">
        <v>31</v>
      </c>
      <c r="U31" t="s">
        <v>61</v>
      </c>
      <c r="V31" t="s">
        <v>120</v>
      </c>
      <c r="W31" t="s">
        <v>120</v>
      </c>
      <c r="X31" t="s">
        <v>406</v>
      </c>
      <c r="Y31">
        <v>4</v>
      </c>
      <c r="Z31">
        <v>4</v>
      </c>
      <c r="AA31">
        <v>4</v>
      </c>
      <c r="AB31">
        <v>10</v>
      </c>
      <c r="AC31">
        <v>10</v>
      </c>
      <c r="AD31">
        <v>10</v>
      </c>
    </row>
    <row r="32" spans="1:30" x14ac:dyDescent="0.15">
      <c r="A32">
        <v>3</v>
      </c>
      <c r="B32" t="s">
        <v>138</v>
      </c>
      <c r="C32" t="s">
        <v>415</v>
      </c>
      <c r="D32" t="s">
        <v>394</v>
      </c>
      <c r="E32">
        <v>1999</v>
      </c>
      <c r="F32" t="s">
        <v>395</v>
      </c>
      <c r="H32" t="s">
        <v>395</v>
      </c>
      <c r="I32">
        <v>1</v>
      </c>
      <c r="J32" t="s">
        <v>396</v>
      </c>
      <c r="K32" s="1">
        <v>45646.45208333333</v>
      </c>
      <c r="L32" t="s">
        <v>397</v>
      </c>
      <c r="M32" t="s">
        <v>398</v>
      </c>
      <c r="P32" t="s">
        <v>399</v>
      </c>
      <c r="R32" t="s">
        <v>31</v>
      </c>
      <c r="S32" t="s">
        <v>400</v>
      </c>
      <c r="T32" t="s">
        <v>31</v>
      </c>
      <c r="U32" t="s">
        <v>61</v>
      </c>
      <c r="V32" t="s">
        <v>122</v>
      </c>
      <c r="W32" t="s">
        <v>122</v>
      </c>
      <c r="X32" t="s">
        <v>404</v>
      </c>
      <c r="Y32">
        <v>4</v>
      </c>
      <c r="Z32">
        <v>4</v>
      </c>
      <c r="AA32">
        <v>4</v>
      </c>
      <c r="AB32">
        <v>10</v>
      </c>
      <c r="AC32">
        <v>10</v>
      </c>
      <c r="AD32">
        <v>10</v>
      </c>
    </row>
    <row r="33" spans="1:30" x14ac:dyDescent="0.15">
      <c r="A33">
        <v>4</v>
      </c>
      <c r="B33" t="s">
        <v>138</v>
      </c>
      <c r="C33" t="s">
        <v>415</v>
      </c>
      <c r="D33" t="s">
        <v>394</v>
      </c>
      <c r="E33">
        <v>1999</v>
      </c>
      <c r="F33" t="s">
        <v>395</v>
      </c>
      <c r="H33" t="s">
        <v>395</v>
      </c>
      <c r="I33">
        <v>1</v>
      </c>
      <c r="J33" t="s">
        <v>396</v>
      </c>
      <c r="K33" s="1">
        <v>45646.45208333333</v>
      </c>
      <c r="L33" t="s">
        <v>397</v>
      </c>
      <c r="M33" t="s">
        <v>398</v>
      </c>
      <c r="P33" t="s">
        <v>399</v>
      </c>
      <c r="R33" t="s">
        <v>31</v>
      </c>
      <c r="S33" t="s">
        <v>400</v>
      </c>
      <c r="T33" t="s">
        <v>31</v>
      </c>
      <c r="U33" t="s">
        <v>63</v>
      </c>
      <c r="V33" t="s">
        <v>121</v>
      </c>
      <c r="W33" t="s">
        <v>121</v>
      </c>
      <c r="X33" t="s">
        <v>403</v>
      </c>
      <c r="Y33">
        <v>4</v>
      </c>
      <c r="Z33">
        <v>4</v>
      </c>
      <c r="AA33">
        <v>4</v>
      </c>
      <c r="AB33">
        <v>10</v>
      </c>
      <c r="AC33">
        <v>10</v>
      </c>
      <c r="AD33">
        <v>10</v>
      </c>
    </row>
    <row r="34" spans="1:30" x14ac:dyDescent="0.15">
      <c r="A34">
        <v>5</v>
      </c>
      <c r="B34" t="s">
        <v>138</v>
      </c>
      <c r="C34" t="s">
        <v>415</v>
      </c>
      <c r="D34" t="s">
        <v>394</v>
      </c>
      <c r="E34">
        <v>1999</v>
      </c>
      <c r="F34" t="s">
        <v>395</v>
      </c>
      <c r="H34" t="s">
        <v>395</v>
      </c>
      <c r="I34">
        <v>1</v>
      </c>
      <c r="J34" t="s">
        <v>396</v>
      </c>
      <c r="K34" s="1">
        <v>45646.45208333333</v>
      </c>
      <c r="L34" t="s">
        <v>397</v>
      </c>
      <c r="M34" t="s">
        <v>398</v>
      </c>
      <c r="P34" t="s">
        <v>399</v>
      </c>
      <c r="R34" t="s">
        <v>31</v>
      </c>
      <c r="S34" t="s">
        <v>400</v>
      </c>
      <c r="T34" t="s">
        <v>31</v>
      </c>
      <c r="U34" t="s">
        <v>63</v>
      </c>
      <c r="V34" t="s">
        <v>125</v>
      </c>
      <c r="W34" t="s">
        <v>125</v>
      </c>
      <c r="X34" t="s">
        <v>408</v>
      </c>
      <c r="Y34">
        <v>4</v>
      </c>
      <c r="Z34">
        <v>4</v>
      </c>
      <c r="AA34">
        <v>4</v>
      </c>
      <c r="AB34">
        <v>15</v>
      </c>
      <c r="AC34">
        <v>15</v>
      </c>
      <c r="AD34">
        <v>15</v>
      </c>
    </row>
    <row r="35" spans="1:30" x14ac:dyDescent="0.15">
      <c r="A35">
        <v>6</v>
      </c>
      <c r="B35" t="s">
        <v>138</v>
      </c>
      <c r="C35" t="s">
        <v>415</v>
      </c>
      <c r="D35" t="s">
        <v>394</v>
      </c>
      <c r="E35">
        <v>1999</v>
      </c>
      <c r="F35" t="s">
        <v>395</v>
      </c>
      <c r="H35" t="s">
        <v>395</v>
      </c>
      <c r="I35">
        <v>1</v>
      </c>
      <c r="J35" t="s">
        <v>396</v>
      </c>
      <c r="K35" s="1">
        <v>45646.45208333333</v>
      </c>
      <c r="L35" t="s">
        <v>397</v>
      </c>
      <c r="M35" t="s">
        <v>398</v>
      </c>
      <c r="P35" t="s">
        <v>399</v>
      </c>
      <c r="R35" t="s">
        <v>31</v>
      </c>
      <c r="S35" t="s">
        <v>400</v>
      </c>
      <c r="T35" t="s">
        <v>31</v>
      </c>
      <c r="U35" t="s">
        <v>62</v>
      </c>
      <c r="V35" t="s">
        <v>123</v>
      </c>
      <c r="W35" t="s">
        <v>123</v>
      </c>
      <c r="X35" t="s">
        <v>410</v>
      </c>
      <c r="Y35">
        <v>4</v>
      </c>
      <c r="Z35">
        <v>4</v>
      </c>
      <c r="AA35">
        <v>4</v>
      </c>
      <c r="AB35">
        <v>10</v>
      </c>
      <c r="AC35">
        <v>10</v>
      </c>
      <c r="AD35">
        <v>10</v>
      </c>
    </row>
    <row r="36" spans="1:30" x14ac:dyDescent="0.15">
      <c r="A36">
        <v>7</v>
      </c>
      <c r="B36" t="s">
        <v>138</v>
      </c>
      <c r="C36" t="s">
        <v>415</v>
      </c>
      <c r="D36" t="s">
        <v>394</v>
      </c>
      <c r="E36">
        <v>1999</v>
      </c>
      <c r="F36" t="s">
        <v>395</v>
      </c>
      <c r="H36" t="s">
        <v>395</v>
      </c>
      <c r="I36">
        <v>1</v>
      </c>
      <c r="J36" t="s">
        <v>396</v>
      </c>
      <c r="K36" s="1">
        <v>45646.45208333333</v>
      </c>
      <c r="L36" t="s">
        <v>397</v>
      </c>
      <c r="M36" t="s">
        <v>398</v>
      </c>
      <c r="P36" t="s">
        <v>399</v>
      </c>
      <c r="R36" t="s">
        <v>31</v>
      </c>
      <c r="S36" t="s">
        <v>400</v>
      </c>
      <c r="T36" t="s">
        <v>31</v>
      </c>
      <c r="U36" t="s">
        <v>64</v>
      </c>
      <c r="V36" t="s">
        <v>416</v>
      </c>
      <c r="W36" t="s">
        <v>416</v>
      </c>
      <c r="X36" t="s">
        <v>402</v>
      </c>
      <c r="Y36">
        <v>4</v>
      </c>
      <c r="Z36">
        <v>4</v>
      </c>
      <c r="AA36">
        <v>4</v>
      </c>
      <c r="AB36">
        <v>5</v>
      </c>
      <c r="AC36">
        <v>5</v>
      </c>
      <c r="AD36">
        <v>5</v>
      </c>
    </row>
    <row r="37" spans="1:30" x14ac:dyDescent="0.15">
      <c r="A37">
        <v>8</v>
      </c>
      <c r="B37" t="s">
        <v>139</v>
      </c>
      <c r="C37" t="s">
        <v>415</v>
      </c>
      <c r="D37" t="s">
        <v>394</v>
      </c>
      <c r="E37">
        <v>1999</v>
      </c>
      <c r="F37" t="s">
        <v>395</v>
      </c>
      <c r="H37" t="s">
        <v>395</v>
      </c>
      <c r="I37">
        <v>1</v>
      </c>
      <c r="J37" t="s">
        <v>396</v>
      </c>
      <c r="K37" s="1">
        <v>45646.45208333333</v>
      </c>
      <c r="L37" t="s">
        <v>397</v>
      </c>
      <c r="M37" t="s">
        <v>398</v>
      </c>
      <c r="P37" t="s">
        <v>399</v>
      </c>
      <c r="R37" t="s">
        <v>31</v>
      </c>
      <c r="S37" t="s">
        <v>417</v>
      </c>
      <c r="T37" t="s">
        <v>31</v>
      </c>
      <c r="V37" t="s">
        <v>140</v>
      </c>
      <c r="W37" t="s">
        <v>140</v>
      </c>
      <c r="X37" t="s">
        <v>141</v>
      </c>
      <c r="Y37">
        <v>28</v>
      </c>
      <c r="Z37">
        <v>28</v>
      </c>
      <c r="AA37">
        <v>4</v>
      </c>
      <c r="AB37">
        <v>15</v>
      </c>
      <c r="AC37">
        <v>15</v>
      </c>
      <c r="AD37">
        <v>15</v>
      </c>
    </row>
    <row r="38" spans="1:30" x14ac:dyDescent="0.15">
      <c r="A38">
        <v>9</v>
      </c>
      <c r="B38" t="s">
        <v>142</v>
      </c>
      <c r="C38" t="s">
        <v>415</v>
      </c>
      <c r="D38" t="s">
        <v>394</v>
      </c>
      <c r="E38">
        <v>1999</v>
      </c>
      <c r="F38" t="s">
        <v>395</v>
      </c>
      <c r="H38" t="s">
        <v>395</v>
      </c>
      <c r="I38">
        <v>1</v>
      </c>
      <c r="J38" t="s">
        <v>396</v>
      </c>
      <c r="K38" s="1">
        <v>45646.45208333333</v>
      </c>
      <c r="L38" t="s">
        <v>397</v>
      </c>
      <c r="M38" t="s">
        <v>398</v>
      </c>
      <c r="P38" t="s">
        <v>399</v>
      </c>
      <c r="R38" t="s">
        <v>31</v>
      </c>
      <c r="S38" t="s">
        <v>400</v>
      </c>
      <c r="T38" t="s">
        <v>31</v>
      </c>
      <c r="U38" t="s">
        <v>61</v>
      </c>
      <c r="V38" t="s">
        <v>146</v>
      </c>
      <c r="W38" t="s">
        <v>146</v>
      </c>
      <c r="X38" t="s">
        <v>401</v>
      </c>
      <c r="Y38">
        <v>10</v>
      </c>
      <c r="Z38">
        <v>4</v>
      </c>
      <c r="AA38">
        <v>4</v>
      </c>
      <c r="AB38">
        <v>10</v>
      </c>
      <c r="AC38">
        <v>10</v>
      </c>
      <c r="AD38">
        <v>10</v>
      </c>
    </row>
    <row r="39" spans="1:30" x14ac:dyDescent="0.15">
      <c r="A39">
        <v>10</v>
      </c>
      <c r="B39" t="s">
        <v>142</v>
      </c>
      <c r="C39" t="s">
        <v>415</v>
      </c>
      <c r="D39" t="s">
        <v>394</v>
      </c>
      <c r="E39">
        <v>1999</v>
      </c>
      <c r="F39" t="s">
        <v>395</v>
      </c>
      <c r="H39" t="s">
        <v>395</v>
      </c>
      <c r="I39">
        <v>1</v>
      </c>
      <c r="J39" t="s">
        <v>396</v>
      </c>
      <c r="K39" s="1">
        <v>45646.45208333333</v>
      </c>
      <c r="L39" t="s">
        <v>397</v>
      </c>
      <c r="M39" t="s">
        <v>398</v>
      </c>
      <c r="P39" t="s">
        <v>399</v>
      </c>
      <c r="R39" t="s">
        <v>31</v>
      </c>
      <c r="S39" t="s">
        <v>400</v>
      </c>
      <c r="T39" t="s">
        <v>31</v>
      </c>
      <c r="U39" t="s">
        <v>61</v>
      </c>
      <c r="V39" t="s">
        <v>147</v>
      </c>
      <c r="W39" t="s">
        <v>147</v>
      </c>
      <c r="X39" t="s">
        <v>406</v>
      </c>
      <c r="Y39">
        <v>10</v>
      </c>
      <c r="Z39">
        <v>4</v>
      </c>
      <c r="AA39">
        <v>4</v>
      </c>
      <c r="AB39">
        <v>10</v>
      </c>
      <c r="AC39">
        <v>10</v>
      </c>
      <c r="AD39">
        <v>10</v>
      </c>
    </row>
    <row r="40" spans="1:30" x14ac:dyDescent="0.15">
      <c r="A40">
        <v>11</v>
      </c>
      <c r="B40" t="s">
        <v>142</v>
      </c>
      <c r="C40" t="s">
        <v>415</v>
      </c>
      <c r="D40" t="s">
        <v>394</v>
      </c>
      <c r="E40">
        <v>1999</v>
      </c>
      <c r="F40" t="s">
        <v>395</v>
      </c>
      <c r="H40" t="s">
        <v>395</v>
      </c>
      <c r="I40">
        <v>1</v>
      </c>
      <c r="J40" t="s">
        <v>396</v>
      </c>
      <c r="K40" s="1">
        <v>45646.45208333333</v>
      </c>
      <c r="L40" t="s">
        <v>397</v>
      </c>
      <c r="M40" t="s">
        <v>398</v>
      </c>
      <c r="P40" t="s">
        <v>399</v>
      </c>
      <c r="R40" t="s">
        <v>31</v>
      </c>
      <c r="S40" t="s">
        <v>400</v>
      </c>
      <c r="T40" t="s">
        <v>31</v>
      </c>
      <c r="U40" t="s">
        <v>61</v>
      </c>
      <c r="V40" t="s">
        <v>143</v>
      </c>
      <c r="W40" t="s">
        <v>143</v>
      </c>
      <c r="X40" t="s">
        <v>404</v>
      </c>
      <c r="Y40">
        <v>10</v>
      </c>
      <c r="Z40">
        <v>4</v>
      </c>
      <c r="AA40">
        <v>4</v>
      </c>
      <c r="AB40">
        <v>10</v>
      </c>
      <c r="AC40">
        <v>10</v>
      </c>
      <c r="AD40">
        <v>10</v>
      </c>
    </row>
    <row r="41" spans="1:30" x14ac:dyDescent="0.15">
      <c r="A41">
        <v>12</v>
      </c>
      <c r="B41" t="s">
        <v>142</v>
      </c>
      <c r="C41" t="s">
        <v>415</v>
      </c>
      <c r="D41" t="s">
        <v>394</v>
      </c>
      <c r="E41">
        <v>1999</v>
      </c>
      <c r="F41" t="s">
        <v>395</v>
      </c>
      <c r="H41" t="s">
        <v>395</v>
      </c>
      <c r="I41">
        <v>1</v>
      </c>
      <c r="J41" t="s">
        <v>396</v>
      </c>
      <c r="K41" s="1">
        <v>45646.45208333333</v>
      </c>
      <c r="L41" t="s">
        <v>397</v>
      </c>
      <c r="M41" t="s">
        <v>398</v>
      </c>
      <c r="P41" t="s">
        <v>399</v>
      </c>
      <c r="R41" t="s">
        <v>31</v>
      </c>
      <c r="S41" t="s">
        <v>400</v>
      </c>
      <c r="T41" t="s">
        <v>31</v>
      </c>
      <c r="U41" t="s">
        <v>63</v>
      </c>
      <c r="V41" t="s">
        <v>148</v>
      </c>
      <c r="W41" t="s">
        <v>148</v>
      </c>
      <c r="X41" t="s">
        <v>403</v>
      </c>
      <c r="Y41">
        <v>10</v>
      </c>
      <c r="Z41">
        <v>4</v>
      </c>
      <c r="AA41">
        <v>4</v>
      </c>
      <c r="AB41">
        <v>10</v>
      </c>
      <c r="AC41">
        <v>10</v>
      </c>
      <c r="AD41">
        <v>10</v>
      </c>
    </row>
    <row r="42" spans="1:30" x14ac:dyDescent="0.15">
      <c r="A42">
        <v>13</v>
      </c>
      <c r="B42" t="s">
        <v>142</v>
      </c>
      <c r="C42" t="s">
        <v>415</v>
      </c>
      <c r="D42" t="s">
        <v>394</v>
      </c>
      <c r="E42">
        <v>1999</v>
      </c>
      <c r="F42" t="s">
        <v>395</v>
      </c>
      <c r="H42" t="s">
        <v>395</v>
      </c>
      <c r="I42">
        <v>1</v>
      </c>
      <c r="J42" t="s">
        <v>396</v>
      </c>
      <c r="K42" s="1">
        <v>45646.45208333333</v>
      </c>
      <c r="L42" t="s">
        <v>397</v>
      </c>
      <c r="M42" t="s">
        <v>398</v>
      </c>
      <c r="P42" t="s">
        <v>399</v>
      </c>
      <c r="R42" t="s">
        <v>31</v>
      </c>
      <c r="S42" t="s">
        <v>400</v>
      </c>
      <c r="T42" t="s">
        <v>31</v>
      </c>
      <c r="U42" t="s">
        <v>63</v>
      </c>
      <c r="V42" t="s">
        <v>149</v>
      </c>
      <c r="W42" t="s">
        <v>149</v>
      </c>
      <c r="X42" t="s">
        <v>408</v>
      </c>
      <c r="Y42">
        <v>15</v>
      </c>
      <c r="Z42">
        <v>4</v>
      </c>
      <c r="AA42">
        <v>4</v>
      </c>
      <c r="AB42">
        <v>15</v>
      </c>
      <c r="AC42">
        <v>15</v>
      </c>
      <c r="AD42">
        <v>15</v>
      </c>
    </row>
    <row r="43" spans="1:30" x14ac:dyDescent="0.15">
      <c r="A43">
        <v>14</v>
      </c>
      <c r="B43" t="s">
        <v>142</v>
      </c>
      <c r="C43" t="s">
        <v>415</v>
      </c>
      <c r="D43" t="s">
        <v>394</v>
      </c>
      <c r="E43">
        <v>1999</v>
      </c>
      <c r="F43" t="s">
        <v>395</v>
      </c>
      <c r="H43" t="s">
        <v>395</v>
      </c>
      <c r="I43">
        <v>1</v>
      </c>
      <c r="J43" t="s">
        <v>396</v>
      </c>
      <c r="K43" s="1">
        <v>45646.45208333333</v>
      </c>
      <c r="L43" t="s">
        <v>397</v>
      </c>
      <c r="M43" t="s">
        <v>398</v>
      </c>
      <c r="P43" t="s">
        <v>399</v>
      </c>
      <c r="R43" t="s">
        <v>31</v>
      </c>
      <c r="S43" t="s">
        <v>400</v>
      </c>
      <c r="T43" t="s">
        <v>31</v>
      </c>
      <c r="U43" t="s">
        <v>62</v>
      </c>
      <c r="V43" t="s">
        <v>145</v>
      </c>
      <c r="W43" t="s">
        <v>145</v>
      </c>
      <c r="X43" t="s">
        <v>410</v>
      </c>
      <c r="Y43">
        <v>10</v>
      </c>
      <c r="Z43">
        <v>4</v>
      </c>
      <c r="AA43">
        <v>4</v>
      </c>
      <c r="AB43">
        <v>10</v>
      </c>
      <c r="AC43">
        <v>10</v>
      </c>
      <c r="AD43">
        <v>10</v>
      </c>
    </row>
    <row r="44" spans="1:30" x14ac:dyDescent="0.15">
      <c r="A44">
        <v>15</v>
      </c>
      <c r="B44" t="s">
        <v>142</v>
      </c>
      <c r="C44" t="s">
        <v>415</v>
      </c>
      <c r="D44" t="s">
        <v>394</v>
      </c>
      <c r="E44">
        <v>1999</v>
      </c>
      <c r="F44" t="s">
        <v>395</v>
      </c>
      <c r="H44" t="s">
        <v>395</v>
      </c>
      <c r="I44">
        <v>1</v>
      </c>
      <c r="J44" t="s">
        <v>396</v>
      </c>
      <c r="K44" s="1">
        <v>45646.45208333333</v>
      </c>
      <c r="L44" t="s">
        <v>397</v>
      </c>
      <c r="M44" t="s">
        <v>398</v>
      </c>
      <c r="P44" t="s">
        <v>399</v>
      </c>
      <c r="R44" t="s">
        <v>31</v>
      </c>
      <c r="S44" t="s">
        <v>400</v>
      </c>
      <c r="T44" t="s">
        <v>31</v>
      </c>
      <c r="U44" t="s">
        <v>64</v>
      </c>
      <c r="V44" t="s">
        <v>418</v>
      </c>
      <c r="W44" t="s">
        <v>418</v>
      </c>
      <c r="X44" t="s">
        <v>402</v>
      </c>
      <c r="Y44">
        <v>5</v>
      </c>
      <c r="Z44">
        <v>4</v>
      </c>
      <c r="AA44">
        <v>4</v>
      </c>
      <c r="AB44">
        <v>5</v>
      </c>
      <c r="AC44">
        <v>5</v>
      </c>
      <c r="AD44">
        <v>5</v>
      </c>
    </row>
    <row r="45" spans="1:30" x14ac:dyDescent="0.15">
      <c r="A45">
        <v>16</v>
      </c>
      <c r="B45" t="s">
        <v>150</v>
      </c>
      <c r="C45" t="s">
        <v>415</v>
      </c>
      <c r="D45" t="s">
        <v>394</v>
      </c>
      <c r="E45">
        <v>1999</v>
      </c>
      <c r="F45" t="s">
        <v>395</v>
      </c>
      <c r="H45" t="s">
        <v>395</v>
      </c>
      <c r="I45">
        <v>1</v>
      </c>
      <c r="J45" t="s">
        <v>396</v>
      </c>
      <c r="K45" s="1">
        <v>45646.45208333333</v>
      </c>
      <c r="L45" t="s">
        <v>397</v>
      </c>
      <c r="M45" t="s">
        <v>398</v>
      </c>
      <c r="P45" t="s">
        <v>399</v>
      </c>
      <c r="R45" t="s">
        <v>31</v>
      </c>
      <c r="S45" t="s">
        <v>417</v>
      </c>
      <c r="T45" t="s">
        <v>31</v>
      </c>
      <c r="V45" t="s">
        <v>151</v>
      </c>
      <c r="W45" t="s">
        <v>151</v>
      </c>
      <c r="X45" t="s">
        <v>152</v>
      </c>
      <c r="Y45">
        <v>70</v>
      </c>
      <c r="Z45">
        <v>28</v>
      </c>
      <c r="AA45">
        <v>4</v>
      </c>
      <c r="AB45">
        <v>15</v>
      </c>
      <c r="AC45">
        <v>15</v>
      </c>
      <c r="AD45">
        <v>15</v>
      </c>
    </row>
    <row r="46" spans="1:30" x14ac:dyDescent="0.15">
      <c r="A46">
        <v>17</v>
      </c>
      <c r="B46" t="s">
        <v>153</v>
      </c>
      <c r="C46" t="s">
        <v>415</v>
      </c>
      <c r="D46" t="s">
        <v>394</v>
      </c>
      <c r="E46">
        <v>1999</v>
      </c>
      <c r="F46" t="s">
        <v>395</v>
      </c>
      <c r="H46" t="s">
        <v>395</v>
      </c>
      <c r="I46">
        <v>1</v>
      </c>
      <c r="J46" t="s">
        <v>396</v>
      </c>
      <c r="K46" s="1">
        <v>45646.45208333333</v>
      </c>
      <c r="L46" t="s">
        <v>397</v>
      </c>
      <c r="M46" t="s">
        <v>398</v>
      </c>
      <c r="P46" t="s">
        <v>399</v>
      </c>
      <c r="R46" t="s">
        <v>31</v>
      </c>
      <c r="S46" t="s">
        <v>417</v>
      </c>
      <c r="T46" t="s">
        <v>31</v>
      </c>
      <c r="V46" t="s">
        <v>154</v>
      </c>
      <c r="W46" t="s">
        <v>154</v>
      </c>
      <c r="X46" t="s">
        <v>155</v>
      </c>
      <c r="Y46">
        <v>70</v>
      </c>
      <c r="Z46">
        <v>28</v>
      </c>
      <c r="AA46">
        <v>4</v>
      </c>
      <c r="AB46">
        <v>15</v>
      </c>
      <c r="AC46">
        <v>15</v>
      </c>
      <c r="AD46">
        <v>15</v>
      </c>
    </row>
    <row r="47" spans="1:30" x14ac:dyDescent="0.15">
      <c r="A47">
        <v>18</v>
      </c>
      <c r="B47" t="s">
        <v>156</v>
      </c>
      <c r="C47" t="s">
        <v>415</v>
      </c>
      <c r="D47" t="s">
        <v>394</v>
      </c>
      <c r="E47">
        <v>1999</v>
      </c>
      <c r="F47" t="s">
        <v>395</v>
      </c>
      <c r="H47" t="s">
        <v>395</v>
      </c>
      <c r="I47">
        <v>1</v>
      </c>
      <c r="J47" t="s">
        <v>396</v>
      </c>
      <c r="K47" s="1">
        <v>45646.45208333333</v>
      </c>
      <c r="L47" t="s">
        <v>397</v>
      </c>
      <c r="M47" t="s">
        <v>398</v>
      </c>
      <c r="P47" t="s">
        <v>399</v>
      </c>
      <c r="R47" t="s">
        <v>31</v>
      </c>
      <c r="S47" t="s">
        <v>417</v>
      </c>
      <c r="T47" t="s">
        <v>31</v>
      </c>
      <c r="V47" t="s">
        <v>103</v>
      </c>
      <c r="W47" t="s">
        <v>157</v>
      </c>
      <c r="X47" t="s">
        <v>158</v>
      </c>
      <c r="Y47">
        <v>70</v>
      </c>
      <c r="Z47">
        <v>28</v>
      </c>
      <c r="AA47">
        <v>4</v>
      </c>
      <c r="AB47">
        <v>15</v>
      </c>
      <c r="AC47">
        <v>15</v>
      </c>
      <c r="AD47">
        <v>15</v>
      </c>
    </row>
  </sheetData>
  <sortState xmlns:xlrd2="http://schemas.microsoft.com/office/spreadsheetml/2017/richdata2" ref="B30:AD47">
    <sortCondition ref="B30:B47"/>
    <sortCondition ref="X30:X47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1. VW_STG_MS_FORM_IT</vt:lpstr>
      <vt:lpstr>2. VW_FORM_01_UNION</vt:lpstr>
      <vt:lpstr>3. VW_FORM_02_UNION_VALUE_MAP</vt:lpstr>
      <vt:lpstr>4. VW_FORM_03_DISTINCT_QUESTION</vt:lpstr>
      <vt:lpstr>5. VW_FORM_04_WEIGHT</vt:lpstr>
      <vt:lpstr>Formula</vt:lpstr>
      <vt:lpstr>6. VW_FORM_05_CALCULATE_WEIGHT</vt:lpstr>
      <vt:lpstr>7. VW_FORM_06_SCORE</vt:lpstr>
      <vt:lpstr>8. VW_FORM_07_SCORE_FIX</vt:lpstr>
      <vt:lpstr>9. VW_FACT_MS_FORM</vt:lpstr>
      <vt:lpstr>10. VW_FACT_MS_FORM_GROUPING</vt:lpstr>
      <vt:lpstr>11. VW_FACT_MS_FORM_REPORT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2025-04-07T09:36:20Z</dcterms:created>
  <dcterms:modified xsi:type="dcterms:W3CDTF">2025-04-09T10:00:25Z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2025-04-09T10:20:16Z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a54d6af6-90e3-43c7-879c-e6977d6d9610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60, 0, 1, 1</vt:lpwstr>
  </property>
</Properties>
</file>