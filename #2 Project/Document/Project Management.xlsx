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thainamthip2-my.sharepoint.com/personal/sutripat_ng_thainamthip_co_th/Documents/1. Work/008. Procurement/#2 Project/Document/"/>
    </mc:Choice>
  </mc:AlternateContent>
  <xr:revisionPtr revIDLastSave="36" documentId="11_F25DC773A252ABDACC10485A31DD4BD65ADE58F6" xr6:coauthVersionLast="47" xr6:coauthVersionMax="47" xr10:uidLastSave="{09269D60-0B54-4D3F-BCE7-B63BBCF810FD}"/>
  <bookViews>
    <workbookView xWindow="-110" yWindow="-110" windowWidth="19420" windowHeight="10300" activeTab="2" xr2:uid="{00000000-000D-0000-FFFF-FFFF00000000}"/>
  </bookViews>
  <sheets>
    <sheet name="00 Timeline" sheetId="7" r:id="rId1"/>
    <sheet name="WBS v1" sheetId="10" state="hidden" r:id="rId2"/>
    <sheet name="WBS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7" l="1"/>
  <c r="C29" i="7"/>
  <c r="C28" i="7"/>
  <c r="C11" i="7"/>
  <c r="C21" i="7"/>
  <c r="C10" i="7"/>
  <c r="C19" i="7"/>
  <c r="C9" i="7"/>
  <c r="C18" i="7"/>
  <c r="C8" i="7"/>
  <c r="C7" i="7"/>
  <c r="C16" i="7"/>
  <c r="C6" i="7"/>
  <c r="C15" i="7"/>
  <c r="C5" i="7"/>
  <c r="E22" i="7" l="1"/>
  <c r="E12" i="7"/>
  <c r="C22" i="7"/>
  <c r="C12" i="7"/>
</calcChain>
</file>

<file path=xl/sharedStrings.xml><?xml version="1.0" encoding="utf-8"?>
<sst xmlns="http://schemas.openxmlformats.org/spreadsheetml/2006/main" count="2491" uniqueCount="400">
  <si>
    <t>Task Name</t>
  </si>
  <si>
    <t>Duration</t>
  </si>
  <si>
    <t>Start</t>
  </si>
  <si>
    <t>Finish</t>
  </si>
  <si>
    <t>Vendor Evaluation</t>
  </si>
  <si>
    <t>อ 15/4/68</t>
  </si>
  <si>
    <t>พ 31/7/68</t>
  </si>
  <si>
    <t xml:space="preserve">   Milestones</t>
  </si>
  <si>
    <t>1 day</t>
  </si>
  <si>
    <t xml:space="preserve">       เสนอ Project Charter ให้ผู้บริหารอนุมัติ (Milestone #1)</t>
  </si>
  <si>
    <t xml:space="preserve">       ประชุม Kick off โครงการ เพื่อสื่อสารแผนงานโครงการ (Milestone #2)</t>
  </si>
  <si>
    <t xml:space="preserve">       อนุมัติและยืนยัน Requirement Specification (Milestone #3)</t>
  </si>
  <si>
    <t xml:space="preserve">   Project Preparation</t>
  </si>
  <si>
    <t xml:space="preserve">       จัดทำ Project Charter</t>
  </si>
  <si>
    <t>No.</t>
  </si>
  <si>
    <t>Topic</t>
  </si>
  <si>
    <t>Mandays</t>
  </si>
  <si>
    <t>Available Time</t>
  </si>
  <si>
    <t>Remark</t>
  </si>
  <si>
    <t>AUG</t>
  </si>
  <si>
    <t>SEP</t>
  </si>
  <si>
    <t>APR</t>
  </si>
  <si>
    <t>MAY</t>
  </si>
  <si>
    <t>JUN</t>
  </si>
  <si>
    <t>JUL</t>
  </si>
  <si>
    <t>28-3</t>
  </si>
  <si>
    <t>4-10</t>
  </si>
  <si>
    <t>14-20</t>
  </si>
  <si>
    <t>21-27</t>
  </si>
  <si>
    <t>5-11</t>
  </si>
  <si>
    <t>12-18</t>
  </si>
  <si>
    <t>19-25</t>
  </si>
  <si>
    <t>26-1</t>
  </si>
  <si>
    <t>2-8</t>
  </si>
  <si>
    <t>9-15</t>
  </si>
  <si>
    <t>16-22</t>
  </si>
  <si>
    <t>23-29</t>
  </si>
  <si>
    <t>30-6</t>
  </si>
  <si>
    <t>7-13</t>
  </si>
  <si>
    <t>11-17</t>
  </si>
  <si>
    <t>18-24</t>
  </si>
  <si>
    <t>25-31</t>
  </si>
  <si>
    <t>1-7</t>
  </si>
  <si>
    <t>8-14</t>
  </si>
  <si>
    <t>15-21</t>
  </si>
  <si>
    <t>22-28</t>
  </si>
  <si>
    <t>29-5</t>
  </si>
  <si>
    <t>WK3</t>
  </si>
  <si>
    <t>WK4</t>
  </si>
  <si>
    <t>WK5</t>
  </si>
  <si>
    <t>WK1</t>
  </si>
  <si>
    <t>WK2</t>
  </si>
  <si>
    <t>Get Requirement</t>
  </si>
  <si>
    <t>Dev + Unit test</t>
  </si>
  <si>
    <t>UAT Test</t>
  </si>
  <si>
    <t>BI</t>
  </si>
  <si>
    <t>Business Risk Assessment</t>
  </si>
  <si>
    <t>Inone Total</t>
  </si>
  <si>
    <t>Spec (Design)</t>
  </si>
  <si>
    <t>Golive</t>
  </si>
  <si>
    <t>Project Closure</t>
  </si>
  <si>
    <t>BPM</t>
  </si>
  <si>
    <t>Business Flow</t>
  </si>
  <si>
    <t>'28-4</t>
  </si>
  <si>
    <t>#4</t>
  </si>
  <si>
    <t>#5</t>
  </si>
  <si>
    <t>#3</t>
  </si>
  <si>
    <t>#6</t>
  </si>
  <si>
    <t>Procurement</t>
  </si>
  <si>
    <t>#7</t>
  </si>
  <si>
    <t>#8</t>
  </si>
  <si>
    <t>#9</t>
  </si>
  <si>
    <t>#10</t>
  </si>
  <si>
    <t>#11</t>
  </si>
  <si>
    <t>Stabilization</t>
  </si>
  <si>
    <t>เสนอ Project Charter ให้ผู้บริหารอนุมัติ (Milestone #1)</t>
  </si>
  <si>
    <t>ประชุม Kick off โครงการ เพื่อสื่อสารแผนงานโครงการ (Milestone #2)</t>
  </si>
  <si>
    <t>อนุมัติและยืนยัน Requirement Specification (Milestone #3)</t>
  </si>
  <si>
    <t>อนุมัติและยืนยัน Data Retention Sign-Off Form (Milestone #4)</t>
  </si>
  <si>
    <t>ส่งมอบเอกสาร Business process risk management และเอกสารที่เกี่ยวข้อง (Milestone #5)</t>
  </si>
  <si>
    <t>อนุมัติและยืนยัน Design Specification (Milestone #6)</t>
  </si>
  <si>
    <t>ส่งมอบBPM Sign-off Draft Process Flow และเอกสารที่เกี่ยวข้อง (Milestone #7)</t>
  </si>
  <si>
    <t>ส่งมอบระบบงานที่พัฒนาเรียบร้อยแล้ว (Milestone #8)</t>
  </si>
  <si>
    <t>UAT Sign-off (Milestone #9)</t>
  </si>
  <si>
    <t>ดำเนินการ Go-Live(Milestone #10)</t>
  </si>
  <si>
    <t>ดำเนินการปิดโครงการ (Milestone #11)</t>
  </si>
  <si>
    <t>พ 30/4/68</t>
  </si>
  <si>
    <t>ศ 2/5/68</t>
  </si>
  <si>
    <t>พ 14/5/68</t>
  </si>
  <si>
    <t>พ 15/5/68</t>
  </si>
  <si>
    <t>อ 27/5/68</t>
  </si>
  <si>
    <t>จ 9/6/68</t>
  </si>
  <si>
    <t>พ 16/7/68</t>
  </si>
  <si>
    <t>พ 17/7/68</t>
  </si>
  <si>
    <t>ศ 1/8/68</t>
  </si>
  <si>
    <t>พ 6/8/68</t>
  </si>
  <si>
    <t>พ 3/9/68</t>
  </si>
  <si>
    <t>#1</t>
  </si>
  <si>
    <t>#2</t>
  </si>
  <si>
    <t>วันแรงงานแห่งชาติ</t>
  </si>
  <si>
    <t>วันฉัตรมงคล</t>
  </si>
  <si>
    <t>วันวิสาขบูชา</t>
  </si>
  <si>
    <t>วันเฉลิมพระชนมพรรษา สมเด็จพระนางเจ้าสุทิดา พัชรสุธาพิมลลักษณ พระบรมราชินี</t>
  </si>
  <si>
    <t>วันอาสาฬหบูชา</t>
  </si>
  <si>
    <t>วันเฉลิมพระชนมพรรษา พระบาทสมเด็จพระเจ้าอยู่หัว</t>
  </si>
  <si>
    <t>วันเฉลิมพระชนมพรรษา สมเด็จพระนางเจ้าสิริกิติ์ พระบรมราชินีนาถ พระบรมราชชนนีพันปีหลวง และวันแม่แห่งชาติ</t>
  </si>
  <si>
    <t>Task Mode</t>
  </si>
  <si>
    <t>Predecessors</t>
  </si>
  <si>
    <t>Resource Names</t>
  </si>
  <si>
    <t>Auto Scheduled</t>
  </si>
  <si>
    <t>102 days</t>
  </si>
  <si>
    <t>90 days</t>
  </si>
  <si>
    <t>0 days</t>
  </si>
  <si>
    <t xml:space="preserve">       อนุมัติและยืนยัน Data Retention Sign-Off Form (Milestone #4)</t>
  </si>
  <si>
    <t xml:space="preserve">       ส่งมอบเอกสาร Business process risk management และเอกสารที่เกี่ยวข้อง (Milestone #5)</t>
  </si>
  <si>
    <t xml:space="preserve">       อนุมัติและยืนยัน Design Specification (Milestone #6)</t>
  </si>
  <si>
    <t xml:space="preserve">       ส่งมอบBPM Sign-off Draft Process Flow และเอกสารที่เกี่ยวข้อง (Milestone #7)</t>
  </si>
  <si>
    <t xml:space="preserve">       ส่งมอบระบบงานที่พัฒนาเรียบร้อยแล้ว (Milestone #8)</t>
  </si>
  <si>
    <t xml:space="preserve">       UAT Sign-off (Milestone #9)</t>
  </si>
  <si>
    <t xml:space="preserve">       ดำเนินการ Go-Live(Milestone #10)</t>
  </si>
  <si>
    <t xml:space="preserve">       ดำเนินการปิดโครงการ (Milestone #11)</t>
  </si>
  <si>
    <t>14 days</t>
  </si>
  <si>
    <t>11 days</t>
  </si>
  <si>
    <t>อ 29/4/68</t>
  </si>
  <si>
    <t>15FS+1 day</t>
  </si>
  <si>
    <t xml:space="preserve">   ประชุมติดตามความคืบหน้าของโครงการ (Weekly)</t>
  </si>
  <si>
    <t>96 days</t>
  </si>
  <si>
    <t>พ 16/4/68</t>
  </si>
  <si>
    <t>พ 27/8/68</t>
  </si>
  <si>
    <t xml:space="preserve">       ประชุมติดตามความคืบหน้าของโครงการ (Weekly) 1</t>
  </si>
  <si>
    <t xml:space="preserve">       ประชุมติดตามความคืบหน้าของโครงการ (Weekly) 2</t>
  </si>
  <si>
    <t>พ 23/4/68</t>
  </si>
  <si>
    <t xml:space="preserve">       ประชุมติดตามความคืบหน้าของโครงการ (Weekly) 3</t>
  </si>
  <si>
    <t xml:space="preserve">       ประชุมติดตามความคืบหน้าของโครงการ (Weekly) 4</t>
  </si>
  <si>
    <t>พ 7/5/68</t>
  </si>
  <si>
    <t xml:space="preserve">       ประชุมติดตามความคืบหน้าของโครงการ (Weekly) 5</t>
  </si>
  <si>
    <t xml:space="preserve">       ประชุมติดตามความคืบหน้าของโครงการ (Weekly) 6</t>
  </si>
  <si>
    <t>พ 21/5/68</t>
  </si>
  <si>
    <t xml:space="preserve">       ประชุมติดตามความคืบหน้าของโครงการ (Weekly) 7</t>
  </si>
  <si>
    <t>พ 28/5/68</t>
  </si>
  <si>
    <t xml:space="preserve">       ประชุมติดตามความคืบหน้าของโครงการ (Weekly) 8</t>
  </si>
  <si>
    <t>พ 4/6/68</t>
  </si>
  <si>
    <t xml:space="preserve">       ประชุมติดตามความคืบหน้าของโครงการ (Weekly) 9</t>
  </si>
  <si>
    <t>พ 11/6/68</t>
  </si>
  <si>
    <t xml:space="preserve">       ประชุมติดตามความคืบหน้าของโครงการ (Weekly) 10</t>
  </si>
  <si>
    <t>พ 18/6/68</t>
  </si>
  <si>
    <t xml:space="preserve">       ประชุมติดตามความคืบหน้าของโครงการ (Weekly) 11</t>
  </si>
  <si>
    <t>พ 25/6/68</t>
  </si>
  <si>
    <t xml:space="preserve">       ประชุมติดตามความคืบหน้าของโครงการ (Weekly) 12</t>
  </si>
  <si>
    <t>พ 2/7/68</t>
  </si>
  <si>
    <t xml:space="preserve">       ประชุมติดตามความคืบหน้าของโครงการ (Weekly) 13</t>
  </si>
  <si>
    <t>พ 9/7/68</t>
  </si>
  <si>
    <t xml:space="preserve">       ประชุมติดตามความคืบหน้าของโครงการ (Weekly) 14</t>
  </si>
  <si>
    <t xml:space="preserve">       ประชุมติดตามความคืบหน้าของโครงการ (Weekly) 15</t>
  </si>
  <si>
    <t>พ 23/7/68</t>
  </si>
  <si>
    <t xml:space="preserve">       ประชุมติดตามความคืบหน้าของโครงการ (Weekly) 16</t>
  </si>
  <si>
    <t>พ 30/7/68</t>
  </si>
  <si>
    <t xml:space="preserve">       ประชุมติดตามความคืบหน้าของโครงการ (Weekly) 17</t>
  </si>
  <si>
    <t xml:space="preserve">       ประชุมติดตามความคืบหน้าของโครงการ (Weekly) 18</t>
  </si>
  <si>
    <t>พ 13/8/68</t>
  </si>
  <si>
    <t xml:space="preserve">       ประชุมติดตามความคืบหน้าของโครงการ (Weekly) 19</t>
  </si>
  <si>
    <t>พ 20/8/68</t>
  </si>
  <si>
    <t xml:space="preserve">       ประชุมติดตามความคืบหน้าของโครงการ (Weekly) 20</t>
  </si>
  <si>
    <t xml:space="preserve">   รายงานความคืบหน้าของโครงการใน Tech.PMO (Monthly)</t>
  </si>
  <si>
    <t>91 days</t>
  </si>
  <si>
    <t>ศ 25/4/68</t>
  </si>
  <si>
    <t>ศ 29/8/68</t>
  </si>
  <si>
    <t xml:space="preserve">       รายงานความคืบหน้าของโครงการใน Tech.PMO (Monthly) 1</t>
  </si>
  <si>
    <t xml:space="preserve">       รายงานความคืบหน้าของโครงการใน Tech.PMO (Monthly) 2</t>
  </si>
  <si>
    <t>ศ 30/5/68</t>
  </si>
  <si>
    <t xml:space="preserve">       รายงานความคืบหน้าของโครงการใน Tech.PMO (Monthly) 3</t>
  </si>
  <si>
    <t>ศ 27/6/68</t>
  </si>
  <si>
    <t xml:space="preserve">       รายงานความคืบหน้าของโครงการใน Tech.PMO (Monthly) 4</t>
  </si>
  <si>
    <t>ศ 25/7/68</t>
  </si>
  <si>
    <t xml:space="preserve">       รายงานความคืบหน้าของโครงการใน Tech.PMO (Monthly) 5</t>
  </si>
  <si>
    <t xml:space="preserve">   Requirement Gathering</t>
  </si>
  <si>
    <t>8 days</t>
  </si>
  <si>
    <t>อ 6/5/68</t>
  </si>
  <si>
    <t xml:space="preserve">       ศึกษากระบวนการทำงานในปัจจุบัน (As Is)</t>
  </si>
  <si>
    <t>2 days</t>
  </si>
  <si>
    <t>16FS+1 day</t>
  </si>
  <si>
    <t xml:space="preserve">       ศึกษาปัญหาของการทำงานในปัจจุบัน</t>
  </si>
  <si>
    <t>45SS</t>
  </si>
  <si>
    <t xml:space="preserve">       จัดประชุมสัมภาษณ์ตัวแทนผู้ปฏิบัติงานเพื่อค้นหาความต้องการ (Interview Key Users)</t>
  </si>
  <si>
    <t xml:space="preserve">       สรุปจัดทำรายละเอียดความต้องการ (Develop Requirement Specification)</t>
  </si>
  <si>
    <t>พ 8/5/68</t>
  </si>
  <si>
    <t xml:space="preserve">       ประชุมกับ User เพื่อสรุปยืนยัน Requirement</t>
  </si>
  <si>
    <t>ศ 9/5/68</t>
  </si>
  <si>
    <t xml:space="preserve">       แก้ไขเอกสาร Requirement Specification #ครั้งที่ 1</t>
  </si>
  <si>
    <t>อ 13/5/68</t>
  </si>
  <si>
    <t>49FS+1 day</t>
  </si>
  <si>
    <t xml:space="preserve">      กำหนดระยะเวลาการเก็บรักษาข้อมูล (Data Retention)</t>
  </si>
  <si>
    <t>51SS</t>
  </si>
  <si>
    <t xml:space="preserve">      อนุมัติและยืนยัน Data Retention Sign-Off Form (Milestone #4)</t>
  </si>
  <si>
    <t xml:space="preserve">   Design</t>
  </si>
  <si>
    <t>17 days</t>
  </si>
  <si>
    <t>ศ 16/5/68</t>
  </si>
  <si>
    <t xml:space="preserve">       ออกแบบสถาปัตยกรรมระบบ (Solution Architecture)</t>
  </si>
  <si>
    <t>จ 19/5/68</t>
  </si>
  <si>
    <t xml:space="preserve">       ออกแบบ Data Flow ของระบบงาน</t>
  </si>
  <si>
    <t>55SS</t>
  </si>
  <si>
    <t xml:space="preserve">       ออกแบบโครงสร้างฐานข้อมูล (DB Structure and Schema)</t>
  </si>
  <si>
    <t>3 days</t>
  </si>
  <si>
    <t>อ 20/5/68</t>
  </si>
  <si>
    <t xml:space="preserve">       Business process management and Business process risk management training for User</t>
  </si>
  <si>
    <t>53FS+1 day</t>
  </si>
  <si>
    <t xml:space="preserve">       จัดทำเอกสาร Business process risk management</t>
  </si>
  <si>
    <t>5 days</t>
  </si>
  <si>
    <t>จ 26/5/68</t>
  </si>
  <si>
    <t xml:space="preserve">       กลุ่มงาน IT</t>
  </si>
  <si>
    <t xml:space="preserve">          ออกแบบแบบฟอร์มการประเมินคุณภาพการส่งมอบสินค้า/บริการ (For IT User)</t>
  </si>
  <si>
    <t xml:space="preserve">       กลุ่มงาน WASTE</t>
  </si>
  <si>
    <t xml:space="preserve">          ออกแบบแบบฟอร์มการประเมินคุณภาพการส่งมอบสินค้า/บริการ WASTE</t>
  </si>
  <si>
    <t>62SS</t>
  </si>
  <si>
    <t xml:space="preserve">       กลุ่มงาน Logistic</t>
  </si>
  <si>
    <t xml:space="preserve">          ออกแบบแบบฟอร์มการประเมินคุณภาพการส่งมอบสินค้า/บริการ Vendor-N (G.Logistics)</t>
  </si>
  <si>
    <t xml:space="preserve">       กลุ่มงาน Manufacturing</t>
  </si>
  <si>
    <t xml:space="preserve">          ออกแบบแบบฟอร์มการประเมินคุณภาพการส่งมอบสินค้า/บริการ Manufacturing_N</t>
  </si>
  <si>
    <t xml:space="preserve">       กลุ่มงาน Commercial</t>
  </si>
  <si>
    <t xml:space="preserve">          ออกแบบแบบฟอร์มการประเมินคุณภาพการส่งมอบสินค้า/บริการ Commercial</t>
  </si>
  <si>
    <t xml:space="preserve">          ออกแบบแบบฟอร์มการประเมินคุณภาพการส่งมอบสินค้า/บริการ (Outsource)</t>
  </si>
  <si>
    <t xml:space="preserve">       กลุ่มงาน Raw material</t>
  </si>
  <si>
    <t>พ 29/5/68</t>
  </si>
  <si>
    <t xml:space="preserve">          ออกแบบแบบฟอร์มการประเมินคุณภาพการส่งมอบสินค้า/บริการ (RAW MATERIAL)</t>
  </si>
  <si>
    <t xml:space="preserve">       กลุ่มงาน Packaging</t>
  </si>
  <si>
    <t xml:space="preserve">          ออกแบบแบบฟอร์มการประเมินคุณภาพการส่งมอบสินค้า/บริการ (PKG)</t>
  </si>
  <si>
    <t>73SS</t>
  </si>
  <si>
    <t xml:space="preserve">       กลุ่มงาน Agile</t>
  </si>
  <si>
    <t xml:space="preserve">          ออกแบบแบบฟอร์มการประเมินคุณภาพการส่งมอบสินค้า/บริการ (AGILE)</t>
  </si>
  <si>
    <t xml:space="preserve">       กลุ่มงาน Property</t>
  </si>
  <si>
    <t xml:space="preserve">          ออกแบบแบบฟอร์มการประเมินคุณภาพการส่งมอบสินค้า/บริการ (PROPERTY)</t>
  </si>
  <si>
    <t>77SS</t>
  </si>
  <si>
    <t xml:space="preserve">       กลุ่มงาน Energy and Chemical</t>
  </si>
  <si>
    <t xml:space="preserve">          ออกแบบแบบฟอร์มการประเมินคุณภาพการส่งมอบสินค้า/บริการ (ENERGY_CHEMICAL)</t>
  </si>
  <si>
    <t xml:space="preserve">       จัดทำรายละเอียดการออกแบบระบบ (Design Specification)</t>
  </si>
  <si>
    <t>จ 2/6/68</t>
  </si>
  <si>
    <t xml:space="preserve">       ประชุมกับ Key User เพื่อสรุปยืนยัน Design Specification</t>
  </si>
  <si>
    <t>พ 5/6/68</t>
  </si>
  <si>
    <t xml:space="preserve">       Key User ตรวจสอบยืนยัน Design Specification</t>
  </si>
  <si>
    <t>ศ 6/6/68</t>
  </si>
  <si>
    <t xml:space="preserve">   Implementation &amp; UT</t>
  </si>
  <si>
    <t>28 days</t>
  </si>
  <si>
    <t>อ 10/6/68</t>
  </si>
  <si>
    <t xml:space="preserve">       พัฒนาแบบประเมินบน Microsoft Form</t>
  </si>
  <si>
    <t xml:space="preserve">          กลุ่มงาน IT</t>
  </si>
  <si>
    <t xml:space="preserve">             พัฒนาแบบฟอร์มการประเมินคุณภาพการส่งมอบสินค้า/บริการ (For IT User)</t>
  </si>
  <si>
    <t xml:space="preserve">             ทดสอบแบบฟอร์มการประเมินคุณภาพการส่งมอบสินค้า/บริการ (For IT User)</t>
  </si>
  <si>
    <t>89SS</t>
  </si>
  <si>
    <t xml:space="preserve">          กลุ่มงาน WASTE</t>
  </si>
  <si>
    <t xml:space="preserve">             พัฒนาแบบฟอร์มการประเมินคุณภาพการส่งมอบสินค้า/บริการ WASTE</t>
  </si>
  <si>
    <t xml:space="preserve">          กลุ่มงาน Logistic</t>
  </si>
  <si>
    <t xml:space="preserve">             พัฒนาแบบฟอร์มการประเมินคุณภาพการส่งมอบสินค้า/บริการ Vendor-N (G.Logistics)</t>
  </si>
  <si>
    <t xml:space="preserve">             ทดสอบแบบฟอร์มการประเมินคุณภาพการส่งมอบสินค้า/บริการ Vendor-N (G.Logistics)</t>
  </si>
  <si>
    <t xml:space="preserve">          กลุ่มงาน Manufacturing</t>
  </si>
  <si>
    <t xml:space="preserve">             พัฒนาแบบฟอร์มการประเมินคุณภาพการส่งมอบสินค้า/บริการ Manufacturing_N</t>
  </si>
  <si>
    <t xml:space="preserve">             ทดสอบแบบฟอร์มการประเมินคุณภาพการส่งมอบสินค้า/บริการ Manufacturing_N</t>
  </si>
  <si>
    <t xml:space="preserve">          กลุ่มงาน Commercial</t>
  </si>
  <si>
    <t xml:space="preserve">             พัฒนาแบบฟอร์มการประเมินคุณภาพการส่งมอบสินค้า/บริการ Commercial</t>
  </si>
  <si>
    <t xml:space="preserve">             ทดสอบแบบฟอร์มการประเมินคุณภาพการส่งมอบสินค้า/บริการ Commercial</t>
  </si>
  <si>
    <t xml:space="preserve">             พัฒนาแบบฟอร์มการประเมินคุณภาพการส่งมอบสินค้า/บริการ (Outsource)</t>
  </si>
  <si>
    <t xml:space="preserve">             ทดสอบแบบฟอร์มการประเมินคุณภาพการส่งมอบสินค้า/บริการ (Outsource)</t>
  </si>
  <si>
    <t xml:space="preserve">          กลุ่มงาน Raw material</t>
  </si>
  <si>
    <t xml:space="preserve">             พัฒนาแบบฟอร์มการประเมินคุณภาพการส่งมอบสินค้า/บริการ RAW MATERIAL</t>
  </si>
  <si>
    <t xml:space="preserve">             ทดสอบแบบฟอร์มการประเมินคุณภาพการส่งมอบสินค้า/บริการ RAW MATERIAL</t>
  </si>
  <si>
    <t>106SS</t>
  </si>
  <si>
    <t xml:space="preserve">          กลุ่มงาน Packaging</t>
  </si>
  <si>
    <t xml:space="preserve">             พัฒนาแบบฟอร์มการประเมินคุณภาพการส่งมอบสินค้า/บริการ PKG</t>
  </si>
  <si>
    <t xml:space="preserve">             ทดสอบแบบฟอร์มการประเมินคุณภาพการส่งมอบสินค้า/บริการ PKG</t>
  </si>
  <si>
    <t xml:space="preserve">          กลุ่มงาน Agile</t>
  </si>
  <si>
    <t xml:space="preserve">             พัฒนาแบบฟอร์มการประเมินคุณภาพการส่งมอบสินค้า/บริการ AGILE</t>
  </si>
  <si>
    <t xml:space="preserve">             ทดสอบแบบฟอร์มการประเมินคุณภาพการส่งมอบสินค้า/บริการ AGILE</t>
  </si>
  <si>
    <t xml:space="preserve">          กลุ่มงาน Property</t>
  </si>
  <si>
    <t xml:space="preserve">             พัฒนาแบบฟอร์มการประเมินคุณภาพการส่งมอบสินค้า/บริการ PROPERTY</t>
  </si>
  <si>
    <t xml:space="preserve">             ทดสอบแบบฟอร์มการประเมินคุณภาพการส่งมอบสินค้า/บริการ PROPERTY</t>
  </si>
  <si>
    <t xml:space="preserve">          กลุ่มงาน Energy and Chemical</t>
  </si>
  <si>
    <t xml:space="preserve">             พัฒนาแบบฟอร์มการประเมินคุณภาพการส่งมอบสินค้า/บริการ ENERGY_CHEMICAL</t>
  </si>
  <si>
    <t xml:space="preserve">             ทดสอบแบบฟอร์มการประเมินคุณภาพการส่งมอบสินค้า/บริการ ENERGY_CHEMICAL</t>
  </si>
  <si>
    <t xml:space="preserve">       พัฒนาแบบประเมินของกลุ่มงาน IT</t>
  </si>
  <si>
    <t xml:space="preserve">          พัฒนา Flow แบบประเมินคุณภาพการส่งมอบสินค้า/บริการ (For IT User) บน Power Automate</t>
  </si>
  <si>
    <t xml:space="preserve">          ทดสอบการเชื่อมต่อระหว่าง Microsoft Form และ Power Automate</t>
  </si>
  <si>
    <t>121SS</t>
  </si>
  <si>
    <t xml:space="preserve">          พัฒนา List สำหรับจัดเก็บข้อมูลแบบประเมินคุณภาพการส่งมอบสินค้า/บริการ (For IT User) บน Sharepoint</t>
  </si>
  <si>
    <t xml:space="preserve">          ทดสอบการเชื่อมต่อระหว่าง Microsoft Form ,Power Automate และ Sharepoint List</t>
  </si>
  <si>
    <t xml:space="preserve">       พัฒนาแบบประเมินของกลุ่มงาน WASTE</t>
  </si>
  <si>
    <t xml:space="preserve">          พัฒนา Flow แบบประเมินคุณภาพการส่งมอบสินค้า/บริการ WASTE บน Power Automate</t>
  </si>
  <si>
    <t xml:space="preserve">          พัฒนา List สำหรับจัดเก็บข้อมูลแบบประเมินคุณภาพการส่งมอบสินค้า/บริการ WASTE บน Sharepoint</t>
  </si>
  <si>
    <t xml:space="preserve">       พัฒนาแบบประเมินของกลุ่มงาน Logistic</t>
  </si>
  <si>
    <t xml:space="preserve">          พัฒนา Flow แบบประเมินคุณภาพการส่งมอบสินค้า/บริการ Vendor-N (G.Logistics) บน Power Automate</t>
  </si>
  <si>
    <t xml:space="preserve">          พัฒนา List สำหรับจัดเก็บข้อมูลแบบประเมินคุณภาพการส่งมอบสินค้า/บริการ Vendor-N (G.Logistics) บน Sharepoint</t>
  </si>
  <si>
    <t xml:space="preserve">       พัฒนาแบบประเมินของกลุ่มงาน Manufaturing</t>
  </si>
  <si>
    <t xml:space="preserve">          พัฒนา Flow แบบประเมินคุณภาพการส่งมอบสินค้า/บริการ Manufacturing_N บน Power Automate</t>
  </si>
  <si>
    <t xml:space="preserve">          พัฒนา List สำหรับจัดเก็บข้อมูลแบบประเมินคุณภาพการส่งมอบสินค้า/บริการ Manufacturing_N บน Sharepoint</t>
  </si>
  <si>
    <t xml:space="preserve">       พัฒนาแบบประเมินของกลุ่มงาน Commercial</t>
  </si>
  <si>
    <t xml:space="preserve">          Commercial</t>
  </si>
  <si>
    <t xml:space="preserve">             พัฒนา Flow แบบประเมินคุณภาพการส่งมอบสินค้า/บริการ Commercial บน Power Automate</t>
  </si>
  <si>
    <t xml:space="preserve">             ทดสอบการเชื่อมต่อระหว่าง Microsoft Form และ Power Automate</t>
  </si>
  <si>
    <t xml:space="preserve">             พัฒนา List สำหรับจัดเก็บข้อมูลแบบประเมินคุณภาพการส่งมอบสินค้า/บริการ Commercial บน Sharepoint</t>
  </si>
  <si>
    <t xml:space="preserve">             ทดสอบการเชื่อมต่อระหว่าง Microsoft Form ,Power Automate และ Sharepoint List</t>
  </si>
  <si>
    <t xml:space="preserve">          Outsource</t>
  </si>
  <si>
    <t xml:space="preserve">             พัฒนา Flow แบบประเมินคุณภาพการส่งมอบสินค้า/บริการ (Outsource) บน Power Automate</t>
  </si>
  <si>
    <t xml:space="preserve">             พัฒนา List สำหรับจัดเก็บข้อมูลแบบประเมินคุณภาพการส่งมอบสินค้า/บริการ (Outsource) บน Sharepoint</t>
  </si>
  <si>
    <t xml:space="preserve">       พัฒนาแบบประเมินของกลุ่มงาน Raw material</t>
  </si>
  <si>
    <t>พ 12/6/68</t>
  </si>
  <si>
    <t xml:space="preserve">          พัฒนา Flow แบบประเมินคุณภาพการส่งมอบสินค้า/บริการ RAW MATERIAL บน Power Automate</t>
  </si>
  <si>
    <t>152SS</t>
  </si>
  <si>
    <t xml:space="preserve">          พัฒนา List สำหรับจัดเก็บข้อมูลแบบประเมินคุณภาพการส่งมอบสินค้า/บริการ RAW MATERIAL บน Sharepoint</t>
  </si>
  <si>
    <t xml:space="preserve">       พัฒนาแบบประเมินของกลุ่มงาน Packaging</t>
  </si>
  <si>
    <t xml:space="preserve">          พัฒนา Flow แบบประเมินคุณภาพการส่งมอบสินค้า/บริการ PKG บน Power Automate</t>
  </si>
  <si>
    <t xml:space="preserve">          พัฒนา List สำหรับจัดเก็บข้อมูลแบบประเมินคุณภาพการส่งมอบสินค้า/บริการ PKG บน Sharepoint</t>
  </si>
  <si>
    <t xml:space="preserve">       พัฒนาแบบประเมินของกลุ่มงาน Agile</t>
  </si>
  <si>
    <t xml:space="preserve">          พัฒนา Flow แบบประเมินคุณภาพการส่งมอบสินค้า/บริการ AGILE บน Power Automate</t>
  </si>
  <si>
    <t xml:space="preserve">          พัฒนา List สำหรับจัดเก็บข้อมูลแบบประเมินคุณภาพการส่งมอบสินค้า/บริการ AGILE บน Sharepoint</t>
  </si>
  <si>
    <t xml:space="preserve">       พัฒนาแบบประเมินของกลุ่มงาน Property</t>
  </si>
  <si>
    <t xml:space="preserve">          พัฒนา Flow แบบประเมินคุณภาพการส่งมอบสินค้า/บริการ PROPERTY บน Power Automate</t>
  </si>
  <si>
    <t xml:space="preserve">          พัฒนา List สำหรับจัดเก็บข้อมูลแบบประเมินคุณภาพการส่งมอบสินค้า/บริการ PROPERTY บน Sharepoint</t>
  </si>
  <si>
    <t xml:space="preserve">       พัฒนาแบบประเมินของกลุ่มงาน Energy and Chemical</t>
  </si>
  <si>
    <t xml:space="preserve">          พัฒนา Flow แบบประเมินคุณภาพการส่งมอบสินค้า/บริการ ENERGY_CHEMICAL บน Power Automate</t>
  </si>
  <si>
    <t xml:space="preserve">          พัฒนา List สำหรับจัดเก็บข้อมูลแบบประเมินคุณภาพการส่งมอบสินค้า/บริการ ENERGY_CHEMICAL บน Sharepoint</t>
  </si>
  <si>
    <t xml:space="preserve">       พัฒนาโปรแกรมสำหรับดึงข้อมูลจาก Sharepoint List เก็บลง Database</t>
  </si>
  <si>
    <t>ศ 13/6/68</t>
  </si>
  <si>
    <t>จ 16/6/68</t>
  </si>
  <si>
    <t xml:space="preserve">       ทดสอบการเชื่อมต่อโปรแกรมระหว่าง Sharepoint List และ Database</t>
  </si>
  <si>
    <t>อ 17/6/68</t>
  </si>
  <si>
    <t xml:space="preserve">       พัฒนา Model ใช้สำหรับนำไปแสดงผลรายงาน</t>
  </si>
  <si>
    <t>พ 19/6/68</t>
  </si>
  <si>
    <t>อ 8/7/68</t>
  </si>
  <si>
    <t xml:space="preserve">       พัฒนา Dashboard</t>
  </si>
  <si>
    <t>อ 15/7/68</t>
  </si>
  <si>
    <t xml:space="preserve">       จัดทำ Draft Process flow และเอกสารที่เกี่ยวข้อง รองรับกระบวนการใหม่</t>
  </si>
  <si>
    <t>22 days</t>
  </si>
  <si>
    <t xml:space="preserve">         จัดทำเอกสาร Business Process Flow</t>
  </si>
  <si>
    <t>16 days</t>
  </si>
  <si>
    <t>119FS+3 days</t>
  </si>
  <si>
    <t xml:space="preserve">          ส่งมอบ UPM Sign-off และ Draf of ARIS Flow ให้กับหน่วยงาน BPM</t>
  </si>
  <si>
    <t>ศ 11/7/68</t>
  </si>
  <si>
    <t xml:space="preserve">          จัดเก็บเอกสารเข้าระบบ ISO และส่งมอบเอกสารให้หน่วยงาน BPM</t>
  </si>
  <si>
    <t>จ 14/7/68</t>
  </si>
  <si>
    <t xml:space="preserve">         ส่งมอบBPM Sign-off Draft Process Flow และเอกสารที่เกี่ยวข้อง (Milestone #7)</t>
  </si>
  <si>
    <t xml:space="preserve">   Test And Trainning Key User</t>
  </si>
  <si>
    <t>ศ 18/7/68</t>
  </si>
  <si>
    <t xml:space="preserve">      จัดเตรียม Environment Test</t>
  </si>
  <si>
    <t xml:space="preserve">      จัดทำเอกสารการฝึกอบรมสำหรับ Key User (Trainng Document)</t>
  </si>
  <si>
    <t>จ 21/7/68</t>
  </si>
  <si>
    <t xml:space="preserve">      ดำเนินการทดสอบ UAT และ Training </t>
  </si>
  <si>
    <t>6 days</t>
  </si>
  <si>
    <t>อ 22/7/68</t>
  </si>
  <si>
    <t>อ 29/7/68</t>
  </si>
  <si>
    <t xml:space="preserve">      แก้ไข Defect จาก UAT</t>
  </si>
  <si>
    <t xml:space="preserve">   Deploy</t>
  </si>
  <si>
    <t>จ 4/8/68</t>
  </si>
  <si>
    <t xml:space="preserve">       จัดทำแผน Go-Live Plan</t>
  </si>
  <si>
    <t xml:space="preserve">       ตรวจสอบความพร้อมในการ Go-Live (Go/No-Go Checklist)</t>
  </si>
  <si>
    <t>อ 5/8/68</t>
  </si>
  <si>
    <t xml:space="preserve">   Stabilization</t>
  </si>
  <si>
    <t>15 days</t>
  </si>
  <si>
    <t>พ 7/8/68</t>
  </si>
  <si>
    <t xml:space="preserve">       สนับสนุนการใช้งาน หลัง Go-Live (หลังจบโครงการ 1 Month)</t>
  </si>
  <si>
    <t xml:space="preserve">       เก็บ Issues Log บน ระบบจริงที่ใช้งาน และแก้ไข</t>
  </si>
  <si>
    <t>197SS</t>
  </si>
  <si>
    <t xml:space="preserve">   Project Closure</t>
  </si>
  <si>
    <t>พ 28/8/68</t>
  </si>
  <si>
    <t xml:space="preserve">       จัดทำ Lesson Learned โครงการ</t>
  </si>
  <si>
    <t xml:space="preserve">       ส่งมอบโครงการ สู่งานประจำ (Handover)</t>
  </si>
  <si>
    <t xml:space="preserve">       จัดเก็บเอกสาร Project Files ทั้งหมด</t>
  </si>
  <si>
    <t>จ 1/9/68</t>
  </si>
  <si>
    <t xml:space="preserve">       กำหนดระยะเวลาในการวัด Outcome ของโครงการ (Project KPI)</t>
  </si>
  <si>
    <t>อ 2/9/68</t>
  </si>
  <si>
    <t>Aunchala,Sutripat</t>
  </si>
  <si>
    <t>Aunchala,Chakhrit,Sutripat,Tanchanok,Pornpun</t>
  </si>
  <si>
    <t>Aunchala</t>
  </si>
  <si>
    <t>Aunchala,Chakhrit,Sutripat,Tanchanok</t>
  </si>
  <si>
    <t>4 days</t>
  </si>
  <si>
    <t>Sutripat</t>
  </si>
  <si>
    <t>พ 22/5/68</t>
  </si>
  <si>
    <t>7 days</t>
  </si>
  <si>
    <t>Aunchala,Tanchanok,Krittalak</t>
  </si>
  <si>
    <t>Tanchanok,Aunchala</t>
  </si>
  <si>
    <t>Aunchala,Tanchanok</t>
  </si>
  <si>
    <t xml:space="preserve">      กลุ่มงาน Outsource</t>
  </si>
  <si>
    <t>74SS</t>
  </si>
  <si>
    <t>78SS</t>
  </si>
  <si>
    <t>90SS</t>
  </si>
  <si>
    <t>Aunchala,Tanchanok,Chakhrit,Sutripat</t>
  </si>
  <si>
    <t>Aunchala,Sutripat,Tanchanok,Chakhrit</t>
  </si>
  <si>
    <t xml:space="preserve">         กลุ่มงาน Outsource</t>
  </si>
  <si>
    <t>108SS</t>
  </si>
  <si>
    <t>Chakhrit</t>
  </si>
  <si>
    <t>123SS</t>
  </si>
  <si>
    <t xml:space="preserve">          พัฒนา Flow แบบประเมินคุณภาพการส่งมอบสินค้า/บริการ Commercial บน Power Automate</t>
  </si>
  <si>
    <t xml:space="preserve">          พัฒนา List สำหรับจัดเก็บข้อมูลแบบประเมินคุณภาพการส่งมอบสินค้า/บริการ Commercial บน Sharepoint</t>
  </si>
  <si>
    <t xml:space="preserve">      พัฒนาแบบประเมินของกลุ่มงาน Outsource</t>
  </si>
  <si>
    <t xml:space="preserve">          พัฒนา Flow แบบประเมินคุณภาพการส่งมอบสินค้า/บริการ (Outsource) บน Power Automate</t>
  </si>
  <si>
    <t xml:space="preserve">          พัฒนา List สำหรับจัดเก็บข้อมูลแบบประเมินคุณภาพการส่งมอบสินค้า/บริการ (Outsource) บน Sharepoint</t>
  </si>
  <si>
    <t>153SS</t>
  </si>
  <si>
    <t>121FS+3 days</t>
  </si>
  <si>
    <t>Aunchala,Tanchanok,Taravit</t>
  </si>
  <si>
    <t>Aunchala,Taravit</t>
  </si>
  <si>
    <t>Tanchanok,Sutripat</t>
  </si>
  <si>
    <t>198SS</t>
  </si>
  <si>
    <t>Tanchanok,Sutripat,Aunchala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</si>
</sst>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B1mmm\-yy"/>
  </numFmts>
  <fonts count="16" x14ac:knownFonts="1">
    <font>
      <sz val="11"/>
      <color theme="1"/>
      <name val="Tahoma"/>
      <family val="2"/>
      <scheme val="minor"/>
    </font>
    <font>
      <b/>
      <sz val="11"/>
      <color theme="1"/>
      <name val="Tahoma"/>
      <family val="2"/>
      <scheme val="minor"/>
    </font>
    <font>
      <sz val="10"/>
      <color rgb="FF1E395B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Tahoma"/>
      <family val="2"/>
      <scheme val="minor"/>
    </font>
    <font>
      <b/>
      <sz val="11"/>
      <color rgb="FF000000"/>
      <name val="Calibri"/>
      <family val="2"/>
    </font>
    <font>
      <i/>
      <sz val="12"/>
      <color rgb="FFED1C24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Tahoma"/>
      <family val="2"/>
      <scheme val="minor"/>
    </font>
    <font>
      <sz val="11"/>
      <color rgb="FFFF0000"/>
      <name val="Tahoma"/>
      <family val="2"/>
      <charset val="222"/>
      <scheme val="minor"/>
    </font>
    <font>
      <b/>
      <sz val="11"/>
      <color theme="0"/>
      <name val="Tahoma"/>
      <family val="2"/>
      <scheme val="minor"/>
    </font>
    <font>
      <sz val="11"/>
      <color theme="0"/>
      <name val="Tahoma"/>
      <family val="2"/>
      <scheme val="minor"/>
    </font>
    <font>
      <sz val="12"/>
      <color theme="1"/>
      <name val="Calibri"/>
      <family val="2"/>
    </font>
    <font>
      <sz val="11"/>
      <color theme="1"/>
      <name val="Calibri"/>
      <family val="2"/>
    </font>
    <font>
      <i/>
      <sz val="12"/>
      <color rgb="FFFF000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FE5F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AE7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E0B3"/>
        <bgColor indexed="64"/>
      </patternFill>
    </fill>
    <fill>
      <patternFill patternType="solid">
        <fgColor rgb="FFD9F7CD"/>
        <bgColor indexed="64"/>
      </patternFill>
    </fill>
    <fill>
      <patternFill patternType="solid">
        <fgColor rgb="FFBDD8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DFFEB"/>
        <bgColor indexed="64"/>
      </patternFill>
    </fill>
    <fill>
      <patternFill patternType="solid">
        <fgColor rgb="FFFDEADA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9EB6CE"/>
      </left>
      <right style="thin">
        <color rgb="FF9EB6CE"/>
      </right>
      <top style="thin">
        <color rgb="FF9EB6CE"/>
      </top>
      <bottom style="thin">
        <color rgb="FF9EB6CE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2" borderId="0" xfId="0" applyFill="1"/>
    <xf numFmtId="0" fontId="0" fillId="0" borderId="0" xfId="0" applyBorder="1"/>
    <xf numFmtId="0" fontId="0" fillId="3" borderId="0" xfId="0" applyFill="1"/>
    <xf numFmtId="0" fontId="2" fillId="6" borderId="2" xfId="0" applyFont="1" applyFill="1" applyBorder="1" applyAlignment="1">
      <alignment vertical="center" wrapText="1"/>
    </xf>
    <xf numFmtId="0" fontId="7" fillId="7" borderId="2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10" fillId="0" borderId="3" xfId="0" applyFont="1" applyBorder="1" applyAlignment="1">
      <alignment vertical="top"/>
    </xf>
    <xf numFmtId="0" fontId="0" fillId="9" borderId="0" xfId="0" applyFill="1"/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 applyAlignment="1">
      <alignment vertical="top"/>
    </xf>
    <xf numFmtId="187" fontId="10" fillId="0" borderId="3" xfId="0" quotePrefix="1" applyNumberFormat="1" applyFont="1" applyBorder="1" applyAlignment="1">
      <alignment horizontal="center" vertical="top"/>
    </xf>
    <xf numFmtId="0" fontId="0" fillId="2" borderId="3" xfId="0" applyFill="1" applyBorder="1" applyAlignment="1">
      <alignment horizontal="center" vertical="top"/>
    </xf>
    <xf numFmtId="0" fontId="1" fillId="3" borderId="7" xfId="0" applyFont="1" applyFill="1" applyBorder="1" applyAlignment="1">
      <alignment horizontal="center" vertical="top"/>
    </xf>
    <xf numFmtId="16" fontId="1" fillId="0" borderId="0" xfId="0" quotePrefix="1" applyNumberFormat="1" applyFont="1" applyFill="1" applyBorder="1" applyAlignment="1">
      <alignment horizontal="center" vertical="top"/>
    </xf>
    <xf numFmtId="0" fontId="0" fillId="0" borderId="0" xfId="0" applyFill="1" applyBorder="1" applyAlignment="1">
      <alignment horizontal="center"/>
    </xf>
    <xf numFmtId="0" fontId="0" fillId="0" borderId="0" xfId="0" applyAlignment="1"/>
    <xf numFmtId="0" fontId="1" fillId="0" borderId="0" xfId="0" applyFont="1" applyFill="1" applyBorder="1" applyAlignment="1">
      <alignment vertical="top"/>
    </xf>
    <xf numFmtId="0" fontId="1" fillId="4" borderId="7" xfId="0" applyFont="1" applyFill="1" applyBorder="1" applyAlignment="1">
      <alignment horizontal="center" vertical="top"/>
    </xf>
    <xf numFmtId="0" fontId="0" fillId="12" borderId="0" xfId="0" applyFill="1"/>
    <xf numFmtId="0" fontId="1" fillId="13" borderId="7" xfId="0" applyFont="1" applyFill="1" applyBorder="1" applyAlignment="1">
      <alignment horizontal="center" vertical="top"/>
    </xf>
    <xf numFmtId="0" fontId="0" fillId="12" borderId="0" xfId="0" applyFill="1" applyAlignment="1"/>
    <xf numFmtId="0" fontId="0" fillId="14" borderId="0" xfId="0" applyFill="1"/>
    <xf numFmtId="0" fontId="0" fillId="15" borderId="0" xfId="0" applyFill="1"/>
    <xf numFmtId="0" fontId="0" fillId="15" borderId="0" xfId="0" applyFill="1" applyBorder="1"/>
    <xf numFmtId="0" fontId="0" fillId="16" borderId="0" xfId="0" applyFill="1"/>
    <xf numFmtId="0" fontId="0" fillId="9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0" fillId="15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16" borderId="3" xfId="0" applyFill="1" applyBorder="1" applyAlignment="1">
      <alignment horizontal="center"/>
    </xf>
    <xf numFmtId="0" fontId="1" fillId="0" borderId="3" xfId="0" applyFont="1" applyFill="1" applyBorder="1" applyAlignment="1">
      <alignment vertical="top" wrapText="1"/>
    </xf>
    <xf numFmtId="0" fontId="1" fillId="0" borderId="3" xfId="0" applyFont="1" applyFill="1" applyBorder="1" applyAlignment="1">
      <alignment vertical="top"/>
    </xf>
    <xf numFmtId="0" fontId="0" fillId="0" borderId="3" xfId="0" quotePrefix="1" applyBorder="1" applyAlignment="1">
      <alignment horizontal="center" vertical="top"/>
    </xf>
    <xf numFmtId="0" fontId="0" fillId="14" borderId="4" xfId="0" applyFill="1" applyBorder="1"/>
    <xf numFmtId="0" fontId="0" fillId="14" borderId="5" xfId="0" applyFill="1" applyBorder="1"/>
    <xf numFmtId="0" fontId="0" fillId="14" borderId="6" xfId="0" applyFill="1" applyBorder="1"/>
    <xf numFmtId="0" fontId="0" fillId="12" borderId="4" xfId="0" applyFill="1" applyBorder="1"/>
    <xf numFmtId="0" fontId="0" fillId="12" borderId="5" xfId="0" applyFill="1" applyBorder="1" applyAlignment="1"/>
    <xf numFmtId="0" fontId="0" fillId="12" borderId="5" xfId="0" applyFill="1" applyBorder="1"/>
    <xf numFmtId="0" fontId="0" fillId="12" borderId="6" xfId="0" applyFill="1" applyBorder="1"/>
    <xf numFmtId="0" fontId="12" fillId="17" borderId="0" xfId="0" applyFont="1" applyFill="1"/>
    <xf numFmtId="0" fontId="11" fillId="17" borderId="0" xfId="0" applyFont="1" applyFill="1"/>
    <xf numFmtId="0" fontId="0" fillId="2" borderId="8" xfId="0" applyFill="1" applyBorder="1" applyAlignment="1">
      <alignment horizontal="center" vertical="top"/>
    </xf>
    <xf numFmtId="0" fontId="1" fillId="0" borderId="8" xfId="0" applyFont="1" applyFill="1" applyBorder="1" applyAlignment="1">
      <alignment vertical="top"/>
    </xf>
    <xf numFmtId="0" fontId="0" fillId="0" borderId="8" xfId="0" applyBorder="1" applyAlignment="1">
      <alignment horizontal="center" vertical="top"/>
    </xf>
    <xf numFmtId="0" fontId="0" fillId="0" borderId="8" xfId="0" applyBorder="1" applyAlignment="1">
      <alignment vertical="top"/>
    </xf>
    <xf numFmtId="0" fontId="1" fillId="18" borderId="3" xfId="0" applyFont="1" applyFill="1" applyBorder="1" applyAlignment="1">
      <alignment horizontal="center" vertical="top"/>
    </xf>
    <xf numFmtId="0" fontId="0" fillId="18" borderId="3" xfId="0" applyFill="1" applyBorder="1" applyAlignment="1">
      <alignment horizontal="center" vertical="top"/>
    </xf>
    <xf numFmtId="0" fontId="0" fillId="18" borderId="3" xfId="0" applyFill="1" applyBorder="1" applyAlignment="1">
      <alignment vertical="top"/>
    </xf>
    <xf numFmtId="0" fontId="0" fillId="0" borderId="0" xfId="0" applyFill="1" applyBorder="1"/>
    <xf numFmtId="0" fontId="12" fillId="0" borderId="0" xfId="0" applyFont="1" applyFill="1" applyBorder="1"/>
    <xf numFmtId="0" fontId="2" fillId="6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3" fillId="7" borderId="2" xfId="0" applyFont="1" applyFill="1" applyBorder="1" applyAlignment="1">
      <alignment vertical="center"/>
    </xf>
    <xf numFmtId="0" fontId="5" fillId="7" borderId="2" xfId="0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14" fillId="7" borderId="2" xfId="0" applyFont="1" applyFill="1" applyBorder="1" applyAlignment="1">
      <alignment vertical="center"/>
    </xf>
    <xf numFmtId="0" fontId="7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0" fontId="15" fillId="7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8" fillId="7" borderId="2" xfId="0" applyFont="1" applyFill="1" applyBorder="1" applyAlignment="1">
      <alignment vertical="center"/>
    </xf>
    <xf numFmtId="0" fontId="9" fillId="7" borderId="2" xfId="0" applyFont="1" applyFill="1" applyBorder="1" applyAlignment="1">
      <alignment vertical="center"/>
    </xf>
    <xf numFmtId="0" fontId="3" fillId="19" borderId="2" xfId="0" applyFont="1" applyFill="1" applyBorder="1" applyAlignment="1">
      <alignment vertical="center"/>
    </xf>
    <xf numFmtId="0" fontId="1" fillId="8" borderId="3" xfId="0" applyFont="1" applyFill="1" applyBorder="1" applyAlignment="1">
      <alignment horizontal="center" vertical="top"/>
    </xf>
    <xf numFmtId="0" fontId="1" fillId="10" borderId="3" xfId="0" applyFont="1" applyFill="1" applyBorder="1" applyAlignment="1">
      <alignment horizontal="center" vertical="top"/>
    </xf>
    <xf numFmtId="16" fontId="1" fillId="3" borderId="4" xfId="0" quotePrefix="1" applyNumberFormat="1" applyFont="1" applyFill="1" applyBorder="1" applyAlignment="1">
      <alignment horizontal="center" vertical="top"/>
    </xf>
    <xf numFmtId="16" fontId="1" fillId="3" borderId="5" xfId="0" quotePrefix="1" applyNumberFormat="1" applyFont="1" applyFill="1" applyBorder="1" applyAlignment="1">
      <alignment horizontal="center" vertical="top"/>
    </xf>
    <xf numFmtId="16" fontId="1" fillId="3" borderId="6" xfId="0" quotePrefix="1" applyNumberFormat="1" applyFont="1" applyFill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1" fillId="18" borderId="3" xfId="0" applyFont="1" applyFill="1" applyBorder="1" applyAlignment="1">
      <alignment horizontal="right" vertical="top"/>
    </xf>
    <xf numFmtId="0" fontId="1" fillId="5" borderId="4" xfId="0" applyFont="1" applyFill="1" applyBorder="1" applyAlignment="1">
      <alignment horizontal="center" vertical="top"/>
    </xf>
    <xf numFmtId="0" fontId="1" fillId="5" borderId="5" xfId="0" applyFont="1" applyFill="1" applyBorder="1" applyAlignment="1">
      <alignment horizontal="center" vertical="top"/>
    </xf>
    <xf numFmtId="0" fontId="1" fillId="5" borderId="6" xfId="0" applyFont="1" applyFill="1" applyBorder="1" applyAlignment="1">
      <alignment horizontal="center" vertical="top"/>
    </xf>
    <xf numFmtId="0" fontId="1" fillId="3" borderId="3" xfId="0" applyFont="1" applyFill="1" applyBorder="1" applyAlignment="1">
      <alignment horizontal="center" vertical="top"/>
    </xf>
    <xf numFmtId="0" fontId="1" fillId="4" borderId="3" xfId="0" applyFont="1" applyFill="1" applyBorder="1" applyAlignment="1">
      <alignment horizontal="center" vertical="top"/>
    </xf>
    <xf numFmtId="16" fontId="1" fillId="3" borderId="3" xfId="0" quotePrefix="1" applyNumberFormat="1" applyFont="1" applyFill="1" applyBorder="1" applyAlignment="1">
      <alignment horizontal="center" vertical="top"/>
    </xf>
    <xf numFmtId="0" fontId="0" fillId="0" borderId="3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2" fillId="11" borderId="1" xfId="0" applyFont="1" applyFill="1" applyBorder="1" applyAlignment="1">
      <alignment horizontal="center" vertical="center" textRotation="90"/>
    </xf>
    <xf numFmtId="0" fontId="12" fillId="11" borderId="0" xfId="0" applyFont="1" applyFill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DFFEB"/>
      <color rgb="FFA9EBE9"/>
      <color rgb="FFBDD8FF"/>
      <color rgb="FFD9F7CD"/>
      <color rgb="FFFFE0B3"/>
      <color rgb="FFEFE5F7"/>
      <color rgb="FFD5B8EA"/>
      <color rgb="FFBA8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686BC-B95E-4C2F-A102-ECF11FB4E5A2}">
  <dimension ref="A1:FT46"/>
  <sheetViews>
    <sheetView zoomScale="70" zoomScaleNormal="70" workbookViewId="0">
      <pane xSplit="5" ySplit="4" topLeftCell="M5" activePane="bottomRight" state="frozen"/>
      <selection pane="topRight" activeCell="F1" sqref="F1"/>
      <selection pane="bottomLeft" activeCell="A5" sqref="A5"/>
      <selection pane="bottomRight" activeCell="S20" sqref="S20"/>
    </sheetView>
  </sheetViews>
  <sheetFormatPr defaultRowHeight="14" x14ac:dyDescent="0.3"/>
  <cols>
    <col min="1" max="1" width="5.5" style="12" customWidth="1"/>
    <col min="2" max="2" width="24.08203125" style="13" customWidth="1"/>
    <col min="3" max="3" width="9.25" style="12" bestFit="1" customWidth="1"/>
    <col min="4" max="4" width="14.58203125" style="12" bestFit="1" customWidth="1"/>
    <col min="5" max="5" width="8.08203125" style="13" bestFit="1" customWidth="1"/>
    <col min="6" max="6" width="1.4140625" customWidth="1"/>
    <col min="7" max="23" width="3.33203125" bestFit="1" customWidth="1"/>
    <col min="24" max="24" width="3.25" bestFit="1" customWidth="1"/>
    <col min="25" max="25" width="3.33203125" bestFit="1" customWidth="1"/>
    <col min="26" max="27" width="2.08203125" bestFit="1" customWidth="1"/>
    <col min="28" max="28" width="3.25" bestFit="1" customWidth="1"/>
    <col min="29" max="32" width="2.08203125" bestFit="1" customWidth="1"/>
    <col min="33" max="54" width="3.33203125" bestFit="1" customWidth="1"/>
    <col min="55" max="56" width="2.08203125" bestFit="1" customWidth="1"/>
    <col min="57" max="57" width="3.25" bestFit="1" customWidth="1"/>
    <col min="58" max="62" width="2.08203125" bestFit="1" customWidth="1"/>
    <col min="63" max="84" width="3.33203125" bestFit="1" customWidth="1"/>
    <col min="85" max="93" width="2.08203125" bestFit="1" customWidth="1"/>
    <col min="94" max="115" width="3.33203125" bestFit="1" customWidth="1"/>
    <col min="116" max="116" width="3.58203125" bestFit="1" customWidth="1"/>
    <col min="117" max="120" width="2.08203125" bestFit="1" customWidth="1"/>
    <col min="121" max="121" width="4.33203125" bestFit="1" customWidth="1"/>
    <col min="122" max="124" width="2.08203125" bestFit="1" customWidth="1"/>
    <col min="125" max="146" width="3.33203125" bestFit="1" customWidth="1"/>
    <col min="147" max="148" width="2.08203125" bestFit="1" customWidth="1"/>
    <col min="149" max="149" width="4.33203125" bestFit="1" customWidth="1"/>
    <col min="150" max="155" width="2.08203125" bestFit="1" customWidth="1"/>
    <col min="156" max="176" width="3.33203125" bestFit="1" customWidth="1"/>
  </cols>
  <sheetData>
    <row r="1" spans="1:176" ht="28" x14ac:dyDescent="0.3">
      <c r="A1" s="6" t="s">
        <v>14</v>
      </c>
      <c r="B1" s="6" t="s">
        <v>15</v>
      </c>
      <c r="C1" s="6" t="s">
        <v>16</v>
      </c>
      <c r="D1" s="7" t="s">
        <v>17</v>
      </c>
      <c r="E1" s="6" t="s">
        <v>18</v>
      </c>
      <c r="G1" s="80" t="s">
        <v>21</v>
      </c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  <c r="W1" s="80"/>
      <c r="X1" s="81" t="s">
        <v>22</v>
      </c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0" t="s">
        <v>23</v>
      </c>
      <c r="BD1" s="80"/>
      <c r="BE1" s="80"/>
      <c r="BF1" s="80"/>
      <c r="BG1" s="80"/>
      <c r="BH1" s="80"/>
      <c r="BI1" s="80"/>
      <c r="BJ1" s="80"/>
      <c r="BK1" s="80"/>
      <c r="BL1" s="80"/>
      <c r="BM1" s="80"/>
      <c r="BN1" s="80"/>
      <c r="BO1" s="80"/>
      <c r="BP1" s="80"/>
      <c r="BQ1" s="80"/>
      <c r="BR1" s="80"/>
      <c r="BS1" s="80"/>
      <c r="BT1" s="80"/>
      <c r="BU1" s="80"/>
      <c r="BV1" s="80"/>
      <c r="BW1" s="80"/>
      <c r="BX1" s="80"/>
      <c r="BY1" s="80"/>
      <c r="BZ1" s="80"/>
      <c r="CA1" s="80"/>
      <c r="CB1" s="80"/>
      <c r="CC1" s="80"/>
      <c r="CD1" s="80"/>
      <c r="CE1" s="80"/>
      <c r="CF1" s="80"/>
      <c r="CG1" s="81" t="s">
        <v>24</v>
      </c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0" t="s">
        <v>19</v>
      </c>
      <c r="DM1" s="80"/>
      <c r="DN1" s="80"/>
      <c r="DO1" s="80"/>
      <c r="DP1" s="80"/>
      <c r="DQ1" s="80"/>
      <c r="DR1" s="80"/>
      <c r="DS1" s="80"/>
      <c r="DT1" s="80"/>
      <c r="DU1" s="80"/>
      <c r="DV1" s="80"/>
      <c r="DW1" s="80"/>
      <c r="DX1" s="80"/>
      <c r="DY1" s="80"/>
      <c r="DZ1" s="80"/>
      <c r="EA1" s="80"/>
      <c r="EB1" s="80"/>
      <c r="EC1" s="80"/>
      <c r="ED1" s="80"/>
      <c r="EE1" s="80"/>
      <c r="EF1" s="80"/>
      <c r="EG1" s="80"/>
      <c r="EH1" s="80"/>
      <c r="EI1" s="80"/>
      <c r="EJ1" s="80"/>
      <c r="EK1" s="80"/>
      <c r="EL1" s="80"/>
      <c r="EM1" s="80"/>
      <c r="EN1" s="80"/>
      <c r="EO1" s="80"/>
      <c r="EP1" s="80"/>
      <c r="EQ1" s="81" t="s">
        <v>20</v>
      </c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/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</row>
    <row r="2" spans="1:176" x14ac:dyDescent="0.3">
      <c r="A2" s="6"/>
      <c r="B2" s="6"/>
      <c r="C2" s="6"/>
      <c r="D2" s="7"/>
      <c r="E2" s="6"/>
      <c r="G2" s="17">
        <v>14</v>
      </c>
      <c r="H2" s="17">
        <v>15</v>
      </c>
      <c r="I2" s="17">
        <v>16</v>
      </c>
      <c r="J2" s="17">
        <v>17</v>
      </c>
      <c r="K2" s="17">
        <v>18</v>
      </c>
      <c r="L2" s="24">
        <v>19</v>
      </c>
      <c r="M2" s="24">
        <v>20</v>
      </c>
      <c r="N2" s="17">
        <v>21</v>
      </c>
      <c r="O2" s="17">
        <v>22</v>
      </c>
      <c r="P2" s="17">
        <v>23</v>
      </c>
      <c r="Q2" s="17">
        <v>24</v>
      </c>
      <c r="R2" s="17">
        <v>25</v>
      </c>
      <c r="S2" s="24">
        <v>26</v>
      </c>
      <c r="T2" s="24">
        <v>27</v>
      </c>
      <c r="U2" s="17">
        <v>28</v>
      </c>
      <c r="V2" s="17">
        <v>29</v>
      </c>
      <c r="W2" s="17">
        <v>30</v>
      </c>
      <c r="X2" s="22">
        <v>1</v>
      </c>
      <c r="Y2" s="22">
        <v>2</v>
      </c>
      <c r="Z2" s="24">
        <v>3</v>
      </c>
      <c r="AA2" s="24">
        <v>4</v>
      </c>
      <c r="AB2" s="22">
        <v>5</v>
      </c>
      <c r="AC2" s="22">
        <v>6</v>
      </c>
      <c r="AD2" s="22">
        <v>7</v>
      </c>
      <c r="AE2" s="22">
        <v>8</v>
      </c>
      <c r="AF2" s="22">
        <v>9</v>
      </c>
      <c r="AG2" s="24">
        <v>10</v>
      </c>
      <c r="AH2" s="24">
        <v>11</v>
      </c>
      <c r="AI2" s="22">
        <v>12</v>
      </c>
      <c r="AJ2" s="22">
        <v>13</v>
      </c>
      <c r="AK2" s="22">
        <v>14</v>
      </c>
      <c r="AL2" s="22">
        <v>15</v>
      </c>
      <c r="AM2" s="22">
        <v>16</v>
      </c>
      <c r="AN2" s="24">
        <v>17</v>
      </c>
      <c r="AO2" s="24">
        <v>18</v>
      </c>
      <c r="AP2" s="22">
        <v>19</v>
      </c>
      <c r="AQ2" s="22">
        <v>20</v>
      </c>
      <c r="AR2" s="22">
        <v>21</v>
      </c>
      <c r="AS2" s="22">
        <v>22</v>
      </c>
      <c r="AT2" s="22">
        <v>23</v>
      </c>
      <c r="AU2" s="24">
        <v>24</v>
      </c>
      <c r="AV2" s="24">
        <v>25</v>
      </c>
      <c r="AW2" s="22">
        <v>26</v>
      </c>
      <c r="AX2" s="22">
        <v>27</v>
      </c>
      <c r="AY2" s="22">
        <v>28</v>
      </c>
      <c r="AZ2" s="22">
        <v>29</v>
      </c>
      <c r="BA2" s="22">
        <v>30</v>
      </c>
      <c r="BB2" s="24">
        <v>31</v>
      </c>
      <c r="BC2" s="24">
        <v>1</v>
      </c>
      <c r="BD2" s="17">
        <v>2</v>
      </c>
      <c r="BE2" s="17">
        <v>3</v>
      </c>
      <c r="BF2" s="17">
        <v>4</v>
      </c>
      <c r="BG2" s="17">
        <v>5</v>
      </c>
      <c r="BH2" s="17">
        <v>6</v>
      </c>
      <c r="BI2" s="24">
        <v>7</v>
      </c>
      <c r="BJ2" s="24">
        <v>8</v>
      </c>
      <c r="BK2" s="17">
        <v>9</v>
      </c>
      <c r="BL2" s="17">
        <v>10</v>
      </c>
      <c r="BM2" s="17">
        <v>11</v>
      </c>
      <c r="BN2" s="17">
        <v>12</v>
      </c>
      <c r="BO2" s="17">
        <v>13</v>
      </c>
      <c r="BP2" s="24">
        <v>14</v>
      </c>
      <c r="BQ2" s="24">
        <v>15</v>
      </c>
      <c r="BR2" s="17">
        <v>16</v>
      </c>
      <c r="BS2" s="17">
        <v>17</v>
      </c>
      <c r="BT2" s="17">
        <v>18</v>
      </c>
      <c r="BU2" s="17">
        <v>19</v>
      </c>
      <c r="BV2" s="17">
        <v>20</v>
      </c>
      <c r="BW2" s="24">
        <v>21</v>
      </c>
      <c r="BX2" s="24">
        <v>22</v>
      </c>
      <c r="BY2" s="17">
        <v>23</v>
      </c>
      <c r="BZ2" s="17">
        <v>24</v>
      </c>
      <c r="CA2" s="17">
        <v>25</v>
      </c>
      <c r="CB2" s="17">
        <v>26</v>
      </c>
      <c r="CC2" s="17">
        <v>27</v>
      </c>
      <c r="CD2" s="24">
        <v>28</v>
      </c>
      <c r="CE2" s="24">
        <v>29</v>
      </c>
      <c r="CF2" s="17">
        <v>30</v>
      </c>
      <c r="CG2" s="22">
        <v>1</v>
      </c>
      <c r="CH2" s="22">
        <v>2</v>
      </c>
      <c r="CI2" s="22">
        <v>3</v>
      </c>
      <c r="CJ2" s="22">
        <v>4</v>
      </c>
      <c r="CK2" s="24">
        <v>5</v>
      </c>
      <c r="CL2" s="24">
        <v>6</v>
      </c>
      <c r="CM2" s="22">
        <v>7</v>
      </c>
      <c r="CN2" s="22">
        <v>8</v>
      </c>
      <c r="CO2" s="22">
        <v>9</v>
      </c>
      <c r="CP2" s="22">
        <v>10</v>
      </c>
      <c r="CQ2" s="22">
        <v>11</v>
      </c>
      <c r="CR2" s="24">
        <v>12</v>
      </c>
      <c r="CS2" s="24">
        <v>13</v>
      </c>
      <c r="CT2" s="22">
        <v>14</v>
      </c>
      <c r="CU2" s="22">
        <v>15</v>
      </c>
      <c r="CV2" s="22">
        <v>16</v>
      </c>
      <c r="CW2" s="22">
        <v>17</v>
      </c>
      <c r="CX2" s="22">
        <v>18</v>
      </c>
      <c r="CY2" s="24">
        <v>19</v>
      </c>
      <c r="CZ2" s="24">
        <v>20</v>
      </c>
      <c r="DA2" s="22">
        <v>21</v>
      </c>
      <c r="DB2" s="22">
        <v>22</v>
      </c>
      <c r="DC2" s="22">
        <v>23</v>
      </c>
      <c r="DD2" s="22">
        <v>24</v>
      </c>
      <c r="DE2" s="22">
        <v>25</v>
      </c>
      <c r="DF2" s="24">
        <v>26</v>
      </c>
      <c r="DG2" s="24">
        <v>27</v>
      </c>
      <c r="DH2" s="22">
        <v>28</v>
      </c>
      <c r="DI2" s="22">
        <v>29</v>
      </c>
      <c r="DJ2" s="22">
        <v>30</v>
      </c>
      <c r="DK2" s="22">
        <v>31</v>
      </c>
      <c r="DL2" s="17">
        <v>1</v>
      </c>
      <c r="DM2" s="24">
        <v>2</v>
      </c>
      <c r="DN2" s="24">
        <v>3</v>
      </c>
      <c r="DO2" s="17">
        <v>4</v>
      </c>
      <c r="DP2" s="17">
        <v>5</v>
      </c>
      <c r="DQ2" s="17">
        <v>6</v>
      </c>
      <c r="DR2" s="17">
        <v>7</v>
      </c>
      <c r="DS2" s="17">
        <v>8</v>
      </c>
      <c r="DT2" s="24">
        <v>9</v>
      </c>
      <c r="DU2" s="24">
        <v>10</v>
      </c>
      <c r="DV2" s="17">
        <v>11</v>
      </c>
      <c r="DW2" s="17">
        <v>12</v>
      </c>
      <c r="DX2" s="17">
        <v>13</v>
      </c>
      <c r="DY2" s="17">
        <v>14</v>
      </c>
      <c r="DZ2" s="17">
        <v>15</v>
      </c>
      <c r="EA2" s="24">
        <v>16</v>
      </c>
      <c r="EB2" s="24">
        <v>17</v>
      </c>
      <c r="EC2" s="17">
        <v>18</v>
      </c>
      <c r="ED2" s="17">
        <v>19</v>
      </c>
      <c r="EE2" s="17">
        <v>20</v>
      </c>
      <c r="EF2" s="17">
        <v>21</v>
      </c>
      <c r="EG2" s="17">
        <v>22</v>
      </c>
      <c r="EH2" s="24">
        <v>23</v>
      </c>
      <c r="EI2" s="24">
        <v>24</v>
      </c>
      <c r="EJ2" s="17">
        <v>25</v>
      </c>
      <c r="EK2" s="17">
        <v>26</v>
      </c>
      <c r="EL2" s="17">
        <v>27</v>
      </c>
      <c r="EM2" s="17">
        <v>28</v>
      </c>
      <c r="EN2" s="17">
        <v>29</v>
      </c>
      <c r="EO2" s="24">
        <v>30</v>
      </c>
      <c r="EP2" s="24">
        <v>31</v>
      </c>
      <c r="EQ2" s="22">
        <v>1</v>
      </c>
      <c r="ER2" s="22">
        <v>2</v>
      </c>
      <c r="ES2" s="22">
        <v>3</v>
      </c>
      <c r="ET2" s="22">
        <v>4</v>
      </c>
      <c r="EU2" s="22">
        <v>5</v>
      </c>
      <c r="EV2" s="24">
        <v>6</v>
      </c>
      <c r="EW2" s="24">
        <v>7</v>
      </c>
      <c r="EX2" s="22">
        <v>8</v>
      </c>
      <c r="EY2" s="22">
        <v>9</v>
      </c>
      <c r="EZ2" s="22">
        <v>10</v>
      </c>
      <c r="FA2" s="22">
        <v>11</v>
      </c>
      <c r="FB2" s="22">
        <v>12</v>
      </c>
      <c r="FC2" s="24">
        <v>13</v>
      </c>
      <c r="FD2" s="24">
        <v>14</v>
      </c>
      <c r="FE2" s="22">
        <v>15</v>
      </c>
      <c r="FF2" s="22">
        <v>16</v>
      </c>
      <c r="FG2" s="22">
        <v>17</v>
      </c>
      <c r="FH2" s="22">
        <v>18</v>
      </c>
      <c r="FI2" s="22">
        <v>19</v>
      </c>
      <c r="FJ2" s="24">
        <v>20</v>
      </c>
      <c r="FK2" s="24">
        <v>21</v>
      </c>
      <c r="FL2" s="22">
        <v>22</v>
      </c>
      <c r="FM2" s="22">
        <v>23</v>
      </c>
      <c r="FN2" s="22">
        <v>24</v>
      </c>
      <c r="FO2" s="22">
        <v>25</v>
      </c>
      <c r="FP2" s="22">
        <v>26</v>
      </c>
      <c r="FQ2" s="24">
        <v>27</v>
      </c>
      <c r="FR2" s="24">
        <v>28</v>
      </c>
      <c r="FS2" s="22">
        <v>29</v>
      </c>
      <c r="FT2" s="22">
        <v>30</v>
      </c>
    </row>
    <row r="3" spans="1:176" x14ac:dyDescent="0.3">
      <c r="A3" s="6"/>
      <c r="B3" s="6"/>
      <c r="C3" s="6"/>
      <c r="D3" s="7"/>
      <c r="E3" s="6"/>
      <c r="G3" s="72" t="s">
        <v>27</v>
      </c>
      <c r="H3" s="73"/>
      <c r="I3" s="73"/>
      <c r="J3" s="73"/>
      <c r="K3" s="73"/>
      <c r="L3" s="73"/>
      <c r="M3" s="74"/>
      <c r="N3" s="72" t="s">
        <v>28</v>
      </c>
      <c r="O3" s="73"/>
      <c r="P3" s="73"/>
      <c r="Q3" s="73"/>
      <c r="R3" s="73"/>
      <c r="S3" s="73"/>
      <c r="T3" s="74"/>
      <c r="U3" s="82" t="s">
        <v>63</v>
      </c>
      <c r="V3" s="82"/>
      <c r="W3" s="82"/>
      <c r="X3" s="82"/>
      <c r="Y3" s="82"/>
      <c r="Z3" s="82"/>
      <c r="AA3" s="82"/>
      <c r="AB3" s="82" t="s">
        <v>29</v>
      </c>
      <c r="AC3" s="82"/>
      <c r="AD3" s="82"/>
      <c r="AE3" s="82"/>
      <c r="AF3" s="82"/>
      <c r="AG3" s="82"/>
      <c r="AH3" s="82"/>
      <c r="AI3" s="82" t="s">
        <v>30</v>
      </c>
      <c r="AJ3" s="82"/>
      <c r="AK3" s="82"/>
      <c r="AL3" s="82"/>
      <c r="AM3" s="82"/>
      <c r="AN3" s="82"/>
      <c r="AO3" s="82"/>
      <c r="AP3" s="82" t="s">
        <v>31</v>
      </c>
      <c r="AQ3" s="82"/>
      <c r="AR3" s="82"/>
      <c r="AS3" s="82"/>
      <c r="AT3" s="82"/>
      <c r="AU3" s="82"/>
      <c r="AV3" s="82"/>
      <c r="AW3" s="82" t="s">
        <v>32</v>
      </c>
      <c r="AX3" s="82"/>
      <c r="AY3" s="82"/>
      <c r="AZ3" s="82"/>
      <c r="BA3" s="82"/>
      <c r="BB3" s="82"/>
      <c r="BC3" s="82"/>
      <c r="BD3" s="82" t="s">
        <v>33</v>
      </c>
      <c r="BE3" s="82"/>
      <c r="BF3" s="82"/>
      <c r="BG3" s="82"/>
      <c r="BH3" s="82"/>
      <c r="BI3" s="82"/>
      <c r="BJ3" s="82"/>
      <c r="BK3" s="72" t="s">
        <v>34</v>
      </c>
      <c r="BL3" s="73"/>
      <c r="BM3" s="73"/>
      <c r="BN3" s="73"/>
      <c r="BO3" s="73"/>
      <c r="BP3" s="73"/>
      <c r="BQ3" s="74"/>
      <c r="BR3" s="82" t="s">
        <v>35</v>
      </c>
      <c r="BS3" s="82"/>
      <c r="BT3" s="82"/>
      <c r="BU3" s="82"/>
      <c r="BV3" s="82"/>
      <c r="BW3" s="82"/>
      <c r="BX3" s="82"/>
      <c r="BY3" s="82" t="s">
        <v>36</v>
      </c>
      <c r="BZ3" s="82"/>
      <c r="CA3" s="82"/>
      <c r="CB3" s="82"/>
      <c r="CC3" s="82"/>
      <c r="CD3" s="82"/>
      <c r="CE3" s="82"/>
      <c r="CF3" s="82" t="s">
        <v>37</v>
      </c>
      <c r="CG3" s="82"/>
      <c r="CH3" s="82"/>
      <c r="CI3" s="82"/>
      <c r="CJ3" s="82"/>
      <c r="CK3" s="82"/>
      <c r="CL3" s="82"/>
      <c r="CM3" s="82" t="s">
        <v>38</v>
      </c>
      <c r="CN3" s="82"/>
      <c r="CO3" s="82"/>
      <c r="CP3" s="82"/>
      <c r="CQ3" s="82"/>
      <c r="CR3" s="82"/>
      <c r="CS3" s="82"/>
      <c r="CT3" s="82" t="s">
        <v>27</v>
      </c>
      <c r="CU3" s="82"/>
      <c r="CV3" s="82"/>
      <c r="CW3" s="82"/>
      <c r="CX3" s="82"/>
      <c r="CY3" s="82"/>
      <c r="CZ3" s="82"/>
      <c r="DA3" s="82" t="s">
        <v>28</v>
      </c>
      <c r="DB3" s="82"/>
      <c r="DC3" s="82"/>
      <c r="DD3" s="82"/>
      <c r="DE3" s="82"/>
      <c r="DF3" s="82"/>
      <c r="DG3" s="82"/>
      <c r="DH3" s="82" t="s">
        <v>25</v>
      </c>
      <c r="DI3" s="82"/>
      <c r="DJ3" s="82"/>
      <c r="DK3" s="82"/>
      <c r="DL3" s="82"/>
      <c r="DM3" s="82"/>
      <c r="DN3" s="82"/>
      <c r="DO3" s="82" t="s">
        <v>26</v>
      </c>
      <c r="DP3" s="82"/>
      <c r="DQ3" s="82"/>
      <c r="DR3" s="82"/>
      <c r="DS3" s="82"/>
      <c r="DT3" s="82"/>
      <c r="DU3" s="82"/>
      <c r="DV3" s="82" t="s">
        <v>39</v>
      </c>
      <c r="DW3" s="82"/>
      <c r="DX3" s="82"/>
      <c r="DY3" s="82"/>
      <c r="DZ3" s="82"/>
      <c r="EA3" s="82"/>
      <c r="EB3" s="82"/>
      <c r="EC3" s="82" t="s">
        <v>40</v>
      </c>
      <c r="ED3" s="82"/>
      <c r="EE3" s="82"/>
      <c r="EF3" s="82"/>
      <c r="EG3" s="82"/>
      <c r="EH3" s="82"/>
      <c r="EI3" s="82"/>
      <c r="EJ3" s="82" t="s">
        <v>41</v>
      </c>
      <c r="EK3" s="82"/>
      <c r="EL3" s="82"/>
      <c r="EM3" s="82"/>
      <c r="EN3" s="82"/>
      <c r="EO3" s="82"/>
      <c r="EP3" s="82"/>
      <c r="EQ3" s="82" t="s">
        <v>42</v>
      </c>
      <c r="ER3" s="82"/>
      <c r="ES3" s="82"/>
      <c r="ET3" s="82"/>
      <c r="EU3" s="82"/>
      <c r="EV3" s="82"/>
      <c r="EW3" s="82"/>
      <c r="EX3" s="72" t="s">
        <v>43</v>
      </c>
      <c r="EY3" s="73"/>
      <c r="EZ3" s="73"/>
      <c r="FA3" s="73"/>
      <c r="FB3" s="73"/>
      <c r="FC3" s="73"/>
      <c r="FD3" s="74"/>
      <c r="FE3" s="82" t="s">
        <v>44</v>
      </c>
      <c r="FF3" s="82"/>
      <c r="FG3" s="82"/>
      <c r="FH3" s="82"/>
      <c r="FI3" s="82"/>
      <c r="FJ3" s="82"/>
      <c r="FK3" s="82"/>
      <c r="FL3" s="82" t="s">
        <v>45</v>
      </c>
      <c r="FM3" s="82"/>
      <c r="FN3" s="82"/>
      <c r="FO3" s="82"/>
      <c r="FP3" s="82"/>
      <c r="FQ3" s="82"/>
      <c r="FR3" s="82"/>
      <c r="FS3" s="82" t="s">
        <v>46</v>
      </c>
      <c r="FT3" s="82"/>
    </row>
    <row r="4" spans="1:176" x14ac:dyDescent="0.3">
      <c r="A4" s="70" t="s">
        <v>55</v>
      </c>
      <c r="B4" s="70"/>
      <c r="C4" s="70"/>
      <c r="D4" s="70"/>
      <c r="E4" s="70"/>
      <c r="G4" s="75" t="s">
        <v>47</v>
      </c>
      <c r="H4" s="75"/>
      <c r="I4" s="75"/>
      <c r="J4" s="75"/>
      <c r="K4" s="75"/>
      <c r="L4" s="75"/>
      <c r="M4" s="75"/>
      <c r="N4" s="75" t="s">
        <v>48</v>
      </c>
      <c r="O4" s="75"/>
      <c r="P4" s="75"/>
      <c r="Q4" s="75"/>
      <c r="R4" s="75"/>
      <c r="S4" s="75"/>
      <c r="T4" s="75"/>
      <c r="U4" s="75" t="s">
        <v>49</v>
      </c>
      <c r="V4" s="75"/>
      <c r="W4" s="75"/>
      <c r="X4" s="75"/>
      <c r="Y4" s="75"/>
      <c r="Z4" s="75"/>
      <c r="AA4" s="75"/>
      <c r="AB4" s="83" t="s">
        <v>50</v>
      </c>
      <c r="AC4" s="83"/>
      <c r="AD4" s="83"/>
      <c r="AE4" s="83"/>
      <c r="AF4" s="83"/>
      <c r="AG4" s="83"/>
      <c r="AH4" s="83"/>
      <c r="AI4" s="75" t="s">
        <v>51</v>
      </c>
      <c r="AJ4" s="75"/>
      <c r="AK4" s="75"/>
      <c r="AL4" s="75"/>
      <c r="AM4" s="75"/>
      <c r="AN4" s="75"/>
      <c r="AO4" s="75"/>
      <c r="AP4" s="75" t="s">
        <v>47</v>
      </c>
      <c r="AQ4" s="75"/>
      <c r="AR4" s="75"/>
      <c r="AS4" s="75"/>
      <c r="AT4" s="75"/>
      <c r="AU4" s="75"/>
      <c r="AV4" s="75"/>
      <c r="AW4" s="75" t="s">
        <v>48</v>
      </c>
      <c r="AX4" s="75"/>
      <c r="AY4" s="75"/>
      <c r="AZ4" s="75"/>
      <c r="BA4" s="75"/>
      <c r="BB4" s="75"/>
      <c r="BC4" s="75"/>
      <c r="BD4" s="75" t="s">
        <v>50</v>
      </c>
      <c r="BE4" s="75"/>
      <c r="BF4" s="75"/>
      <c r="BG4" s="75"/>
      <c r="BH4" s="75"/>
      <c r="BI4" s="75"/>
      <c r="BJ4" s="75"/>
      <c r="BK4" s="84" t="s">
        <v>51</v>
      </c>
      <c r="BL4" s="85"/>
      <c r="BM4" s="85"/>
      <c r="BN4" s="85"/>
      <c r="BO4" s="85"/>
      <c r="BP4" s="85"/>
      <c r="BQ4" s="86"/>
      <c r="BR4" s="75" t="s">
        <v>47</v>
      </c>
      <c r="BS4" s="75"/>
      <c r="BT4" s="75"/>
      <c r="BU4" s="75"/>
      <c r="BV4" s="75"/>
      <c r="BW4" s="75"/>
      <c r="BX4" s="75"/>
      <c r="BY4" s="75" t="s">
        <v>48</v>
      </c>
      <c r="BZ4" s="75"/>
      <c r="CA4" s="75"/>
      <c r="CB4" s="75"/>
      <c r="CC4" s="75"/>
      <c r="CD4" s="75"/>
      <c r="CE4" s="75"/>
      <c r="CF4" s="75" t="s">
        <v>49</v>
      </c>
      <c r="CG4" s="75"/>
      <c r="CH4" s="75"/>
      <c r="CI4" s="75"/>
      <c r="CJ4" s="75"/>
      <c r="CK4" s="75"/>
      <c r="CL4" s="75"/>
      <c r="CM4" s="75" t="s">
        <v>50</v>
      </c>
      <c r="CN4" s="75"/>
      <c r="CO4" s="75"/>
      <c r="CP4" s="75"/>
      <c r="CQ4" s="75"/>
      <c r="CR4" s="75"/>
      <c r="CS4" s="75"/>
      <c r="CT4" s="75" t="s">
        <v>51</v>
      </c>
      <c r="CU4" s="75"/>
      <c r="CV4" s="75"/>
      <c r="CW4" s="75"/>
      <c r="CX4" s="75"/>
      <c r="CY4" s="75"/>
      <c r="CZ4" s="75"/>
      <c r="DA4" s="75" t="s">
        <v>47</v>
      </c>
      <c r="DB4" s="75"/>
      <c r="DC4" s="75"/>
      <c r="DD4" s="75"/>
      <c r="DE4" s="75"/>
      <c r="DF4" s="75"/>
      <c r="DG4" s="75"/>
      <c r="DH4" s="75" t="s">
        <v>48</v>
      </c>
      <c r="DI4" s="75"/>
      <c r="DJ4" s="75"/>
      <c r="DK4" s="75"/>
      <c r="DL4" s="75"/>
      <c r="DM4" s="75"/>
      <c r="DN4" s="75"/>
      <c r="DO4" s="75" t="s">
        <v>50</v>
      </c>
      <c r="DP4" s="75"/>
      <c r="DQ4" s="75"/>
      <c r="DR4" s="75"/>
      <c r="DS4" s="75"/>
      <c r="DT4" s="75"/>
      <c r="DU4" s="75"/>
      <c r="DV4" s="75" t="s">
        <v>51</v>
      </c>
      <c r="DW4" s="75"/>
      <c r="DX4" s="75"/>
      <c r="DY4" s="75"/>
      <c r="DZ4" s="75"/>
      <c r="EA4" s="75"/>
      <c r="EB4" s="75"/>
      <c r="EC4" s="75" t="s">
        <v>47</v>
      </c>
      <c r="ED4" s="75"/>
      <c r="EE4" s="75"/>
      <c r="EF4" s="75"/>
      <c r="EG4" s="75"/>
      <c r="EH4" s="75"/>
      <c r="EI4" s="75"/>
      <c r="EJ4" s="75" t="s">
        <v>48</v>
      </c>
      <c r="EK4" s="75"/>
      <c r="EL4" s="75"/>
      <c r="EM4" s="75"/>
      <c r="EN4" s="75"/>
      <c r="EO4" s="75"/>
      <c r="EP4" s="75"/>
      <c r="EQ4" s="75" t="s">
        <v>50</v>
      </c>
      <c r="ER4" s="75"/>
      <c r="ES4" s="75"/>
      <c r="ET4" s="75"/>
      <c r="EU4" s="75"/>
      <c r="EV4" s="75"/>
      <c r="EW4" s="75"/>
      <c r="EX4" s="84" t="s">
        <v>51</v>
      </c>
      <c r="EY4" s="85"/>
      <c r="EZ4" s="85"/>
      <c r="FA4" s="85"/>
      <c r="FB4" s="85"/>
      <c r="FC4" s="85"/>
      <c r="FD4" s="86"/>
      <c r="FE4" s="75" t="s">
        <v>47</v>
      </c>
      <c r="FF4" s="75"/>
      <c r="FG4" s="75"/>
      <c r="FH4" s="75"/>
      <c r="FI4" s="75"/>
      <c r="FJ4" s="75"/>
      <c r="FK4" s="75"/>
      <c r="FL4" s="75" t="s">
        <v>48</v>
      </c>
      <c r="FM4" s="75"/>
      <c r="FN4" s="75"/>
      <c r="FO4" s="75"/>
      <c r="FP4" s="75"/>
      <c r="FQ4" s="75"/>
      <c r="FR4" s="75"/>
      <c r="FS4" s="75" t="s">
        <v>49</v>
      </c>
      <c r="FT4" s="75"/>
    </row>
    <row r="5" spans="1:176" x14ac:dyDescent="0.3">
      <c r="A5" s="30">
        <v>1</v>
      </c>
      <c r="B5" s="9" t="s">
        <v>52</v>
      </c>
      <c r="C5" s="8">
        <f>COUNTA(AC2:AF2,AJ2,AK2,AL2)</f>
        <v>7</v>
      </c>
      <c r="D5" s="8"/>
      <c r="E5" s="14"/>
      <c r="W5" s="46" t="s">
        <v>97</v>
      </c>
      <c r="X5" s="87" t="s">
        <v>99</v>
      </c>
      <c r="Y5" s="46" t="s">
        <v>98</v>
      </c>
      <c r="AB5" s="87" t="s">
        <v>100</v>
      </c>
      <c r="AC5" s="11"/>
      <c r="AD5" s="11"/>
      <c r="AE5" s="11"/>
      <c r="AF5" s="11"/>
      <c r="AG5" s="11"/>
      <c r="AH5" s="11"/>
      <c r="AI5" s="87" t="s">
        <v>101</v>
      </c>
      <c r="AJ5" s="11"/>
      <c r="AK5" s="46" t="s">
        <v>66</v>
      </c>
      <c r="AL5" s="46" t="s">
        <v>64</v>
      </c>
      <c r="BE5" s="87" t="s">
        <v>102</v>
      </c>
      <c r="CP5" s="87" t="s">
        <v>103</v>
      </c>
      <c r="DH5" s="87" t="s">
        <v>104</v>
      </c>
      <c r="DW5" s="87" t="s">
        <v>105</v>
      </c>
    </row>
    <row r="6" spans="1:176" x14ac:dyDescent="0.3">
      <c r="A6" s="31">
        <v>2</v>
      </c>
      <c r="B6" s="9" t="s">
        <v>58</v>
      </c>
      <c r="C6" s="38">
        <f>COUNTA(AM2,AP2:AT2,AW2:BA2,BD2,BF2:BH2,BK2)</f>
        <v>16</v>
      </c>
      <c r="D6" s="8"/>
      <c r="E6" s="14"/>
      <c r="X6" s="88"/>
      <c r="AB6" s="88"/>
      <c r="AI6" s="88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46" t="s">
        <v>65</v>
      </c>
      <c r="AY6" s="23"/>
      <c r="AZ6" s="23"/>
      <c r="BA6" s="23"/>
      <c r="BB6" s="23"/>
      <c r="BC6" s="23"/>
      <c r="BD6" s="23"/>
      <c r="BE6" s="88"/>
      <c r="BF6" s="23"/>
      <c r="BG6" s="23"/>
      <c r="BH6" s="23"/>
      <c r="BI6" s="23"/>
      <c r="BJ6" s="23"/>
      <c r="BK6" s="46" t="s">
        <v>67</v>
      </c>
      <c r="CP6" s="88"/>
      <c r="DH6" s="88"/>
      <c r="DW6" s="88"/>
      <c r="EK6" s="21"/>
      <c r="EL6" s="21"/>
      <c r="EM6" s="21"/>
      <c r="EN6" s="21"/>
      <c r="EO6" s="21"/>
    </row>
    <row r="7" spans="1:176" x14ac:dyDescent="0.3">
      <c r="A7" s="32">
        <v>3</v>
      </c>
      <c r="B7" s="9" t="s">
        <v>53</v>
      </c>
      <c r="C7" s="8">
        <f>COUNTA(BM2:BO2,BR2:BV2,BY2:CC2,CF2:CJ2,CM2:CO2,CQ2,CT2:CW2)</f>
        <v>26</v>
      </c>
      <c r="D7" s="8"/>
      <c r="E7" s="14"/>
      <c r="X7" s="88"/>
      <c r="AB7" s="88"/>
      <c r="AI7" s="88"/>
      <c r="BE7" s="88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88"/>
      <c r="CQ7" s="26"/>
      <c r="CR7" s="26"/>
      <c r="CS7" s="26"/>
      <c r="CT7" s="26"/>
      <c r="CU7" s="26"/>
      <c r="CV7" s="46" t="s">
        <v>69</v>
      </c>
      <c r="CW7" s="46" t="s">
        <v>70</v>
      </c>
      <c r="DB7" s="2"/>
      <c r="DC7" s="2"/>
      <c r="DD7" s="21"/>
      <c r="DE7" s="21"/>
      <c r="DF7" s="21"/>
      <c r="DG7" s="21"/>
      <c r="DH7" s="88"/>
      <c r="DI7" s="2"/>
      <c r="DJ7" s="2"/>
      <c r="DW7" s="88"/>
    </row>
    <row r="8" spans="1:176" x14ac:dyDescent="0.3">
      <c r="A8" s="33">
        <v>4</v>
      </c>
      <c r="B8" s="36" t="s">
        <v>54</v>
      </c>
      <c r="C8" s="8">
        <f>COUNTA(CX2,DA2:DE2,DI2:DL2)</f>
        <v>10</v>
      </c>
      <c r="D8" s="8"/>
      <c r="E8" s="14"/>
      <c r="X8" s="88"/>
      <c r="AB8" s="88"/>
      <c r="AI8" s="88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88"/>
      <c r="CP8" s="88"/>
      <c r="CX8" s="27"/>
      <c r="CY8" s="27"/>
      <c r="CZ8" s="27"/>
      <c r="DA8" s="27"/>
      <c r="DB8" s="28"/>
      <c r="DC8" s="28"/>
      <c r="DD8" s="28"/>
      <c r="DE8" s="28"/>
      <c r="DF8" s="28"/>
      <c r="DG8" s="28"/>
      <c r="DH8" s="88"/>
      <c r="DI8" s="28"/>
      <c r="DJ8" s="28"/>
      <c r="DK8" s="27"/>
      <c r="DL8" s="47" t="s">
        <v>71</v>
      </c>
      <c r="DW8" s="88"/>
    </row>
    <row r="9" spans="1:176" x14ac:dyDescent="0.3">
      <c r="A9" s="34">
        <v>5</v>
      </c>
      <c r="B9" s="14" t="s">
        <v>59</v>
      </c>
      <c r="C9" s="8">
        <f>COUNTA(DO2:DQ2)</f>
        <v>3</v>
      </c>
      <c r="D9" s="8"/>
      <c r="E9" s="14"/>
      <c r="X9" s="88"/>
      <c r="AB9" s="88"/>
      <c r="AI9" s="88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88"/>
      <c r="CP9" s="88"/>
      <c r="DB9" s="2"/>
      <c r="DC9" s="2"/>
      <c r="DD9" s="2"/>
      <c r="DE9" s="2"/>
      <c r="DF9" s="2"/>
      <c r="DG9" s="2"/>
      <c r="DH9" s="88"/>
      <c r="DI9" s="2"/>
      <c r="DJ9" s="2"/>
      <c r="DO9" s="3"/>
      <c r="DP9" s="3"/>
      <c r="DQ9" s="46" t="s">
        <v>72</v>
      </c>
      <c r="DW9" s="88"/>
    </row>
    <row r="10" spans="1:176" x14ac:dyDescent="0.3">
      <c r="A10" s="35">
        <v>6</v>
      </c>
      <c r="B10" s="14" t="s">
        <v>74</v>
      </c>
      <c r="C10" s="8">
        <f>COUNTA(DR2:DS2,DV2,DX2:DZ2,EC2:EG2,EJ2:EL2)</f>
        <v>14</v>
      </c>
      <c r="D10" s="8"/>
      <c r="E10" s="14"/>
      <c r="X10" s="88"/>
      <c r="AB10" s="88"/>
      <c r="AI10" s="88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88"/>
      <c r="CP10" s="88"/>
      <c r="DB10" s="2"/>
      <c r="DC10" s="2"/>
      <c r="DD10" s="2"/>
      <c r="DE10" s="2"/>
      <c r="DF10" s="2"/>
      <c r="DG10" s="2"/>
      <c r="DH10" s="88"/>
      <c r="DI10" s="2"/>
      <c r="DJ10" s="2"/>
      <c r="DR10" s="29"/>
      <c r="DS10" s="29"/>
      <c r="DT10" s="29"/>
      <c r="DU10" s="29"/>
      <c r="DV10" s="29"/>
      <c r="DW10" s="88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</row>
    <row r="11" spans="1:176" x14ac:dyDescent="0.3">
      <c r="A11" s="16">
        <v>7</v>
      </c>
      <c r="B11" s="37" t="s">
        <v>60</v>
      </c>
      <c r="C11" s="8">
        <f>COUNTA(EM2:EN2,EQ2:ES2)</f>
        <v>5</v>
      </c>
      <c r="D11" s="8"/>
      <c r="E11" s="14"/>
      <c r="X11" s="88"/>
      <c r="AB11" s="88"/>
      <c r="AI11" s="88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88"/>
      <c r="CP11" s="88"/>
      <c r="DH11" s="88"/>
      <c r="DW11" s="88"/>
      <c r="EM11" s="1"/>
      <c r="EN11" s="1"/>
      <c r="EO11" s="1"/>
      <c r="EP11" s="1"/>
      <c r="EQ11" s="1"/>
      <c r="ER11" s="1"/>
      <c r="ES11" s="46" t="s">
        <v>73</v>
      </c>
    </row>
    <row r="12" spans="1:176" x14ac:dyDescent="0.3">
      <c r="A12" s="76" t="s">
        <v>57</v>
      </c>
      <c r="B12" s="76"/>
      <c r="C12" s="52">
        <f>SUM(C5:C11)</f>
        <v>81</v>
      </c>
      <c r="D12" s="53"/>
      <c r="E12" s="54">
        <f>SUM(C5:C9)</f>
        <v>62</v>
      </c>
      <c r="X12" s="88"/>
      <c r="AB12" s="88"/>
      <c r="AI12" s="88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88"/>
      <c r="CP12" s="88"/>
      <c r="DH12" s="88"/>
      <c r="DW12" s="88"/>
      <c r="EM12" s="55"/>
      <c r="EN12" s="55"/>
      <c r="EO12" s="55"/>
      <c r="EP12" s="55"/>
      <c r="EQ12" s="55"/>
      <c r="ER12" s="55"/>
      <c r="ES12" s="56"/>
    </row>
    <row r="13" spans="1:176" x14ac:dyDescent="0.3">
      <c r="X13" s="88"/>
      <c r="AB13" s="88"/>
      <c r="AI13" s="88"/>
      <c r="BE13" s="88"/>
      <c r="CP13" s="88"/>
      <c r="DH13" s="88"/>
      <c r="DW13" s="88"/>
    </row>
    <row r="14" spans="1:176" x14ac:dyDescent="0.3">
      <c r="A14" s="77" t="s">
        <v>68</v>
      </c>
      <c r="B14" s="78"/>
      <c r="C14" s="78"/>
      <c r="D14" s="78"/>
      <c r="E14" s="79"/>
      <c r="G14" s="18"/>
      <c r="H14" s="18"/>
      <c r="I14" s="18"/>
      <c r="X14" s="88"/>
      <c r="AB14" s="88"/>
      <c r="AI14" s="88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88"/>
      <c r="CP14" s="88"/>
      <c r="DH14" s="88"/>
      <c r="DW14" s="88"/>
    </row>
    <row r="15" spans="1:176" x14ac:dyDescent="0.3">
      <c r="A15" s="30">
        <v>1</v>
      </c>
      <c r="B15" s="9" t="s">
        <v>52</v>
      </c>
      <c r="C15" s="8">
        <f>COUNTA(AC2:AF2,AJ2,AK2,AL2)</f>
        <v>7</v>
      </c>
      <c r="D15" s="8"/>
      <c r="E15" s="14"/>
      <c r="G15" s="19"/>
      <c r="H15" s="19"/>
      <c r="I15" s="19"/>
      <c r="X15" s="88"/>
      <c r="AB15" s="88"/>
      <c r="AI15" s="88"/>
      <c r="BE15" s="88"/>
      <c r="CP15" s="88"/>
      <c r="DH15" s="88"/>
      <c r="DW15" s="88"/>
    </row>
    <row r="16" spans="1:176" x14ac:dyDescent="0.3">
      <c r="A16" s="31">
        <v>2</v>
      </c>
      <c r="B16" s="9" t="s">
        <v>58</v>
      </c>
      <c r="C16" s="8">
        <f>COUNTA(AM2,AP2:AT2,AW2:BA2,BD2,BF2:BH2,BK2)</f>
        <v>16</v>
      </c>
      <c r="D16" s="8"/>
      <c r="E16" s="14"/>
      <c r="W16" s="46" t="s">
        <v>97</v>
      </c>
      <c r="X16" s="88"/>
      <c r="Y16" s="46" t="s">
        <v>98</v>
      </c>
      <c r="AB16" s="88"/>
      <c r="AC16" s="11"/>
      <c r="AD16" s="11"/>
      <c r="AE16" s="11"/>
      <c r="AF16" s="11"/>
      <c r="AG16" s="11"/>
      <c r="AH16" s="11"/>
      <c r="AI16" s="88"/>
      <c r="AJ16" s="11"/>
      <c r="AK16" s="46" t="s">
        <v>66</v>
      </c>
      <c r="AL16" s="46" t="s">
        <v>64</v>
      </c>
      <c r="AP16" s="42"/>
      <c r="AQ16" s="43"/>
      <c r="AR16" s="44"/>
      <c r="AS16" s="44"/>
      <c r="AT16" s="44"/>
      <c r="AU16" s="44"/>
      <c r="AV16" s="44"/>
      <c r="AW16" s="45"/>
      <c r="AX16" s="46" t="s">
        <v>65</v>
      </c>
      <c r="AY16" s="25"/>
      <c r="AZ16" s="25"/>
      <c r="BA16" s="25"/>
      <c r="BB16" s="23"/>
      <c r="BC16" s="23"/>
      <c r="BD16" s="25"/>
      <c r="BE16" s="88"/>
      <c r="BF16" s="23"/>
      <c r="BG16" s="23"/>
      <c r="BH16" s="23"/>
      <c r="BI16" s="23"/>
      <c r="BJ16" s="23"/>
      <c r="BK16" s="46" t="s">
        <v>67</v>
      </c>
      <c r="CP16" s="88"/>
      <c r="DH16" s="88"/>
      <c r="DW16" s="88"/>
    </row>
    <row r="17" spans="1:149" x14ac:dyDescent="0.3">
      <c r="A17" s="32">
        <v>3</v>
      </c>
      <c r="B17" s="9" t="s">
        <v>53</v>
      </c>
      <c r="C17" s="8">
        <f>COUNTA(BL2:BM2,BS2:BV2,BY2:CC2,CF2:CJ2,CM2:CO2,CQ2,CT2:CW2)</f>
        <v>24</v>
      </c>
      <c r="D17" s="8"/>
      <c r="E17" s="14"/>
      <c r="X17" s="88"/>
      <c r="AB17" s="88"/>
      <c r="AI17" s="88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88"/>
      <c r="BL17" s="26"/>
      <c r="BM17" s="26"/>
      <c r="BS17" s="39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88"/>
      <c r="CQ17" s="40"/>
      <c r="CR17" s="40"/>
      <c r="CS17" s="40"/>
      <c r="CT17" s="40"/>
      <c r="CU17" s="41"/>
      <c r="CV17" s="46" t="s">
        <v>69</v>
      </c>
      <c r="CW17" s="46" t="s">
        <v>70</v>
      </c>
      <c r="DH17" s="88"/>
      <c r="DW17" s="88"/>
    </row>
    <row r="18" spans="1:149" x14ac:dyDescent="0.3">
      <c r="A18" s="33">
        <v>4</v>
      </c>
      <c r="B18" s="36" t="s">
        <v>54</v>
      </c>
      <c r="C18" s="8">
        <f>COUNTA(CX2,DA2:DE2,DI2:DL2)</f>
        <v>10</v>
      </c>
      <c r="D18" s="8"/>
      <c r="E18" s="14"/>
      <c r="X18" s="88"/>
      <c r="AB18" s="88"/>
      <c r="AI18" s="88"/>
      <c r="BE18" s="88"/>
      <c r="CP18" s="88"/>
      <c r="CX18" s="27"/>
      <c r="CY18" s="27"/>
      <c r="CZ18" s="27"/>
      <c r="DA18" s="27"/>
      <c r="DB18" s="28"/>
      <c r="DC18" s="28"/>
      <c r="DD18" s="28"/>
      <c r="DE18" s="28"/>
      <c r="DF18" s="28"/>
      <c r="DG18" s="28"/>
      <c r="DH18" s="88"/>
      <c r="DI18" s="28"/>
      <c r="DJ18" s="28"/>
      <c r="DK18" s="27"/>
      <c r="DL18" s="47" t="s">
        <v>71</v>
      </c>
      <c r="DW18" s="88"/>
    </row>
    <row r="19" spans="1:149" x14ac:dyDescent="0.3">
      <c r="A19" s="34">
        <v>5</v>
      </c>
      <c r="B19" s="14" t="s">
        <v>59</v>
      </c>
      <c r="C19" s="8">
        <f>COUNTA(DQ2)</f>
        <v>1</v>
      </c>
      <c r="D19" s="8"/>
      <c r="E19" s="14"/>
      <c r="X19" s="88"/>
      <c r="AB19" s="88"/>
      <c r="AI19" s="88"/>
      <c r="BE19" s="88"/>
      <c r="CP19" s="88"/>
      <c r="DH19" s="88"/>
      <c r="DQ19" s="46" t="s">
        <v>72</v>
      </c>
      <c r="DW19" s="88"/>
    </row>
    <row r="20" spans="1:149" x14ac:dyDescent="0.3">
      <c r="A20" s="35">
        <v>6</v>
      </c>
      <c r="B20" s="14" t="s">
        <v>74</v>
      </c>
      <c r="C20" s="8">
        <v>0</v>
      </c>
      <c r="D20" s="8"/>
      <c r="E20" s="14"/>
      <c r="X20" s="88"/>
      <c r="AB20" s="88"/>
      <c r="AI20" s="88"/>
      <c r="BE20" s="88"/>
      <c r="CP20" s="88"/>
      <c r="DH20" s="88"/>
      <c r="DW20" s="88"/>
    </row>
    <row r="21" spans="1:149" x14ac:dyDescent="0.3">
      <c r="A21" s="48">
        <v>7</v>
      </c>
      <c r="B21" s="49" t="s">
        <v>60</v>
      </c>
      <c r="C21" s="50">
        <f>COUNTA(EM2:EN2,EQ2:ES2)</f>
        <v>5</v>
      </c>
      <c r="D21" s="50"/>
      <c r="E21" s="51"/>
      <c r="X21" s="88"/>
      <c r="AB21" s="88"/>
      <c r="AI21" s="88"/>
      <c r="BE21" s="88"/>
      <c r="CP21" s="88"/>
      <c r="DH21" s="88"/>
      <c r="DW21" s="88"/>
      <c r="EM21" s="1"/>
      <c r="EN21" s="1"/>
      <c r="EO21" s="1"/>
      <c r="EP21" s="1"/>
      <c r="EQ21" s="1"/>
      <c r="ER21" s="1"/>
      <c r="ES21" s="46" t="s">
        <v>73</v>
      </c>
    </row>
    <row r="22" spans="1:149" x14ac:dyDescent="0.3">
      <c r="A22" s="76" t="s">
        <v>57</v>
      </c>
      <c r="B22" s="76"/>
      <c r="C22" s="52">
        <f>SUM(C15:C21)</f>
        <v>63</v>
      </c>
      <c r="D22" s="53"/>
      <c r="E22" s="54">
        <f>SUM(C15:C19)</f>
        <v>58</v>
      </c>
      <c r="X22" s="88"/>
      <c r="AB22" s="88"/>
      <c r="AI22" s="88"/>
      <c r="BE22" s="88"/>
      <c r="CP22" s="88"/>
      <c r="DH22" s="88"/>
      <c r="DW22" s="88"/>
      <c r="EM22" s="55"/>
      <c r="EN22" s="55"/>
      <c r="EO22" s="55"/>
      <c r="EP22" s="55"/>
      <c r="EQ22" s="55"/>
      <c r="ER22" s="55"/>
      <c r="ES22" s="56"/>
    </row>
    <row r="23" spans="1:149" x14ac:dyDescent="0.3">
      <c r="X23" s="88"/>
      <c r="AB23" s="88"/>
      <c r="AI23" s="88"/>
      <c r="BE23" s="88"/>
      <c r="CP23" s="88"/>
      <c r="DH23" s="88"/>
      <c r="DW23" s="88"/>
    </row>
    <row r="24" spans="1:149" x14ac:dyDescent="0.3">
      <c r="X24" s="88"/>
      <c r="AB24" s="88"/>
      <c r="AI24" s="88"/>
      <c r="BE24" s="88"/>
      <c r="CP24" s="88"/>
      <c r="DH24" s="88"/>
      <c r="DW24" s="88"/>
    </row>
    <row r="25" spans="1:149" x14ac:dyDescent="0.3">
      <c r="X25" s="88"/>
      <c r="AB25" s="88"/>
      <c r="AI25" s="88"/>
      <c r="BE25" s="88"/>
      <c r="CP25" s="88"/>
      <c r="DH25" s="88"/>
      <c r="DW25" s="88"/>
    </row>
    <row r="26" spans="1:149" x14ac:dyDescent="0.3">
      <c r="X26" s="88"/>
      <c r="AB26" s="88"/>
      <c r="AI26" s="88"/>
      <c r="BE26" s="88"/>
      <c r="CP26" s="88"/>
      <c r="DH26" s="88"/>
      <c r="DW26" s="88"/>
    </row>
    <row r="27" spans="1:149" x14ac:dyDescent="0.3">
      <c r="A27" s="71" t="s">
        <v>61</v>
      </c>
      <c r="B27" s="71"/>
      <c r="C27" s="71"/>
      <c r="D27" s="71"/>
      <c r="E27" s="71"/>
      <c r="X27" s="88"/>
      <c r="AB27" s="88"/>
      <c r="AI27" s="88"/>
      <c r="BE27" s="88"/>
      <c r="CP27" s="88"/>
      <c r="DH27" s="88"/>
      <c r="DW27" s="88"/>
    </row>
    <row r="28" spans="1:149" x14ac:dyDescent="0.3">
      <c r="A28" s="31">
        <v>1</v>
      </c>
      <c r="B28" s="9" t="s">
        <v>56</v>
      </c>
      <c r="C28" s="8">
        <f>COUNTA(AP2:AT2,AW2:AX2)</f>
        <v>7</v>
      </c>
      <c r="D28" s="15"/>
      <c r="E28" s="10"/>
      <c r="X28" s="88"/>
      <c r="Y28" s="46" t="s">
        <v>98</v>
      </c>
      <c r="AB28" s="88"/>
      <c r="AI28" s="88"/>
      <c r="AP28" s="42"/>
      <c r="AQ28" s="43"/>
      <c r="AR28" s="44"/>
      <c r="AS28" s="44"/>
      <c r="AT28" s="44"/>
      <c r="AU28" s="44"/>
      <c r="AV28" s="44"/>
      <c r="AW28" s="45"/>
      <c r="AX28" s="46" t="s">
        <v>65</v>
      </c>
      <c r="BE28" s="88"/>
      <c r="CP28" s="88"/>
      <c r="DH28" s="88"/>
      <c r="DW28" s="88"/>
    </row>
    <row r="29" spans="1:149" x14ac:dyDescent="0.3">
      <c r="A29" s="32">
        <v>2</v>
      </c>
      <c r="B29" s="14" t="s">
        <v>62</v>
      </c>
      <c r="C29" s="8">
        <f>COUNTA(BS2:BV2,BY2:CC2,CF2:CJ2,CM2:CO2,CQ2,CT2:CV2)</f>
        <v>21</v>
      </c>
      <c r="D29" s="8"/>
      <c r="E29" s="14"/>
      <c r="X29" s="88"/>
      <c r="Y29" s="46" t="s">
        <v>98</v>
      </c>
      <c r="AB29" s="88"/>
      <c r="AI29" s="88"/>
      <c r="BE29" s="88"/>
      <c r="BS29" s="39"/>
      <c r="BT29" s="40"/>
      <c r="BU29" s="40"/>
      <c r="BV29" s="40"/>
      <c r="BW29" s="40"/>
      <c r="BX29" s="40"/>
      <c r="BY29" s="40"/>
      <c r="BZ29" s="40"/>
      <c r="CA29" s="40"/>
      <c r="CB29" s="40"/>
      <c r="CC29" s="40"/>
      <c r="CD29" s="40"/>
      <c r="CE29" s="40"/>
      <c r="CF29" s="40"/>
      <c r="CG29" s="40"/>
      <c r="CH29" s="40"/>
      <c r="CI29" s="40"/>
      <c r="CJ29" s="40"/>
      <c r="CK29" s="40"/>
      <c r="CL29" s="40"/>
      <c r="CM29" s="40"/>
      <c r="CN29" s="40"/>
      <c r="CO29" s="40"/>
      <c r="CP29" s="88"/>
      <c r="CQ29" s="40"/>
      <c r="CR29" s="40"/>
      <c r="CS29" s="40"/>
      <c r="CT29" s="40"/>
      <c r="CU29" s="41"/>
      <c r="CV29" s="46" t="s">
        <v>69</v>
      </c>
      <c r="DH29" s="88"/>
      <c r="DW29" s="88"/>
    </row>
    <row r="35" spans="2:3" x14ac:dyDescent="0.3">
      <c r="B35" s="4" t="s">
        <v>0</v>
      </c>
      <c r="C35" s="4" t="s">
        <v>2</v>
      </c>
    </row>
    <row r="36" spans="2:3" ht="29" x14ac:dyDescent="0.3">
      <c r="B36" s="5" t="s">
        <v>75</v>
      </c>
      <c r="C36" s="5" t="s">
        <v>86</v>
      </c>
    </row>
    <row r="37" spans="2:3" ht="43.5" x14ac:dyDescent="0.3">
      <c r="B37" s="5" t="s">
        <v>76</v>
      </c>
      <c r="C37" s="5" t="s">
        <v>87</v>
      </c>
    </row>
    <row r="38" spans="2:3" ht="29" x14ac:dyDescent="0.3">
      <c r="B38" s="5" t="s">
        <v>77</v>
      </c>
      <c r="C38" s="5" t="s">
        <v>88</v>
      </c>
    </row>
    <row r="39" spans="2:3" ht="43.5" x14ac:dyDescent="0.3">
      <c r="B39" s="5" t="s">
        <v>78</v>
      </c>
      <c r="C39" s="5" t="s">
        <v>89</v>
      </c>
    </row>
    <row r="40" spans="2:3" ht="58" x14ac:dyDescent="0.3">
      <c r="B40" s="5" t="s">
        <v>79</v>
      </c>
      <c r="C40" s="5" t="s">
        <v>90</v>
      </c>
    </row>
    <row r="41" spans="2:3" ht="29" x14ac:dyDescent="0.3">
      <c r="B41" s="5" t="s">
        <v>80</v>
      </c>
      <c r="C41" s="5" t="s">
        <v>91</v>
      </c>
    </row>
    <row r="42" spans="2:3" ht="43.5" x14ac:dyDescent="0.3">
      <c r="B42" s="5" t="s">
        <v>81</v>
      </c>
      <c r="C42" s="5" t="s">
        <v>92</v>
      </c>
    </row>
    <row r="43" spans="2:3" ht="29" x14ac:dyDescent="0.3">
      <c r="B43" s="5" t="s">
        <v>82</v>
      </c>
      <c r="C43" s="5" t="s">
        <v>93</v>
      </c>
    </row>
    <row r="44" spans="2:3" ht="14.5" x14ac:dyDescent="0.3">
      <c r="B44" s="5" t="s">
        <v>83</v>
      </c>
      <c r="C44" s="5" t="s">
        <v>94</v>
      </c>
    </row>
    <row r="45" spans="2:3" ht="29" x14ac:dyDescent="0.3">
      <c r="B45" s="5" t="s">
        <v>84</v>
      </c>
      <c r="C45" s="5" t="s">
        <v>95</v>
      </c>
    </row>
    <row r="46" spans="2:3" ht="29" x14ac:dyDescent="0.3">
      <c r="B46" s="5" t="s">
        <v>85</v>
      </c>
      <c r="C46" s="5" t="s">
        <v>96</v>
      </c>
    </row>
  </sheetData>
  <mergeCells count="68">
    <mergeCell ref="DH5:DH29"/>
    <mergeCell ref="DW5:DW29"/>
    <mergeCell ref="EC4:EI4"/>
    <mergeCell ref="EC3:EI3"/>
    <mergeCell ref="EJ4:EP4"/>
    <mergeCell ref="EJ3:EP3"/>
    <mergeCell ref="X5:X29"/>
    <mergeCell ref="AB5:AB29"/>
    <mergeCell ref="AI5:AI29"/>
    <mergeCell ref="BE5:BE29"/>
    <mergeCell ref="CP5:CP29"/>
    <mergeCell ref="EQ1:FT1"/>
    <mergeCell ref="EQ4:EW4"/>
    <mergeCell ref="EQ3:EW3"/>
    <mergeCell ref="EX4:FD4"/>
    <mergeCell ref="EX3:FD3"/>
    <mergeCell ref="FE4:FK4"/>
    <mergeCell ref="FE3:FK3"/>
    <mergeCell ref="FL4:FR4"/>
    <mergeCell ref="FL3:FR3"/>
    <mergeCell ref="FS4:FT4"/>
    <mergeCell ref="FS3:FT3"/>
    <mergeCell ref="DL1:EP1"/>
    <mergeCell ref="DH4:DN4"/>
    <mergeCell ref="DH3:DN3"/>
    <mergeCell ref="DO4:DU4"/>
    <mergeCell ref="DO3:DU3"/>
    <mergeCell ref="DV4:EB4"/>
    <mergeCell ref="DV3:EB3"/>
    <mergeCell ref="CG1:DK1"/>
    <mergeCell ref="CF4:CL4"/>
    <mergeCell ref="CF3:CL3"/>
    <mergeCell ref="CM4:CS4"/>
    <mergeCell ref="CM3:CS3"/>
    <mergeCell ref="CT4:CZ4"/>
    <mergeCell ref="CT3:CZ3"/>
    <mergeCell ref="DA4:DG4"/>
    <mergeCell ref="DA3:DG3"/>
    <mergeCell ref="BY4:CE4"/>
    <mergeCell ref="BY3:CE3"/>
    <mergeCell ref="BC1:CF1"/>
    <mergeCell ref="AW4:BC4"/>
    <mergeCell ref="AW3:BC3"/>
    <mergeCell ref="BD4:BJ4"/>
    <mergeCell ref="BD3:BJ3"/>
    <mergeCell ref="BK4:BQ4"/>
    <mergeCell ref="BK3:BQ3"/>
    <mergeCell ref="BR4:BX4"/>
    <mergeCell ref="BR3:BX3"/>
    <mergeCell ref="G1:W1"/>
    <mergeCell ref="X1:BB1"/>
    <mergeCell ref="U3:AA3"/>
    <mergeCell ref="U4:AA4"/>
    <mergeCell ref="AB3:AH3"/>
    <mergeCell ref="AB4:AH4"/>
    <mergeCell ref="AI4:AO4"/>
    <mergeCell ref="AI3:AO3"/>
    <mergeCell ref="AP4:AV4"/>
    <mergeCell ref="AP3:AV3"/>
    <mergeCell ref="A4:E4"/>
    <mergeCell ref="A27:E27"/>
    <mergeCell ref="G3:M3"/>
    <mergeCell ref="N3:T3"/>
    <mergeCell ref="G4:M4"/>
    <mergeCell ref="A12:B12"/>
    <mergeCell ref="A22:B22"/>
    <mergeCell ref="N4:T4"/>
    <mergeCell ref="A14:E14"/>
  </mergeCells>
  <pageMargins left="0.7" right="0.7" top="0.75" bottom="0.75" header="0.3" footer="0.3"/>
  <pageSetup orientation="portrait" r:id="rId1"/>
  <ignoredErrors>
    <ignoredError sqref="AI3" twoDigitTextYear="1"/>
    <ignoredError sqref="C9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31E39-D85E-408C-8BF8-52D8497B3D0C}">
  <dimension ref="A1:G206"/>
  <sheetViews>
    <sheetView zoomScale="70" zoomScaleNormal="70" workbookViewId="0">
      <selection activeCell="D9" sqref="D9"/>
    </sheetView>
  </sheetViews>
  <sheetFormatPr defaultRowHeight="14" x14ac:dyDescent="0.3"/>
  <cols>
    <col min="1" max="1" width="14.58203125" style="20" bestFit="1" customWidth="1"/>
    <col min="2" max="2" width="100.75" style="20" bestFit="1" customWidth="1"/>
    <col min="3" max="3" width="8.25" style="20" bestFit="1" customWidth="1"/>
    <col min="4" max="4" width="9.33203125" style="20" bestFit="1" customWidth="1"/>
    <col min="5" max="5" width="8.83203125" style="20" bestFit="1" customWidth="1"/>
    <col min="6" max="6" width="10.9140625" style="20" bestFit="1" customWidth="1"/>
    <col min="7" max="7" width="12.25" style="20" bestFit="1" customWidth="1"/>
  </cols>
  <sheetData>
    <row r="1" spans="1:7" x14ac:dyDescent="0.3">
      <c r="A1" s="57" t="s">
        <v>106</v>
      </c>
      <c r="B1" s="57" t="s">
        <v>0</v>
      </c>
      <c r="C1" s="57" t="s">
        <v>1</v>
      </c>
      <c r="D1" s="57" t="s">
        <v>2</v>
      </c>
      <c r="E1" s="57" t="s">
        <v>3</v>
      </c>
      <c r="F1" s="57" t="s">
        <v>107</v>
      </c>
      <c r="G1" s="57" t="s">
        <v>108</v>
      </c>
    </row>
    <row r="2" spans="1:7" ht="15.5" x14ac:dyDescent="0.3">
      <c r="A2" s="58" t="s">
        <v>109</v>
      </c>
      <c r="B2" s="58" t="s">
        <v>4</v>
      </c>
      <c r="C2" s="58" t="s">
        <v>110</v>
      </c>
      <c r="D2" s="58" t="s">
        <v>5</v>
      </c>
      <c r="E2" s="58" t="s">
        <v>96</v>
      </c>
      <c r="F2" s="59"/>
      <c r="G2" s="59"/>
    </row>
    <row r="3" spans="1:7" ht="14.5" x14ac:dyDescent="0.3">
      <c r="A3" s="60" t="s">
        <v>109</v>
      </c>
      <c r="B3" s="61" t="s">
        <v>7</v>
      </c>
      <c r="C3" s="60" t="s">
        <v>111</v>
      </c>
      <c r="D3" s="60" t="s">
        <v>86</v>
      </c>
      <c r="E3" s="60" t="s">
        <v>96</v>
      </c>
      <c r="F3" s="62"/>
      <c r="G3" s="62"/>
    </row>
    <row r="4" spans="1:7" ht="15.5" x14ac:dyDescent="0.3">
      <c r="A4" s="63" t="s">
        <v>109</v>
      </c>
      <c r="B4" s="64" t="s">
        <v>9</v>
      </c>
      <c r="C4" s="63" t="s">
        <v>112</v>
      </c>
      <c r="D4" s="63" t="s">
        <v>86</v>
      </c>
      <c r="E4" s="63" t="s">
        <v>86</v>
      </c>
      <c r="F4" s="63">
        <v>15</v>
      </c>
      <c r="G4" s="62"/>
    </row>
    <row r="5" spans="1:7" ht="15.5" x14ac:dyDescent="0.3">
      <c r="A5" s="63" t="s">
        <v>109</v>
      </c>
      <c r="B5" s="64" t="s">
        <v>10</v>
      </c>
      <c r="C5" s="63" t="s">
        <v>112</v>
      </c>
      <c r="D5" s="63" t="s">
        <v>87</v>
      </c>
      <c r="E5" s="63" t="s">
        <v>87</v>
      </c>
      <c r="F5" s="63">
        <v>16</v>
      </c>
      <c r="G5" s="62"/>
    </row>
    <row r="6" spans="1:7" ht="15.5" x14ac:dyDescent="0.3">
      <c r="A6" s="63" t="s">
        <v>109</v>
      </c>
      <c r="B6" s="65" t="s">
        <v>11</v>
      </c>
      <c r="C6" s="63" t="s">
        <v>112</v>
      </c>
      <c r="D6" s="63" t="s">
        <v>88</v>
      </c>
      <c r="E6" s="63" t="s">
        <v>88</v>
      </c>
      <c r="F6" s="63">
        <v>51</v>
      </c>
      <c r="G6" s="62"/>
    </row>
    <row r="7" spans="1:7" ht="15.5" x14ac:dyDescent="0.3">
      <c r="A7" s="63" t="s">
        <v>109</v>
      </c>
      <c r="B7" s="65" t="s">
        <v>113</v>
      </c>
      <c r="C7" s="63" t="s">
        <v>112</v>
      </c>
      <c r="D7" s="63" t="s">
        <v>89</v>
      </c>
      <c r="E7" s="63" t="s">
        <v>89</v>
      </c>
      <c r="F7" s="63">
        <v>53</v>
      </c>
      <c r="G7" s="62"/>
    </row>
    <row r="8" spans="1:7" ht="15.5" x14ac:dyDescent="0.3">
      <c r="A8" s="63" t="s">
        <v>109</v>
      </c>
      <c r="B8" s="65" t="s">
        <v>114</v>
      </c>
      <c r="C8" s="63" t="s">
        <v>112</v>
      </c>
      <c r="D8" s="63" t="s">
        <v>90</v>
      </c>
      <c r="E8" s="63" t="s">
        <v>90</v>
      </c>
      <c r="F8" s="63">
        <v>60</v>
      </c>
      <c r="G8" s="62"/>
    </row>
    <row r="9" spans="1:7" ht="15.5" x14ac:dyDescent="0.3">
      <c r="A9" s="63" t="s">
        <v>109</v>
      </c>
      <c r="B9" s="65" t="s">
        <v>115</v>
      </c>
      <c r="C9" s="63" t="s">
        <v>112</v>
      </c>
      <c r="D9" s="63" t="s">
        <v>91</v>
      </c>
      <c r="E9" s="63" t="s">
        <v>91</v>
      </c>
      <c r="F9" s="63">
        <v>85</v>
      </c>
      <c r="G9" s="62"/>
    </row>
    <row r="10" spans="1:7" ht="15.5" x14ac:dyDescent="0.3">
      <c r="A10" s="63" t="s">
        <v>109</v>
      </c>
      <c r="B10" s="64" t="s">
        <v>116</v>
      </c>
      <c r="C10" s="63" t="s">
        <v>112</v>
      </c>
      <c r="D10" s="63" t="s">
        <v>92</v>
      </c>
      <c r="E10" s="63" t="s">
        <v>92</v>
      </c>
      <c r="F10" s="63">
        <v>184</v>
      </c>
      <c r="G10" s="62"/>
    </row>
    <row r="11" spans="1:7" ht="15.5" x14ac:dyDescent="0.3">
      <c r="A11" s="63" t="s">
        <v>109</v>
      </c>
      <c r="B11" s="64" t="s">
        <v>117</v>
      </c>
      <c r="C11" s="63" t="s">
        <v>112</v>
      </c>
      <c r="D11" s="63" t="s">
        <v>93</v>
      </c>
      <c r="E11" s="63" t="s">
        <v>93</v>
      </c>
      <c r="F11" s="63">
        <v>185</v>
      </c>
      <c r="G11" s="62"/>
    </row>
    <row r="12" spans="1:7" ht="15.5" x14ac:dyDescent="0.3">
      <c r="A12" s="63" t="s">
        <v>109</v>
      </c>
      <c r="B12" s="64" t="s">
        <v>118</v>
      </c>
      <c r="C12" s="63" t="s">
        <v>112</v>
      </c>
      <c r="D12" s="63" t="s">
        <v>94</v>
      </c>
      <c r="E12" s="63" t="s">
        <v>94</v>
      </c>
      <c r="F12" s="63">
        <v>191</v>
      </c>
      <c r="G12" s="62"/>
    </row>
    <row r="13" spans="1:7" ht="15.5" x14ac:dyDescent="0.3">
      <c r="A13" s="63" t="s">
        <v>109</v>
      </c>
      <c r="B13" s="64" t="s">
        <v>119</v>
      </c>
      <c r="C13" s="63" t="s">
        <v>112</v>
      </c>
      <c r="D13" s="63" t="s">
        <v>95</v>
      </c>
      <c r="E13" s="63" t="s">
        <v>95</v>
      </c>
      <c r="F13" s="63">
        <v>195</v>
      </c>
      <c r="G13" s="62"/>
    </row>
    <row r="14" spans="1:7" ht="15.5" x14ac:dyDescent="0.3">
      <c r="A14" s="63" t="s">
        <v>109</v>
      </c>
      <c r="B14" s="64" t="s">
        <v>120</v>
      </c>
      <c r="C14" s="63" t="s">
        <v>112</v>
      </c>
      <c r="D14" s="63" t="s">
        <v>96</v>
      </c>
      <c r="E14" s="63" t="s">
        <v>96</v>
      </c>
      <c r="F14" s="63">
        <v>204</v>
      </c>
      <c r="G14" s="62"/>
    </row>
    <row r="15" spans="1:7" ht="15.5" x14ac:dyDescent="0.3">
      <c r="A15" s="60" t="s">
        <v>109</v>
      </c>
      <c r="B15" s="66" t="s">
        <v>12</v>
      </c>
      <c r="C15" s="60" t="s">
        <v>121</v>
      </c>
      <c r="D15" s="60" t="s">
        <v>5</v>
      </c>
      <c r="E15" s="60" t="s">
        <v>87</v>
      </c>
      <c r="F15" s="62"/>
      <c r="G15" s="62"/>
    </row>
    <row r="16" spans="1:7" ht="15.5" x14ac:dyDescent="0.3">
      <c r="A16" s="63" t="s">
        <v>109</v>
      </c>
      <c r="B16" s="67" t="s">
        <v>13</v>
      </c>
      <c r="C16" s="63" t="s">
        <v>122</v>
      </c>
      <c r="D16" s="63" t="s">
        <v>5</v>
      </c>
      <c r="E16" s="63" t="s">
        <v>123</v>
      </c>
      <c r="F16" s="62"/>
      <c r="G16" s="62"/>
    </row>
    <row r="17" spans="1:7" ht="15.5" x14ac:dyDescent="0.3">
      <c r="A17" s="63" t="s">
        <v>109</v>
      </c>
      <c r="B17" s="64" t="s">
        <v>9</v>
      </c>
      <c r="C17" s="63" t="s">
        <v>8</v>
      </c>
      <c r="D17" s="63" t="s">
        <v>86</v>
      </c>
      <c r="E17" s="63" t="s">
        <v>86</v>
      </c>
      <c r="F17" s="63">
        <v>14</v>
      </c>
      <c r="G17" s="62"/>
    </row>
    <row r="18" spans="1:7" ht="15.5" x14ac:dyDescent="0.3">
      <c r="A18" s="63" t="s">
        <v>109</v>
      </c>
      <c r="B18" s="64" t="s">
        <v>10</v>
      </c>
      <c r="C18" s="63" t="s">
        <v>8</v>
      </c>
      <c r="D18" s="63" t="s">
        <v>87</v>
      </c>
      <c r="E18" s="63" t="s">
        <v>87</v>
      </c>
      <c r="F18" s="63" t="s">
        <v>124</v>
      </c>
      <c r="G18" s="62"/>
    </row>
    <row r="19" spans="1:7" ht="15.5" x14ac:dyDescent="0.3">
      <c r="A19" s="60" t="s">
        <v>109</v>
      </c>
      <c r="B19" s="66" t="s">
        <v>125</v>
      </c>
      <c r="C19" s="60" t="s">
        <v>126</v>
      </c>
      <c r="D19" s="60" t="s">
        <v>127</v>
      </c>
      <c r="E19" s="60" t="s">
        <v>128</v>
      </c>
      <c r="F19" s="62"/>
      <c r="G19" s="62"/>
    </row>
    <row r="20" spans="1:7" ht="14.5" x14ac:dyDescent="0.3">
      <c r="A20" s="63" t="s">
        <v>109</v>
      </c>
      <c r="B20" s="63" t="s">
        <v>129</v>
      </c>
      <c r="C20" s="63" t="s">
        <v>8</v>
      </c>
      <c r="D20" s="63" t="s">
        <v>127</v>
      </c>
      <c r="E20" s="63" t="s">
        <v>127</v>
      </c>
      <c r="F20" s="62"/>
      <c r="G20" s="62"/>
    </row>
    <row r="21" spans="1:7" ht="14.5" x14ac:dyDescent="0.3">
      <c r="A21" s="63" t="s">
        <v>109</v>
      </c>
      <c r="B21" s="63" t="s">
        <v>130</v>
      </c>
      <c r="C21" s="63" t="s">
        <v>8</v>
      </c>
      <c r="D21" s="63" t="s">
        <v>131</v>
      </c>
      <c r="E21" s="63" t="s">
        <v>131</v>
      </c>
      <c r="F21" s="62"/>
      <c r="G21" s="62"/>
    </row>
    <row r="22" spans="1:7" ht="14.5" x14ac:dyDescent="0.3">
      <c r="A22" s="63" t="s">
        <v>109</v>
      </c>
      <c r="B22" s="63" t="s">
        <v>132</v>
      </c>
      <c r="C22" s="63" t="s">
        <v>8</v>
      </c>
      <c r="D22" s="63" t="s">
        <v>86</v>
      </c>
      <c r="E22" s="63" t="s">
        <v>86</v>
      </c>
      <c r="F22" s="62"/>
      <c r="G22" s="62"/>
    </row>
    <row r="23" spans="1:7" ht="14.5" x14ac:dyDescent="0.3">
      <c r="A23" s="63" t="s">
        <v>109</v>
      </c>
      <c r="B23" s="63" t="s">
        <v>133</v>
      </c>
      <c r="C23" s="63" t="s">
        <v>8</v>
      </c>
      <c r="D23" s="63" t="s">
        <v>134</v>
      </c>
      <c r="E23" s="63" t="s">
        <v>134</v>
      </c>
      <c r="F23" s="62"/>
      <c r="G23" s="62"/>
    </row>
    <row r="24" spans="1:7" ht="14.5" x14ac:dyDescent="0.3">
      <c r="A24" s="63" t="s">
        <v>109</v>
      </c>
      <c r="B24" s="63" t="s">
        <v>135</v>
      </c>
      <c r="C24" s="63" t="s">
        <v>8</v>
      </c>
      <c r="D24" s="63" t="s">
        <v>88</v>
      </c>
      <c r="E24" s="63" t="s">
        <v>88</v>
      </c>
      <c r="F24" s="62"/>
      <c r="G24" s="62"/>
    </row>
    <row r="25" spans="1:7" ht="14.5" x14ac:dyDescent="0.3">
      <c r="A25" s="63" t="s">
        <v>109</v>
      </c>
      <c r="B25" s="63" t="s">
        <v>136</v>
      </c>
      <c r="C25" s="63" t="s">
        <v>8</v>
      </c>
      <c r="D25" s="63" t="s">
        <v>137</v>
      </c>
      <c r="E25" s="63" t="s">
        <v>137</v>
      </c>
      <c r="F25" s="62"/>
      <c r="G25" s="62"/>
    </row>
    <row r="26" spans="1:7" ht="14.5" x14ac:dyDescent="0.3">
      <c r="A26" s="63" t="s">
        <v>109</v>
      </c>
      <c r="B26" s="63" t="s">
        <v>138</v>
      </c>
      <c r="C26" s="63" t="s">
        <v>8</v>
      </c>
      <c r="D26" s="63" t="s">
        <v>139</v>
      </c>
      <c r="E26" s="63" t="s">
        <v>139</v>
      </c>
      <c r="F26" s="62"/>
      <c r="G26" s="62"/>
    </row>
    <row r="27" spans="1:7" ht="14.5" x14ac:dyDescent="0.3">
      <c r="A27" s="63" t="s">
        <v>109</v>
      </c>
      <c r="B27" s="63" t="s">
        <v>140</v>
      </c>
      <c r="C27" s="63" t="s">
        <v>8</v>
      </c>
      <c r="D27" s="63" t="s">
        <v>141</v>
      </c>
      <c r="E27" s="63" t="s">
        <v>141</v>
      </c>
      <c r="F27" s="62"/>
      <c r="G27" s="62"/>
    </row>
    <row r="28" spans="1:7" ht="14.5" x14ac:dyDescent="0.3">
      <c r="A28" s="63" t="s">
        <v>109</v>
      </c>
      <c r="B28" s="63" t="s">
        <v>142</v>
      </c>
      <c r="C28" s="63" t="s">
        <v>8</v>
      </c>
      <c r="D28" s="63" t="s">
        <v>143</v>
      </c>
      <c r="E28" s="63" t="s">
        <v>143</v>
      </c>
      <c r="F28" s="62"/>
      <c r="G28" s="62"/>
    </row>
    <row r="29" spans="1:7" ht="14.5" x14ac:dyDescent="0.3">
      <c r="A29" s="63" t="s">
        <v>109</v>
      </c>
      <c r="B29" s="63" t="s">
        <v>144</v>
      </c>
      <c r="C29" s="63" t="s">
        <v>8</v>
      </c>
      <c r="D29" s="63" t="s">
        <v>145</v>
      </c>
      <c r="E29" s="63" t="s">
        <v>145</v>
      </c>
      <c r="F29" s="62"/>
      <c r="G29" s="62"/>
    </row>
    <row r="30" spans="1:7" ht="14.5" x14ac:dyDescent="0.3">
      <c r="A30" s="63" t="s">
        <v>109</v>
      </c>
      <c r="B30" s="63" t="s">
        <v>146</v>
      </c>
      <c r="C30" s="63" t="s">
        <v>8</v>
      </c>
      <c r="D30" s="63" t="s">
        <v>147</v>
      </c>
      <c r="E30" s="63" t="s">
        <v>147</v>
      </c>
      <c r="F30" s="62"/>
      <c r="G30" s="62"/>
    </row>
    <row r="31" spans="1:7" ht="14.5" x14ac:dyDescent="0.3">
      <c r="A31" s="63" t="s">
        <v>109</v>
      </c>
      <c r="B31" s="63" t="s">
        <v>148</v>
      </c>
      <c r="C31" s="63" t="s">
        <v>8</v>
      </c>
      <c r="D31" s="63" t="s">
        <v>149</v>
      </c>
      <c r="E31" s="63" t="s">
        <v>149</v>
      </c>
      <c r="F31" s="62"/>
      <c r="G31" s="62"/>
    </row>
    <row r="32" spans="1:7" ht="14.5" x14ac:dyDescent="0.3">
      <c r="A32" s="63" t="s">
        <v>109</v>
      </c>
      <c r="B32" s="63" t="s">
        <v>150</v>
      </c>
      <c r="C32" s="63" t="s">
        <v>8</v>
      </c>
      <c r="D32" s="63" t="s">
        <v>151</v>
      </c>
      <c r="E32" s="63" t="s">
        <v>151</v>
      </c>
      <c r="F32" s="62"/>
      <c r="G32" s="62"/>
    </row>
    <row r="33" spans="1:7" ht="14.5" x14ac:dyDescent="0.3">
      <c r="A33" s="63" t="s">
        <v>109</v>
      </c>
      <c r="B33" s="63" t="s">
        <v>152</v>
      </c>
      <c r="C33" s="63" t="s">
        <v>8</v>
      </c>
      <c r="D33" s="63" t="s">
        <v>92</v>
      </c>
      <c r="E33" s="63" t="s">
        <v>92</v>
      </c>
      <c r="F33" s="62"/>
      <c r="G33" s="62"/>
    </row>
    <row r="34" spans="1:7" ht="14.5" x14ac:dyDescent="0.3">
      <c r="A34" s="63" t="s">
        <v>109</v>
      </c>
      <c r="B34" s="63" t="s">
        <v>153</v>
      </c>
      <c r="C34" s="63" t="s">
        <v>8</v>
      </c>
      <c r="D34" s="63" t="s">
        <v>154</v>
      </c>
      <c r="E34" s="63" t="s">
        <v>154</v>
      </c>
      <c r="F34" s="62"/>
      <c r="G34" s="62"/>
    </row>
    <row r="35" spans="1:7" ht="14.5" x14ac:dyDescent="0.3">
      <c r="A35" s="63" t="s">
        <v>109</v>
      </c>
      <c r="B35" s="63" t="s">
        <v>155</v>
      </c>
      <c r="C35" s="63" t="s">
        <v>8</v>
      </c>
      <c r="D35" s="63" t="s">
        <v>156</v>
      </c>
      <c r="E35" s="63" t="s">
        <v>156</v>
      </c>
      <c r="F35" s="62"/>
      <c r="G35" s="62"/>
    </row>
    <row r="36" spans="1:7" ht="14.5" x14ac:dyDescent="0.3">
      <c r="A36" s="63" t="s">
        <v>109</v>
      </c>
      <c r="B36" s="63" t="s">
        <v>157</v>
      </c>
      <c r="C36" s="63" t="s">
        <v>8</v>
      </c>
      <c r="D36" s="63" t="s">
        <v>95</v>
      </c>
      <c r="E36" s="63" t="s">
        <v>95</v>
      </c>
      <c r="F36" s="62"/>
      <c r="G36" s="62"/>
    </row>
    <row r="37" spans="1:7" ht="14.5" x14ac:dyDescent="0.3">
      <c r="A37" s="63" t="s">
        <v>109</v>
      </c>
      <c r="B37" s="63" t="s">
        <v>158</v>
      </c>
      <c r="C37" s="63" t="s">
        <v>8</v>
      </c>
      <c r="D37" s="63" t="s">
        <v>159</v>
      </c>
      <c r="E37" s="63" t="s">
        <v>159</v>
      </c>
      <c r="F37" s="62"/>
      <c r="G37" s="62"/>
    </row>
    <row r="38" spans="1:7" ht="14.5" x14ac:dyDescent="0.3">
      <c r="A38" s="63" t="s">
        <v>109</v>
      </c>
      <c r="B38" s="63" t="s">
        <v>160</v>
      </c>
      <c r="C38" s="63" t="s">
        <v>8</v>
      </c>
      <c r="D38" s="63" t="s">
        <v>161</v>
      </c>
      <c r="E38" s="63" t="s">
        <v>161</v>
      </c>
      <c r="F38" s="62"/>
      <c r="G38" s="62"/>
    </row>
    <row r="39" spans="1:7" ht="14.5" x14ac:dyDescent="0.3">
      <c r="A39" s="63" t="s">
        <v>109</v>
      </c>
      <c r="B39" s="63" t="s">
        <v>162</v>
      </c>
      <c r="C39" s="63" t="s">
        <v>8</v>
      </c>
      <c r="D39" s="63" t="s">
        <v>128</v>
      </c>
      <c r="E39" s="63" t="s">
        <v>128</v>
      </c>
      <c r="F39" s="62"/>
      <c r="G39" s="62"/>
    </row>
    <row r="40" spans="1:7" ht="15.5" x14ac:dyDescent="0.3">
      <c r="A40" s="60" t="s">
        <v>109</v>
      </c>
      <c r="B40" s="66" t="s">
        <v>163</v>
      </c>
      <c r="C40" s="60" t="s">
        <v>164</v>
      </c>
      <c r="D40" s="60" t="s">
        <v>165</v>
      </c>
      <c r="E40" s="60" t="s">
        <v>166</v>
      </c>
      <c r="F40" s="62"/>
      <c r="G40" s="62"/>
    </row>
    <row r="41" spans="1:7" ht="14.5" x14ac:dyDescent="0.3">
      <c r="A41" s="63" t="s">
        <v>109</v>
      </c>
      <c r="B41" s="63" t="s">
        <v>167</v>
      </c>
      <c r="C41" s="63" t="s">
        <v>8</v>
      </c>
      <c r="D41" s="63" t="s">
        <v>165</v>
      </c>
      <c r="E41" s="63" t="s">
        <v>165</v>
      </c>
      <c r="F41" s="62"/>
      <c r="G41" s="62"/>
    </row>
    <row r="42" spans="1:7" ht="14.5" x14ac:dyDescent="0.3">
      <c r="A42" s="63" t="s">
        <v>109</v>
      </c>
      <c r="B42" s="63" t="s">
        <v>168</v>
      </c>
      <c r="C42" s="63" t="s">
        <v>8</v>
      </c>
      <c r="D42" s="63" t="s">
        <v>169</v>
      </c>
      <c r="E42" s="63" t="s">
        <v>169</v>
      </c>
      <c r="F42" s="62"/>
      <c r="G42" s="62"/>
    </row>
    <row r="43" spans="1:7" ht="14.5" x14ac:dyDescent="0.3">
      <c r="A43" s="63" t="s">
        <v>109</v>
      </c>
      <c r="B43" s="63" t="s">
        <v>170</v>
      </c>
      <c r="C43" s="63" t="s">
        <v>8</v>
      </c>
      <c r="D43" s="63" t="s">
        <v>171</v>
      </c>
      <c r="E43" s="63" t="s">
        <v>171</v>
      </c>
      <c r="F43" s="62"/>
      <c r="G43" s="62"/>
    </row>
    <row r="44" spans="1:7" ht="14.5" x14ac:dyDescent="0.3">
      <c r="A44" s="63" t="s">
        <v>109</v>
      </c>
      <c r="B44" s="63" t="s">
        <v>172</v>
      </c>
      <c r="C44" s="63" t="s">
        <v>8</v>
      </c>
      <c r="D44" s="63" t="s">
        <v>173</v>
      </c>
      <c r="E44" s="63" t="s">
        <v>173</v>
      </c>
      <c r="F44" s="62"/>
      <c r="G44" s="62"/>
    </row>
    <row r="45" spans="1:7" ht="14.5" x14ac:dyDescent="0.3">
      <c r="A45" s="63" t="s">
        <v>109</v>
      </c>
      <c r="B45" s="63" t="s">
        <v>174</v>
      </c>
      <c r="C45" s="63" t="s">
        <v>8</v>
      </c>
      <c r="D45" s="63" t="s">
        <v>166</v>
      </c>
      <c r="E45" s="63" t="s">
        <v>166</v>
      </c>
      <c r="F45" s="62"/>
      <c r="G45" s="62"/>
    </row>
    <row r="46" spans="1:7" ht="15.5" x14ac:dyDescent="0.3">
      <c r="A46" s="60" t="s">
        <v>109</v>
      </c>
      <c r="B46" s="66" t="s">
        <v>175</v>
      </c>
      <c r="C46" s="60" t="s">
        <v>176</v>
      </c>
      <c r="D46" s="60" t="s">
        <v>177</v>
      </c>
      <c r="E46" s="60" t="s">
        <v>89</v>
      </c>
      <c r="F46" s="62"/>
      <c r="G46" s="62"/>
    </row>
    <row r="47" spans="1:7" ht="14.5" x14ac:dyDescent="0.3">
      <c r="A47" s="63" t="s">
        <v>109</v>
      </c>
      <c r="B47" s="68" t="s">
        <v>178</v>
      </c>
      <c r="C47" s="63" t="s">
        <v>179</v>
      </c>
      <c r="D47" s="63" t="s">
        <v>177</v>
      </c>
      <c r="E47" s="63" t="s">
        <v>134</v>
      </c>
      <c r="F47" s="63" t="s">
        <v>180</v>
      </c>
      <c r="G47" s="62"/>
    </row>
    <row r="48" spans="1:7" ht="14.5" x14ac:dyDescent="0.3">
      <c r="A48" s="63" t="s">
        <v>109</v>
      </c>
      <c r="B48" s="68" t="s">
        <v>181</v>
      </c>
      <c r="C48" s="63" t="s">
        <v>179</v>
      </c>
      <c r="D48" s="63" t="s">
        <v>177</v>
      </c>
      <c r="E48" s="63" t="s">
        <v>134</v>
      </c>
      <c r="F48" s="63" t="s">
        <v>182</v>
      </c>
      <c r="G48" s="62"/>
    </row>
    <row r="49" spans="1:7" ht="14.5" x14ac:dyDescent="0.3">
      <c r="A49" s="63" t="s">
        <v>109</v>
      </c>
      <c r="B49" s="68" t="s">
        <v>183</v>
      </c>
      <c r="C49" s="63" t="s">
        <v>179</v>
      </c>
      <c r="D49" s="63" t="s">
        <v>177</v>
      </c>
      <c r="E49" s="63" t="s">
        <v>134</v>
      </c>
      <c r="F49" s="63" t="s">
        <v>182</v>
      </c>
      <c r="G49" s="62"/>
    </row>
    <row r="50" spans="1:7" ht="14.5" x14ac:dyDescent="0.3">
      <c r="A50" s="63" t="s">
        <v>109</v>
      </c>
      <c r="B50" s="68" t="s">
        <v>184</v>
      </c>
      <c r="C50" s="63" t="s">
        <v>8</v>
      </c>
      <c r="D50" s="63" t="s">
        <v>185</v>
      </c>
      <c r="E50" s="63" t="s">
        <v>185</v>
      </c>
      <c r="F50" s="63">
        <v>47</v>
      </c>
      <c r="G50" s="62"/>
    </row>
    <row r="51" spans="1:7" ht="14.5" x14ac:dyDescent="0.3">
      <c r="A51" s="63" t="s">
        <v>109</v>
      </c>
      <c r="B51" s="68" t="s">
        <v>186</v>
      </c>
      <c r="C51" s="63" t="s">
        <v>8</v>
      </c>
      <c r="D51" s="63" t="s">
        <v>187</v>
      </c>
      <c r="E51" s="63" t="s">
        <v>187</v>
      </c>
      <c r="F51" s="63">
        <v>48</v>
      </c>
      <c r="G51" s="62"/>
    </row>
    <row r="52" spans="1:7" ht="14.5" x14ac:dyDescent="0.3">
      <c r="A52" s="63" t="s">
        <v>109</v>
      </c>
      <c r="B52" s="68" t="s">
        <v>188</v>
      </c>
      <c r="C52" s="63" t="s">
        <v>8</v>
      </c>
      <c r="D52" s="63" t="s">
        <v>189</v>
      </c>
      <c r="E52" s="63" t="s">
        <v>189</v>
      </c>
      <c r="F52" s="63" t="s">
        <v>190</v>
      </c>
      <c r="G52" s="62"/>
    </row>
    <row r="53" spans="1:7" ht="15.5" x14ac:dyDescent="0.3">
      <c r="A53" s="63" t="s">
        <v>109</v>
      </c>
      <c r="B53" s="65" t="s">
        <v>11</v>
      </c>
      <c r="C53" s="63" t="s">
        <v>8</v>
      </c>
      <c r="D53" s="63" t="s">
        <v>88</v>
      </c>
      <c r="E53" s="63" t="s">
        <v>88</v>
      </c>
      <c r="F53" s="63">
        <v>50</v>
      </c>
      <c r="G53" s="62"/>
    </row>
    <row r="54" spans="1:7" ht="14.5" x14ac:dyDescent="0.3">
      <c r="A54" s="63" t="s">
        <v>109</v>
      </c>
      <c r="B54" s="63" t="s">
        <v>191</v>
      </c>
      <c r="C54" s="63" t="s">
        <v>8</v>
      </c>
      <c r="D54" s="63" t="s">
        <v>88</v>
      </c>
      <c r="E54" s="63" t="s">
        <v>88</v>
      </c>
      <c r="F54" s="63" t="s">
        <v>192</v>
      </c>
      <c r="G54" s="62"/>
    </row>
    <row r="55" spans="1:7" ht="15.5" x14ac:dyDescent="0.3">
      <c r="A55" s="63" t="s">
        <v>109</v>
      </c>
      <c r="B55" s="65" t="s">
        <v>193</v>
      </c>
      <c r="C55" s="63" t="s">
        <v>8</v>
      </c>
      <c r="D55" s="63" t="s">
        <v>89</v>
      </c>
      <c r="E55" s="63" t="s">
        <v>89</v>
      </c>
      <c r="F55" s="63">
        <v>52</v>
      </c>
      <c r="G55" s="62"/>
    </row>
    <row r="56" spans="1:7" ht="15.5" x14ac:dyDescent="0.3">
      <c r="A56" s="60" t="s">
        <v>109</v>
      </c>
      <c r="B56" s="66" t="s">
        <v>194</v>
      </c>
      <c r="C56" s="60" t="s">
        <v>195</v>
      </c>
      <c r="D56" s="60" t="s">
        <v>196</v>
      </c>
      <c r="E56" s="60" t="s">
        <v>91</v>
      </c>
      <c r="F56" s="62"/>
      <c r="G56" s="62"/>
    </row>
    <row r="57" spans="1:7" ht="15.5" x14ac:dyDescent="0.3">
      <c r="A57" s="63" t="s">
        <v>109</v>
      </c>
      <c r="B57" s="67" t="s">
        <v>197</v>
      </c>
      <c r="C57" s="63" t="s">
        <v>179</v>
      </c>
      <c r="D57" s="63" t="s">
        <v>196</v>
      </c>
      <c r="E57" s="63" t="s">
        <v>198</v>
      </c>
      <c r="F57" s="63">
        <v>53</v>
      </c>
      <c r="G57" s="62"/>
    </row>
    <row r="58" spans="1:7" ht="15.5" x14ac:dyDescent="0.3">
      <c r="A58" s="63" t="s">
        <v>109</v>
      </c>
      <c r="B58" s="67" t="s">
        <v>199</v>
      </c>
      <c r="C58" s="63" t="s">
        <v>179</v>
      </c>
      <c r="D58" s="63" t="s">
        <v>196</v>
      </c>
      <c r="E58" s="63" t="s">
        <v>198</v>
      </c>
      <c r="F58" s="63" t="s">
        <v>200</v>
      </c>
      <c r="G58" s="62"/>
    </row>
    <row r="59" spans="1:7" ht="15.5" x14ac:dyDescent="0.3">
      <c r="A59" s="63" t="s">
        <v>109</v>
      </c>
      <c r="B59" s="67" t="s">
        <v>201</v>
      </c>
      <c r="C59" s="63" t="s">
        <v>202</v>
      </c>
      <c r="D59" s="63" t="s">
        <v>196</v>
      </c>
      <c r="E59" s="63" t="s">
        <v>203</v>
      </c>
      <c r="F59" s="63" t="s">
        <v>200</v>
      </c>
      <c r="G59" s="62"/>
    </row>
    <row r="60" spans="1:7" ht="14.5" x14ac:dyDescent="0.3">
      <c r="A60" s="63" t="s">
        <v>109</v>
      </c>
      <c r="B60" s="63" t="s">
        <v>204</v>
      </c>
      <c r="C60" s="63" t="s">
        <v>8</v>
      </c>
      <c r="D60" s="63" t="s">
        <v>198</v>
      </c>
      <c r="E60" s="63" t="s">
        <v>198</v>
      </c>
      <c r="F60" s="63" t="s">
        <v>205</v>
      </c>
      <c r="G60" s="62"/>
    </row>
    <row r="61" spans="1:7" ht="14.5" x14ac:dyDescent="0.3">
      <c r="A61" s="63" t="s">
        <v>109</v>
      </c>
      <c r="B61" s="63" t="s">
        <v>206</v>
      </c>
      <c r="C61" s="63" t="s">
        <v>207</v>
      </c>
      <c r="D61" s="63" t="s">
        <v>203</v>
      </c>
      <c r="E61" s="63" t="s">
        <v>208</v>
      </c>
      <c r="F61" s="63">
        <v>58</v>
      </c>
      <c r="G61" s="62"/>
    </row>
    <row r="62" spans="1:7" ht="15.5" x14ac:dyDescent="0.3">
      <c r="A62" s="63" t="s">
        <v>109</v>
      </c>
      <c r="B62" s="65" t="s">
        <v>114</v>
      </c>
      <c r="C62" s="63" t="s">
        <v>8</v>
      </c>
      <c r="D62" s="63" t="s">
        <v>90</v>
      </c>
      <c r="E62" s="63" t="s">
        <v>90</v>
      </c>
      <c r="F62" s="63">
        <v>59</v>
      </c>
      <c r="G62" s="62"/>
    </row>
    <row r="63" spans="1:7" ht="14.5" x14ac:dyDescent="0.3">
      <c r="A63" s="60" t="s">
        <v>109</v>
      </c>
      <c r="B63" s="61" t="s">
        <v>209</v>
      </c>
      <c r="C63" s="60" t="s">
        <v>8</v>
      </c>
      <c r="D63" s="60" t="s">
        <v>139</v>
      </c>
      <c r="E63" s="60" t="s">
        <v>139</v>
      </c>
      <c r="F63" s="62"/>
      <c r="G63" s="62"/>
    </row>
    <row r="64" spans="1:7" ht="14.5" x14ac:dyDescent="0.3">
      <c r="A64" s="63" t="s">
        <v>109</v>
      </c>
      <c r="B64" s="68" t="s">
        <v>210</v>
      </c>
      <c r="C64" s="63" t="s">
        <v>8</v>
      </c>
      <c r="D64" s="63" t="s">
        <v>139</v>
      </c>
      <c r="E64" s="63" t="s">
        <v>139</v>
      </c>
      <c r="F64" s="63">
        <v>60</v>
      </c>
      <c r="G64" s="62"/>
    </row>
    <row r="65" spans="1:7" ht="14.5" x14ac:dyDescent="0.3">
      <c r="A65" s="60" t="s">
        <v>109</v>
      </c>
      <c r="B65" s="61" t="s">
        <v>211</v>
      </c>
      <c r="C65" s="60" t="s">
        <v>8</v>
      </c>
      <c r="D65" s="60" t="s">
        <v>139</v>
      </c>
      <c r="E65" s="60" t="s">
        <v>139</v>
      </c>
      <c r="F65" s="62"/>
      <c r="G65" s="62"/>
    </row>
    <row r="66" spans="1:7" ht="14.5" x14ac:dyDescent="0.3">
      <c r="A66" s="63" t="s">
        <v>109</v>
      </c>
      <c r="B66" s="68" t="s">
        <v>212</v>
      </c>
      <c r="C66" s="63" t="s">
        <v>8</v>
      </c>
      <c r="D66" s="63" t="s">
        <v>139</v>
      </c>
      <c r="E66" s="63" t="s">
        <v>139</v>
      </c>
      <c r="F66" s="63" t="s">
        <v>213</v>
      </c>
      <c r="G66" s="62"/>
    </row>
    <row r="67" spans="1:7" ht="14.5" x14ac:dyDescent="0.3">
      <c r="A67" s="60" t="s">
        <v>109</v>
      </c>
      <c r="B67" s="61" t="s">
        <v>214</v>
      </c>
      <c r="C67" s="60" t="s">
        <v>8</v>
      </c>
      <c r="D67" s="60" t="s">
        <v>139</v>
      </c>
      <c r="E67" s="60" t="s">
        <v>139</v>
      </c>
      <c r="F67" s="62"/>
      <c r="G67" s="62"/>
    </row>
    <row r="68" spans="1:7" ht="14.5" x14ac:dyDescent="0.3">
      <c r="A68" s="63" t="s">
        <v>109</v>
      </c>
      <c r="B68" s="68" t="s">
        <v>215</v>
      </c>
      <c r="C68" s="63" t="s">
        <v>8</v>
      </c>
      <c r="D68" s="63" t="s">
        <v>139</v>
      </c>
      <c r="E68" s="63" t="s">
        <v>139</v>
      </c>
      <c r="F68" s="63" t="s">
        <v>213</v>
      </c>
      <c r="G68" s="62"/>
    </row>
    <row r="69" spans="1:7" ht="14.5" x14ac:dyDescent="0.3">
      <c r="A69" s="60" t="s">
        <v>109</v>
      </c>
      <c r="B69" s="61" t="s">
        <v>216</v>
      </c>
      <c r="C69" s="60" t="s">
        <v>8</v>
      </c>
      <c r="D69" s="60" t="s">
        <v>139</v>
      </c>
      <c r="E69" s="60" t="s">
        <v>139</v>
      </c>
      <c r="F69" s="62"/>
      <c r="G69" s="62"/>
    </row>
    <row r="70" spans="1:7" ht="14.5" x14ac:dyDescent="0.3">
      <c r="A70" s="63" t="s">
        <v>109</v>
      </c>
      <c r="B70" s="68" t="s">
        <v>217</v>
      </c>
      <c r="C70" s="63" t="s">
        <v>8</v>
      </c>
      <c r="D70" s="63" t="s">
        <v>139</v>
      </c>
      <c r="E70" s="63" t="s">
        <v>139</v>
      </c>
      <c r="F70" s="63" t="s">
        <v>213</v>
      </c>
      <c r="G70" s="62"/>
    </row>
    <row r="71" spans="1:7" ht="14.5" x14ac:dyDescent="0.3">
      <c r="A71" s="60" t="s">
        <v>109</v>
      </c>
      <c r="B71" s="61" t="s">
        <v>218</v>
      </c>
      <c r="C71" s="60" t="s">
        <v>8</v>
      </c>
      <c r="D71" s="60" t="s">
        <v>139</v>
      </c>
      <c r="E71" s="60" t="s">
        <v>139</v>
      </c>
      <c r="F71" s="62"/>
      <c r="G71" s="62"/>
    </row>
    <row r="72" spans="1:7" ht="14.5" x14ac:dyDescent="0.3">
      <c r="A72" s="63" t="s">
        <v>109</v>
      </c>
      <c r="B72" s="68" t="s">
        <v>219</v>
      </c>
      <c r="C72" s="63" t="s">
        <v>8</v>
      </c>
      <c r="D72" s="63" t="s">
        <v>139</v>
      </c>
      <c r="E72" s="63" t="s">
        <v>139</v>
      </c>
      <c r="F72" s="63" t="s">
        <v>213</v>
      </c>
      <c r="G72" s="62"/>
    </row>
    <row r="73" spans="1:7" ht="14.5" x14ac:dyDescent="0.3">
      <c r="A73" s="63" t="s">
        <v>109</v>
      </c>
      <c r="B73" s="68" t="s">
        <v>220</v>
      </c>
      <c r="C73" s="63" t="s">
        <v>8</v>
      </c>
      <c r="D73" s="63" t="s">
        <v>139</v>
      </c>
      <c r="E73" s="63" t="s">
        <v>139</v>
      </c>
      <c r="F73" s="63" t="s">
        <v>213</v>
      </c>
      <c r="G73" s="62"/>
    </row>
    <row r="74" spans="1:7" ht="14.5" x14ac:dyDescent="0.3">
      <c r="A74" s="60" t="s">
        <v>109</v>
      </c>
      <c r="B74" s="61" t="s">
        <v>221</v>
      </c>
      <c r="C74" s="60" t="s">
        <v>8</v>
      </c>
      <c r="D74" s="60" t="s">
        <v>222</v>
      </c>
      <c r="E74" s="60" t="s">
        <v>222</v>
      </c>
      <c r="F74" s="62"/>
      <c r="G74" s="62"/>
    </row>
    <row r="75" spans="1:7" ht="14.5" x14ac:dyDescent="0.3">
      <c r="A75" s="63" t="s">
        <v>109</v>
      </c>
      <c r="B75" s="68" t="s">
        <v>223</v>
      </c>
      <c r="C75" s="63" t="s">
        <v>8</v>
      </c>
      <c r="D75" s="63" t="s">
        <v>222</v>
      </c>
      <c r="E75" s="63" t="s">
        <v>222</v>
      </c>
      <c r="F75" s="63">
        <v>71</v>
      </c>
      <c r="G75" s="62"/>
    </row>
    <row r="76" spans="1:7" ht="14.5" x14ac:dyDescent="0.3">
      <c r="A76" s="60" t="s">
        <v>109</v>
      </c>
      <c r="B76" s="61" t="s">
        <v>224</v>
      </c>
      <c r="C76" s="60" t="s">
        <v>8</v>
      </c>
      <c r="D76" s="60" t="s">
        <v>222</v>
      </c>
      <c r="E76" s="60" t="s">
        <v>222</v>
      </c>
      <c r="F76" s="62"/>
      <c r="G76" s="62"/>
    </row>
    <row r="77" spans="1:7" ht="14.5" x14ac:dyDescent="0.3">
      <c r="A77" s="63" t="s">
        <v>109</v>
      </c>
      <c r="B77" s="68" t="s">
        <v>225</v>
      </c>
      <c r="C77" s="63" t="s">
        <v>8</v>
      </c>
      <c r="D77" s="63" t="s">
        <v>222</v>
      </c>
      <c r="E77" s="63" t="s">
        <v>222</v>
      </c>
      <c r="F77" s="63" t="s">
        <v>226</v>
      </c>
      <c r="G77" s="62"/>
    </row>
    <row r="78" spans="1:7" ht="14.5" x14ac:dyDescent="0.3">
      <c r="A78" s="60" t="s">
        <v>109</v>
      </c>
      <c r="B78" s="61" t="s">
        <v>227</v>
      </c>
      <c r="C78" s="60" t="s">
        <v>8</v>
      </c>
      <c r="D78" s="60" t="s">
        <v>169</v>
      </c>
      <c r="E78" s="60" t="s">
        <v>169</v>
      </c>
      <c r="F78" s="62"/>
      <c r="G78" s="62"/>
    </row>
    <row r="79" spans="1:7" ht="14.5" x14ac:dyDescent="0.3">
      <c r="A79" s="63" t="s">
        <v>109</v>
      </c>
      <c r="B79" s="68" t="s">
        <v>228</v>
      </c>
      <c r="C79" s="63" t="s">
        <v>8</v>
      </c>
      <c r="D79" s="63" t="s">
        <v>169</v>
      </c>
      <c r="E79" s="63" t="s">
        <v>169</v>
      </c>
      <c r="F79" s="63">
        <v>75</v>
      </c>
      <c r="G79" s="62"/>
    </row>
    <row r="80" spans="1:7" ht="14.5" x14ac:dyDescent="0.3">
      <c r="A80" s="60" t="s">
        <v>109</v>
      </c>
      <c r="B80" s="61" t="s">
        <v>229</v>
      </c>
      <c r="C80" s="60" t="s">
        <v>8</v>
      </c>
      <c r="D80" s="60" t="s">
        <v>169</v>
      </c>
      <c r="E80" s="60" t="s">
        <v>169</v>
      </c>
      <c r="F80" s="62"/>
      <c r="G80" s="62"/>
    </row>
    <row r="81" spans="1:7" ht="14.5" x14ac:dyDescent="0.3">
      <c r="A81" s="63" t="s">
        <v>109</v>
      </c>
      <c r="B81" s="68" t="s">
        <v>230</v>
      </c>
      <c r="C81" s="63" t="s">
        <v>8</v>
      </c>
      <c r="D81" s="63" t="s">
        <v>169</v>
      </c>
      <c r="E81" s="63" t="s">
        <v>169</v>
      </c>
      <c r="F81" s="63" t="s">
        <v>231</v>
      </c>
      <c r="G81" s="62"/>
    </row>
    <row r="82" spans="1:7" ht="14.5" x14ac:dyDescent="0.3">
      <c r="A82" s="60" t="s">
        <v>109</v>
      </c>
      <c r="B82" s="61" t="s">
        <v>232</v>
      </c>
      <c r="C82" s="60" t="s">
        <v>8</v>
      </c>
      <c r="D82" s="60" t="s">
        <v>169</v>
      </c>
      <c r="E82" s="60" t="s">
        <v>169</v>
      </c>
      <c r="F82" s="62"/>
      <c r="G82" s="62"/>
    </row>
    <row r="83" spans="1:7" ht="14.5" x14ac:dyDescent="0.3">
      <c r="A83" s="63" t="s">
        <v>109</v>
      </c>
      <c r="B83" s="68" t="s">
        <v>233</v>
      </c>
      <c r="C83" s="63" t="s">
        <v>8</v>
      </c>
      <c r="D83" s="63" t="s">
        <v>169</v>
      </c>
      <c r="E83" s="63" t="s">
        <v>169</v>
      </c>
      <c r="F83" s="63" t="s">
        <v>231</v>
      </c>
      <c r="G83" s="62"/>
    </row>
    <row r="84" spans="1:7" ht="15.5" x14ac:dyDescent="0.3">
      <c r="A84" s="63" t="s">
        <v>109</v>
      </c>
      <c r="B84" s="67" t="s">
        <v>234</v>
      </c>
      <c r="C84" s="63" t="s">
        <v>202</v>
      </c>
      <c r="D84" s="63" t="s">
        <v>235</v>
      </c>
      <c r="E84" s="63" t="s">
        <v>141</v>
      </c>
      <c r="F84" s="63">
        <v>81</v>
      </c>
      <c r="G84" s="62"/>
    </row>
    <row r="85" spans="1:7" ht="15.5" x14ac:dyDescent="0.3">
      <c r="A85" s="63" t="s">
        <v>109</v>
      </c>
      <c r="B85" s="67" t="s">
        <v>236</v>
      </c>
      <c r="C85" s="63" t="s">
        <v>8</v>
      </c>
      <c r="D85" s="63" t="s">
        <v>237</v>
      </c>
      <c r="E85" s="63" t="s">
        <v>237</v>
      </c>
      <c r="F85" s="63">
        <v>82</v>
      </c>
      <c r="G85" s="62"/>
    </row>
    <row r="86" spans="1:7" ht="15.5" x14ac:dyDescent="0.3">
      <c r="A86" s="63" t="s">
        <v>109</v>
      </c>
      <c r="B86" s="67" t="s">
        <v>238</v>
      </c>
      <c r="C86" s="63" t="s">
        <v>8</v>
      </c>
      <c r="D86" s="63" t="s">
        <v>239</v>
      </c>
      <c r="E86" s="63" t="s">
        <v>239</v>
      </c>
      <c r="F86" s="63">
        <v>83</v>
      </c>
      <c r="G86" s="62"/>
    </row>
    <row r="87" spans="1:7" ht="15.5" x14ac:dyDescent="0.3">
      <c r="A87" s="63" t="s">
        <v>109</v>
      </c>
      <c r="B87" s="65" t="s">
        <v>115</v>
      </c>
      <c r="C87" s="63" t="s">
        <v>8</v>
      </c>
      <c r="D87" s="63" t="s">
        <v>91</v>
      </c>
      <c r="E87" s="63" t="s">
        <v>91</v>
      </c>
      <c r="F87" s="63">
        <v>84</v>
      </c>
      <c r="G87" s="62"/>
    </row>
    <row r="88" spans="1:7" ht="15.5" x14ac:dyDescent="0.3">
      <c r="A88" s="60" t="s">
        <v>109</v>
      </c>
      <c r="B88" s="66" t="s">
        <v>240</v>
      </c>
      <c r="C88" s="60" t="s">
        <v>241</v>
      </c>
      <c r="D88" s="60" t="s">
        <v>242</v>
      </c>
      <c r="E88" s="60" t="s">
        <v>93</v>
      </c>
      <c r="F88" s="62"/>
      <c r="G88" s="62"/>
    </row>
    <row r="89" spans="1:7" ht="15.5" x14ac:dyDescent="0.3">
      <c r="A89" s="60" t="s">
        <v>109</v>
      </c>
      <c r="B89" s="69" t="s">
        <v>243</v>
      </c>
      <c r="C89" s="60" t="s">
        <v>179</v>
      </c>
      <c r="D89" s="60" t="s">
        <v>242</v>
      </c>
      <c r="E89" s="60" t="s">
        <v>143</v>
      </c>
      <c r="F89" s="62"/>
      <c r="G89" s="62"/>
    </row>
    <row r="90" spans="1:7" ht="14.5" x14ac:dyDescent="0.3">
      <c r="A90" s="60" t="s">
        <v>109</v>
      </c>
      <c r="B90" s="61" t="s">
        <v>244</v>
      </c>
      <c r="C90" s="60" t="s">
        <v>8</v>
      </c>
      <c r="D90" s="60" t="s">
        <v>242</v>
      </c>
      <c r="E90" s="60" t="s">
        <v>242</v>
      </c>
      <c r="F90" s="62"/>
      <c r="G90" s="62"/>
    </row>
    <row r="91" spans="1:7" ht="14.5" x14ac:dyDescent="0.3">
      <c r="A91" s="63" t="s">
        <v>109</v>
      </c>
      <c r="B91" s="68" t="s">
        <v>245</v>
      </c>
      <c r="C91" s="63" t="s">
        <v>8</v>
      </c>
      <c r="D91" s="63" t="s">
        <v>242</v>
      </c>
      <c r="E91" s="63" t="s">
        <v>242</v>
      </c>
      <c r="F91" s="63">
        <v>85</v>
      </c>
      <c r="G91" s="62"/>
    </row>
    <row r="92" spans="1:7" ht="14.5" x14ac:dyDescent="0.3">
      <c r="A92" s="63" t="s">
        <v>109</v>
      </c>
      <c r="B92" s="68" t="s">
        <v>246</v>
      </c>
      <c r="C92" s="63" t="s">
        <v>8</v>
      </c>
      <c r="D92" s="63" t="s">
        <v>242</v>
      </c>
      <c r="E92" s="63" t="s">
        <v>242</v>
      </c>
      <c r="F92" s="63" t="s">
        <v>247</v>
      </c>
      <c r="G92" s="62"/>
    </row>
    <row r="93" spans="1:7" ht="14.5" x14ac:dyDescent="0.3">
      <c r="A93" s="60" t="s">
        <v>109</v>
      </c>
      <c r="B93" s="61" t="s">
        <v>248</v>
      </c>
      <c r="C93" s="60" t="s">
        <v>8</v>
      </c>
      <c r="D93" s="60" t="s">
        <v>242</v>
      </c>
      <c r="E93" s="60" t="s">
        <v>242</v>
      </c>
      <c r="F93" s="62"/>
      <c r="G93" s="62"/>
    </row>
    <row r="94" spans="1:7" ht="14.5" x14ac:dyDescent="0.3">
      <c r="A94" s="63" t="s">
        <v>109</v>
      </c>
      <c r="B94" s="68" t="s">
        <v>249</v>
      </c>
      <c r="C94" s="63" t="s">
        <v>8</v>
      </c>
      <c r="D94" s="63" t="s">
        <v>242</v>
      </c>
      <c r="E94" s="63" t="s">
        <v>242</v>
      </c>
      <c r="F94" s="63" t="s">
        <v>247</v>
      </c>
      <c r="G94" s="62"/>
    </row>
    <row r="95" spans="1:7" ht="14.5" x14ac:dyDescent="0.3">
      <c r="A95" s="63" t="s">
        <v>109</v>
      </c>
      <c r="B95" s="68" t="s">
        <v>246</v>
      </c>
      <c r="C95" s="63" t="s">
        <v>8</v>
      </c>
      <c r="D95" s="63" t="s">
        <v>242</v>
      </c>
      <c r="E95" s="63" t="s">
        <v>242</v>
      </c>
      <c r="F95" s="63" t="s">
        <v>247</v>
      </c>
      <c r="G95" s="62"/>
    </row>
    <row r="96" spans="1:7" ht="14.5" x14ac:dyDescent="0.3">
      <c r="A96" s="60" t="s">
        <v>109</v>
      </c>
      <c r="B96" s="61" t="s">
        <v>250</v>
      </c>
      <c r="C96" s="60" t="s">
        <v>8</v>
      </c>
      <c r="D96" s="60" t="s">
        <v>242</v>
      </c>
      <c r="E96" s="60" t="s">
        <v>242</v>
      </c>
      <c r="F96" s="62"/>
      <c r="G96" s="62"/>
    </row>
    <row r="97" spans="1:7" ht="14.5" x14ac:dyDescent="0.3">
      <c r="A97" s="63" t="s">
        <v>109</v>
      </c>
      <c r="B97" s="68" t="s">
        <v>251</v>
      </c>
      <c r="C97" s="63" t="s">
        <v>8</v>
      </c>
      <c r="D97" s="63" t="s">
        <v>242</v>
      </c>
      <c r="E97" s="63" t="s">
        <v>242</v>
      </c>
      <c r="F97" s="63" t="s">
        <v>247</v>
      </c>
      <c r="G97" s="62"/>
    </row>
    <row r="98" spans="1:7" ht="14.5" x14ac:dyDescent="0.3">
      <c r="A98" s="63" t="s">
        <v>109</v>
      </c>
      <c r="B98" s="68" t="s">
        <v>252</v>
      </c>
      <c r="C98" s="63" t="s">
        <v>8</v>
      </c>
      <c r="D98" s="63" t="s">
        <v>242</v>
      </c>
      <c r="E98" s="63" t="s">
        <v>242</v>
      </c>
      <c r="F98" s="63" t="s">
        <v>247</v>
      </c>
      <c r="G98" s="62"/>
    </row>
    <row r="99" spans="1:7" ht="14.5" x14ac:dyDescent="0.3">
      <c r="A99" s="60" t="s">
        <v>109</v>
      </c>
      <c r="B99" s="61" t="s">
        <v>253</v>
      </c>
      <c r="C99" s="60" t="s">
        <v>8</v>
      </c>
      <c r="D99" s="60" t="s">
        <v>242</v>
      </c>
      <c r="E99" s="60" t="s">
        <v>242</v>
      </c>
      <c r="F99" s="62"/>
      <c r="G99" s="62"/>
    </row>
    <row r="100" spans="1:7" ht="14.5" x14ac:dyDescent="0.3">
      <c r="A100" s="63" t="s">
        <v>109</v>
      </c>
      <c r="B100" s="68" t="s">
        <v>254</v>
      </c>
      <c r="C100" s="63" t="s">
        <v>8</v>
      </c>
      <c r="D100" s="63" t="s">
        <v>242</v>
      </c>
      <c r="E100" s="63" t="s">
        <v>242</v>
      </c>
      <c r="F100" s="63" t="s">
        <v>247</v>
      </c>
      <c r="G100" s="62"/>
    </row>
    <row r="101" spans="1:7" ht="14.5" x14ac:dyDescent="0.3">
      <c r="A101" s="63" t="s">
        <v>109</v>
      </c>
      <c r="B101" s="68" t="s">
        <v>255</v>
      </c>
      <c r="C101" s="63" t="s">
        <v>8</v>
      </c>
      <c r="D101" s="63" t="s">
        <v>242</v>
      </c>
      <c r="E101" s="63" t="s">
        <v>242</v>
      </c>
      <c r="F101" s="63" t="s">
        <v>247</v>
      </c>
      <c r="G101" s="62"/>
    </row>
    <row r="102" spans="1:7" ht="14.5" x14ac:dyDescent="0.3">
      <c r="A102" s="60" t="s">
        <v>109</v>
      </c>
      <c r="B102" s="61" t="s">
        <v>256</v>
      </c>
      <c r="C102" s="60" t="s">
        <v>8</v>
      </c>
      <c r="D102" s="60" t="s">
        <v>242</v>
      </c>
      <c r="E102" s="60" t="s">
        <v>242</v>
      </c>
      <c r="F102" s="62"/>
      <c r="G102" s="62"/>
    </row>
    <row r="103" spans="1:7" ht="14.5" x14ac:dyDescent="0.3">
      <c r="A103" s="63" t="s">
        <v>109</v>
      </c>
      <c r="B103" s="68" t="s">
        <v>257</v>
      </c>
      <c r="C103" s="63" t="s">
        <v>8</v>
      </c>
      <c r="D103" s="63" t="s">
        <v>242</v>
      </c>
      <c r="E103" s="63" t="s">
        <v>242</v>
      </c>
      <c r="F103" s="63" t="s">
        <v>247</v>
      </c>
      <c r="G103" s="62"/>
    </row>
    <row r="104" spans="1:7" ht="14.5" x14ac:dyDescent="0.3">
      <c r="A104" s="63" t="s">
        <v>109</v>
      </c>
      <c r="B104" s="68" t="s">
        <v>258</v>
      </c>
      <c r="C104" s="63" t="s">
        <v>8</v>
      </c>
      <c r="D104" s="63" t="s">
        <v>242</v>
      </c>
      <c r="E104" s="63" t="s">
        <v>242</v>
      </c>
      <c r="F104" s="63" t="s">
        <v>247</v>
      </c>
      <c r="G104" s="62"/>
    </row>
    <row r="105" spans="1:7" ht="14.5" x14ac:dyDescent="0.3">
      <c r="A105" s="63" t="s">
        <v>109</v>
      </c>
      <c r="B105" s="68" t="s">
        <v>259</v>
      </c>
      <c r="C105" s="63" t="s">
        <v>8</v>
      </c>
      <c r="D105" s="63" t="s">
        <v>242</v>
      </c>
      <c r="E105" s="63" t="s">
        <v>242</v>
      </c>
      <c r="F105" s="63" t="s">
        <v>247</v>
      </c>
      <c r="G105" s="62"/>
    </row>
    <row r="106" spans="1:7" ht="14.5" x14ac:dyDescent="0.3">
      <c r="A106" s="63" t="s">
        <v>109</v>
      </c>
      <c r="B106" s="68" t="s">
        <v>260</v>
      </c>
      <c r="C106" s="63" t="s">
        <v>8</v>
      </c>
      <c r="D106" s="63" t="s">
        <v>242</v>
      </c>
      <c r="E106" s="63" t="s">
        <v>242</v>
      </c>
      <c r="F106" s="63" t="s">
        <v>247</v>
      </c>
      <c r="G106" s="62"/>
    </row>
    <row r="107" spans="1:7" ht="14.5" x14ac:dyDescent="0.3">
      <c r="A107" s="60" t="s">
        <v>109</v>
      </c>
      <c r="B107" s="61" t="s">
        <v>261</v>
      </c>
      <c r="C107" s="60" t="s">
        <v>8</v>
      </c>
      <c r="D107" s="60" t="s">
        <v>143</v>
      </c>
      <c r="E107" s="60" t="s">
        <v>143</v>
      </c>
      <c r="F107" s="62"/>
      <c r="G107" s="62"/>
    </row>
    <row r="108" spans="1:7" ht="14.5" x14ac:dyDescent="0.3">
      <c r="A108" s="63" t="s">
        <v>109</v>
      </c>
      <c r="B108" s="68" t="s">
        <v>262</v>
      </c>
      <c r="C108" s="63" t="s">
        <v>8</v>
      </c>
      <c r="D108" s="63" t="s">
        <v>143</v>
      </c>
      <c r="E108" s="63" t="s">
        <v>143</v>
      </c>
      <c r="F108" s="63">
        <v>104</v>
      </c>
      <c r="G108" s="62"/>
    </row>
    <row r="109" spans="1:7" ht="14.5" x14ac:dyDescent="0.3">
      <c r="A109" s="63" t="s">
        <v>109</v>
      </c>
      <c r="B109" s="68" t="s">
        <v>263</v>
      </c>
      <c r="C109" s="63" t="s">
        <v>8</v>
      </c>
      <c r="D109" s="63" t="s">
        <v>143</v>
      </c>
      <c r="E109" s="63" t="s">
        <v>143</v>
      </c>
      <c r="F109" s="63" t="s">
        <v>264</v>
      </c>
      <c r="G109" s="62"/>
    </row>
    <row r="110" spans="1:7" ht="14.5" x14ac:dyDescent="0.3">
      <c r="A110" s="60" t="s">
        <v>109</v>
      </c>
      <c r="B110" s="61" t="s">
        <v>265</v>
      </c>
      <c r="C110" s="60" t="s">
        <v>8</v>
      </c>
      <c r="D110" s="60" t="s">
        <v>143</v>
      </c>
      <c r="E110" s="60" t="s">
        <v>143</v>
      </c>
      <c r="F110" s="62"/>
      <c r="G110" s="62"/>
    </row>
    <row r="111" spans="1:7" ht="14.5" x14ac:dyDescent="0.3">
      <c r="A111" s="63" t="s">
        <v>109</v>
      </c>
      <c r="B111" s="68" t="s">
        <v>266</v>
      </c>
      <c r="C111" s="63" t="s">
        <v>8</v>
      </c>
      <c r="D111" s="63" t="s">
        <v>143</v>
      </c>
      <c r="E111" s="63" t="s">
        <v>143</v>
      </c>
      <c r="F111" s="63" t="s">
        <v>264</v>
      </c>
      <c r="G111" s="62"/>
    </row>
    <row r="112" spans="1:7" ht="14.5" x14ac:dyDescent="0.3">
      <c r="A112" s="63" t="s">
        <v>109</v>
      </c>
      <c r="B112" s="68" t="s">
        <v>267</v>
      </c>
      <c r="C112" s="63" t="s">
        <v>8</v>
      </c>
      <c r="D112" s="63" t="s">
        <v>143</v>
      </c>
      <c r="E112" s="63" t="s">
        <v>143</v>
      </c>
      <c r="F112" s="63" t="s">
        <v>264</v>
      </c>
      <c r="G112" s="62"/>
    </row>
    <row r="113" spans="1:7" ht="14.5" x14ac:dyDescent="0.3">
      <c r="A113" s="60" t="s">
        <v>109</v>
      </c>
      <c r="B113" s="61" t="s">
        <v>268</v>
      </c>
      <c r="C113" s="60" t="s">
        <v>8</v>
      </c>
      <c r="D113" s="60" t="s">
        <v>143</v>
      </c>
      <c r="E113" s="60" t="s">
        <v>143</v>
      </c>
      <c r="F113" s="62"/>
      <c r="G113" s="62"/>
    </row>
    <row r="114" spans="1:7" ht="14.5" x14ac:dyDescent="0.3">
      <c r="A114" s="63" t="s">
        <v>109</v>
      </c>
      <c r="B114" s="68" t="s">
        <v>269</v>
      </c>
      <c r="C114" s="63" t="s">
        <v>8</v>
      </c>
      <c r="D114" s="63" t="s">
        <v>143</v>
      </c>
      <c r="E114" s="63" t="s">
        <v>143</v>
      </c>
      <c r="F114" s="63" t="s">
        <v>264</v>
      </c>
      <c r="G114" s="62"/>
    </row>
    <row r="115" spans="1:7" ht="14.5" x14ac:dyDescent="0.3">
      <c r="A115" s="63" t="s">
        <v>109</v>
      </c>
      <c r="B115" s="68" t="s">
        <v>270</v>
      </c>
      <c r="C115" s="63" t="s">
        <v>8</v>
      </c>
      <c r="D115" s="63" t="s">
        <v>143</v>
      </c>
      <c r="E115" s="63" t="s">
        <v>143</v>
      </c>
      <c r="F115" s="63" t="s">
        <v>264</v>
      </c>
      <c r="G115" s="62"/>
    </row>
    <row r="116" spans="1:7" ht="14.5" x14ac:dyDescent="0.3">
      <c r="A116" s="60" t="s">
        <v>109</v>
      </c>
      <c r="B116" s="61" t="s">
        <v>271</v>
      </c>
      <c r="C116" s="60" t="s">
        <v>8</v>
      </c>
      <c r="D116" s="60" t="s">
        <v>143</v>
      </c>
      <c r="E116" s="60" t="s">
        <v>143</v>
      </c>
      <c r="F116" s="62"/>
      <c r="G116" s="62"/>
    </row>
    <row r="117" spans="1:7" ht="14.5" x14ac:dyDescent="0.3">
      <c r="A117" s="63" t="s">
        <v>109</v>
      </c>
      <c r="B117" s="68" t="s">
        <v>272</v>
      </c>
      <c r="C117" s="63" t="s">
        <v>8</v>
      </c>
      <c r="D117" s="63" t="s">
        <v>143</v>
      </c>
      <c r="E117" s="63" t="s">
        <v>143</v>
      </c>
      <c r="F117" s="63" t="s">
        <v>264</v>
      </c>
      <c r="G117" s="62"/>
    </row>
    <row r="118" spans="1:7" ht="14.5" x14ac:dyDescent="0.3">
      <c r="A118" s="63" t="s">
        <v>109</v>
      </c>
      <c r="B118" s="68" t="s">
        <v>273</v>
      </c>
      <c r="C118" s="63" t="s">
        <v>8</v>
      </c>
      <c r="D118" s="63" t="s">
        <v>143</v>
      </c>
      <c r="E118" s="63" t="s">
        <v>143</v>
      </c>
      <c r="F118" s="63" t="s">
        <v>264</v>
      </c>
      <c r="G118" s="62"/>
    </row>
    <row r="119" spans="1:7" ht="14.5" x14ac:dyDescent="0.3">
      <c r="A119" s="60" t="s">
        <v>109</v>
      </c>
      <c r="B119" s="61" t="s">
        <v>274</v>
      </c>
      <c r="C119" s="60" t="s">
        <v>8</v>
      </c>
      <c r="D119" s="60" t="s">
        <v>143</v>
      </c>
      <c r="E119" s="60" t="s">
        <v>143</v>
      </c>
      <c r="F119" s="62"/>
      <c r="G119" s="62"/>
    </row>
    <row r="120" spans="1:7" ht="14.5" x14ac:dyDescent="0.3">
      <c r="A120" s="63" t="s">
        <v>109</v>
      </c>
      <c r="B120" s="68" t="s">
        <v>275</v>
      </c>
      <c r="C120" s="63" t="s">
        <v>8</v>
      </c>
      <c r="D120" s="63" t="s">
        <v>143</v>
      </c>
      <c r="E120" s="63" t="s">
        <v>143</v>
      </c>
      <c r="F120" s="63" t="s">
        <v>264</v>
      </c>
      <c r="G120" s="62"/>
    </row>
    <row r="121" spans="1:7" ht="14.5" x14ac:dyDescent="0.3">
      <c r="A121" s="63" t="s">
        <v>109</v>
      </c>
      <c r="B121" s="68" t="s">
        <v>276</v>
      </c>
      <c r="C121" s="63" t="s">
        <v>8</v>
      </c>
      <c r="D121" s="63" t="s">
        <v>143</v>
      </c>
      <c r="E121" s="63" t="s">
        <v>143</v>
      </c>
      <c r="F121" s="63" t="s">
        <v>264</v>
      </c>
      <c r="G121" s="62"/>
    </row>
    <row r="122" spans="1:7" ht="15.5" x14ac:dyDescent="0.3">
      <c r="A122" s="60" t="s">
        <v>109</v>
      </c>
      <c r="B122" s="69" t="s">
        <v>277</v>
      </c>
      <c r="C122" s="60" t="s">
        <v>8</v>
      </c>
      <c r="D122" s="60" t="s">
        <v>143</v>
      </c>
      <c r="E122" s="60" t="s">
        <v>143</v>
      </c>
      <c r="F122" s="62"/>
      <c r="G122" s="62"/>
    </row>
    <row r="123" spans="1:7" ht="14.5" x14ac:dyDescent="0.3">
      <c r="A123" s="63" t="s">
        <v>109</v>
      </c>
      <c r="B123" s="68" t="s">
        <v>278</v>
      </c>
      <c r="C123" s="63" t="s">
        <v>8</v>
      </c>
      <c r="D123" s="63" t="s">
        <v>143</v>
      </c>
      <c r="E123" s="63" t="s">
        <v>143</v>
      </c>
      <c r="F123" s="63">
        <v>90</v>
      </c>
      <c r="G123" s="62"/>
    </row>
    <row r="124" spans="1:7" ht="14.5" x14ac:dyDescent="0.3">
      <c r="A124" s="63" t="s">
        <v>109</v>
      </c>
      <c r="B124" s="68" t="s">
        <v>279</v>
      </c>
      <c r="C124" s="63" t="s">
        <v>8</v>
      </c>
      <c r="D124" s="63" t="s">
        <v>143</v>
      </c>
      <c r="E124" s="63" t="s">
        <v>143</v>
      </c>
      <c r="F124" s="63" t="s">
        <v>280</v>
      </c>
      <c r="G124" s="62"/>
    </row>
    <row r="125" spans="1:7" ht="15.5" x14ac:dyDescent="0.3">
      <c r="A125" s="63" t="s">
        <v>109</v>
      </c>
      <c r="B125" s="67" t="s">
        <v>281</v>
      </c>
      <c r="C125" s="63" t="s">
        <v>8</v>
      </c>
      <c r="D125" s="63" t="s">
        <v>143</v>
      </c>
      <c r="E125" s="63" t="s">
        <v>143</v>
      </c>
      <c r="F125" s="63" t="s">
        <v>280</v>
      </c>
      <c r="G125" s="62"/>
    </row>
    <row r="126" spans="1:7" ht="14.5" x14ac:dyDescent="0.3">
      <c r="A126" s="63" t="s">
        <v>109</v>
      </c>
      <c r="B126" s="68" t="s">
        <v>282</v>
      </c>
      <c r="C126" s="63" t="s">
        <v>8</v>
      </c>
      <c r="D126" s="63" t="s">
        <v>143</v>
      </c>
      <c r="E126" s="63" t="s">
        <v>143</v>
      </c>
      <c r="F126" s="63" t="s">
        <v>280</v>
      </c>
      <c r="G126" s="62"/>
    </row>
    <row r="127" spans="1:7" ht="15.5" x14ac:dyDescent="0.3">
      <c r="A127" s="60" t="s">
        <v>109</v>
      </c>
      <c r="B127" s="69" t="s">
        <v>283</v>
      </c>
      <c r="C127" s="60" t="s">
        <v>8</v>
      </c>
      <c r="D127" s="60" t="s">
        <v>143</v>
      </c>
      <c r="E127" s="60" t="s">
        <v>143</v>
      </c>
      <c r="F127" s="62"/>
      <c r="G127" s="62"/>
    </row>
    <row r="128" spans="1:7" ht="14.5" x14ac:dyDescent="0.3">
      <c r="A128" s="63" t="s">
        <v>109</v>
      </c>
      <c r="B128" s="68" t="s">
        <v>284</v>
      </c>
      <c r="C128" s="63" t="s">
        <v>8</v>
      </c>
      <c r="D128" s="63" t="s">
        <v>143</v>
      </c>
      <c r="E128" s="63" t="s">
        <v>143</v>
      </c>
      <c r="F128" s="63" t="s">
        <v>280</v>
      </c>
      <c r="G128" s="62"/>
    </row>
    <row r="129" spans="1:7" ht="14.5" x14ac:dyDescent="0.3">
      <c r="A129" s="63" t="s">
        <v>109</v>
      </c>
      <c r="B129" s="68" t="s">
        <v>279</v>
      </c>
      <c r="C129" s="63" t="s">
        <v>8</v>
      </c>
      <c r="D129" s="63" t="s">
        <v>143</v>
      </c>
      <c r="E129" s="63" t="s">
        <v>143</v>
      </c>
      <c r="F129" s="63" t="s">
        <v>280</v>
      </c>
      <c r="G129" s="62"/>
    </row>
    <row r="130" spans="1:7" ht="15.5" x14ac:dyDescent="0.3">
      <c r="A130" s="63" t="s">
        <v>109</v>
      </c>
      <c r="B130" s="67" t="s">
        <v>285</v>
      </c>
      <c r="C130" s="63" t="s">
        <v>8</v>
      </c>
      <c r="D130" s="63" t="s">
        <v>143</v>
      </c>
      <c r="E130" s="63" t="s">
        <v>143</v>
      </c>
      <c r="F130" s="63" t="s">
        <v>280</v>
      </c>
      <c r="G130" s="62"/>
    </row>
    <row r="131" spans="1:7" ht="14.5" x14ac:dyDescent="0.3">
      <c r="A131" s="63" t="s">
        <v>109</v>
      </c>
      <c r="B131" s="68" t="s">
        <v>282</v>
      </c>
      <c r="C131" s="63" t="s">
        <v>8</v>
      </c>
      <c r="D131" s="63" t="s">
        <v>143</v>
      </c>
      <c r="E131" s="63" t="s">
        <v>143</v>
      </c>
      <c r="F131" s="63" t="s">
        <v>280</v>
      </c>
      <c r="G131" s="62"/>
    </row>
    <row r="132" spans="1:7" ht="15.5" x14ac:dyDescent="0.3">
      <c r="A132" s="60" t="s">
        <v>109</v>
      </c>
      <c r="B132" s="69" t="s">
        <v>286</v>
      </c>
      <c r="C132" s="60" t="s">
        <v>8</v>
      </c>
      <c r="D132" s="60" t="s">
        <v>143</v>
      </c>
      <c r="E132" s="60" t="s">
        <v>143</v>
      </c>
      <c r="F132" s="62"/>
      <c r="G132" s="62"/>
    </row>
    <row r="133" spans="1:7" ht="14.5" x14ac:dyDescent="0.3">
      <c r="A133" s="63" t="s">
        <v>109</v>
      </c>
      <c r="B133" s="68" t="s">
        <v>287</v>
      </c>
      <c r="C133" s="63" t="s">
        <v>8</v>
      </c>
      <c r="D133" s="63" t="s">
        <v>143</v>
      </c>
      <c r="E133" s="63" t="s">
        <v>143</v>
      </c>
      <c r="F133" s="63" t="s">
        <v>280</v>
      </c>
      <c r="G133" s="62"/>
    </row>
    <row r="134" spans="1:7" ht="14.5" x14ac:dyDescent="0.3">
      <c r="A134" s="63" t="s">
        <v>109</v>
      </c>
      <c r="B134" s="68" t="s">
        <v>279</v>
      </c>
      <c r="C134" s="63" t="s">
        <v>8</v>
      </c>
      <c r="D134" s="63" t="s">
        <v>143</v>
      </c>
      <c r="E134" s="63" t="s">
        <v>143</v>
      </c>
      <c r="F134" s="63" t="s">
        <v>280</v>
      </c>
      <c r="G134" s="62"/>
    </row>
    <row r="135" spans="1:7" ht="15.5" x14ac:dyDescent="0.3">
      <c r="A135" s="63" t="s">
        <v>109</v>
      </c>
      <c r="B135" s="67" t="s">
        <v>288</v>
      </c>
      <c r="C135" s="63" t="s">
        <v>8</v>
      </c>
      <c r="D135" s="63" t="s">
        <v>143</v>
      </c>
      <c r="E135" s="63" t="s">
        <v>143</v>
      </c>
      <c r="F135" s="63" t="s">
        <v>280</v>
      </c>
      <c r="G135" s="62"/>
    </row>
    <row r="136" spans="1:7" ht="14.5" x14ac:dyDescent="0.3">
      <c r="A136" s="63" t="s">
        <v>109</v>
      </c>
      <c r="B136" s="68" t="s">
        <v>282</v>
      </c>
      <c r="C136" s="63" t="s">
        <v>8</v>
      </c>
      <c r="D136" s="63" t="s">
        <v>143</v>
      </c>
      <c r="E136" s="63" t="s">
        <v>143</v>
      </c>
      <c r="F136" s="63" t="s">
        <v>280</v>
      </c>
      <c r="G136" s="62"/>
    </row>
    <row r="137" spans="1:7" ht="15.5" x14ac:dyDescent="0.3">
      <c r="A137" s="60" t="s">
        <v>109</v>
      </c>
      <c r="B137" s="69" t="s">
        <v>289</v>
      </c>
      <c r="C137" s="60" t="s">
        <v>8</v>
      </c>
      <c r="D137" s="60" t="s">
        <v>143</v>
      </c>
      <c r="E137" s="60" t="s">
        <v>143</v>
      </c>
      <c r="F137" s="62"/>
      <c r="G137" s="62"/>
    </row>
    <row r="138" spans="1:7" ht="14.5" x14ac:dyDescent="0.3">
      <c r="A138" s="63" t="s">
        <v>109</v>
      </c>
      <c r="B138" s="68" t="s">
        <v>290</v>
      </c>
      <c r="C138" s="63" t="s">
        <v>8</v>
      </c>
      <c r="D138" s="63" t="s">
        <v>143</v>
      </c>
      <c r="E138" s="63" t="s">
        <v>143</v>
      </c>
      <c r="F138" s="63" t="s">
        <v>280</v>
      </c>
      <c r="G138" s="62"/>
    </row>
    <row r="139" spans="1:7" ht="14.5" x14ac:dyDescent="0.3">
      <c r="A139" s="63" t="s">
        <v>109</v>
      </c>
      <c r="B139" s="68" t="s">
        <v>279</v>
      </c>
      <c r="C139" s="63" t="s">
        <v>8</v>
      </c>
      <c r="D139" s="63" t="s">
        <v>143</v>
      </c>
      <c r="E139" s="63" t="s">
        <v>143</v>
      </c>
      <c r="F139" s="63" t="s">
        <v>280</v>
      </c>
      <c r="G139" s="62"/>
    </row>
    <row r="140" spans="1:7" ht="15.5" x14ac:dyDescent="0.3">
      <c r="A140" s="63" t="s">
        <v>109</v>
      </c>
      <c r="B140" s="67" t="s">
        <v>291</v>
      </c>
      <c r="C140" s="63" t="s">
        <v>8</v>
      </c>
      <c r="D140" s="63" t="s">
        <v>143</v>
      </c>
      <c r="E140" s="63" t="s">
        <v>143</v>
      </c>
      <c r="F140" s="63" t="s">
        <v>280</v>
      </c>
      <c r="G140" s="62"/>
    </row>
    <row r="141" spans="1:7" ht="14.5" x14ac:dyDescent="0.3">
      <c r="A141" s="63" t="s">
        <v>109</v>
      </c>
      <c r="B141" s="68" t="s">
        <v>282</v>
      </c>
      <c r="C141" s="63" t="s">
        <v>8</v>
      </c>
      <c r="D141" s="63" t="s">
        <v>143</v>
      </c>
      <c r="E141" s="63" t="s">
        <v>143</v>
      </c>
      <c r="F141" s="63" t="s">
        <v>280</v>
      </c>
      <c r="G141" s="62"/>
    </row>
    <row r="142" spans="1:7" ht="15.5" x14ac:dyDescent="0.3">
      <c r="A142" s="60" t="s">
        <v>109</v>
      </c>
      <c r="B142" s="69" t="s">
        <v>292</v>
      </c>
      <c r="C142" s="60" t="s">
        <v>8</v>
      </c>
      <c r="D142" s="60" t="s">
        <v>143</v>
      </c>
      <c r="E142" s="60" t="s">
        <v>143</v>
      </c>
      <c r="F142" s="62"/>
      <c r="G142" s="62"/>
    </row>
    <row r="143" spans="1:7" ht="14.5" x14ac:dyDescent="0.3">
      <c r="A143" s="60" t="s">
        <v>109</v>
      </c>
      <c r="B143" s="61" t="s">
        <v>293</v>
      </c>
      <c r="C143" s="60" t="s">
        <v>8</v>
      </c>
      <c r="D143" s="60" t="s">
        <v>143</v>
      </c>
      <c r="E143" s="60" t="s">
        <v>143</v>
      </c>
      <c r="F143" s="62"/>
      <c r="G143" s="62"/>
    </row>
    <row r="144" spans="1:7" ht="14.5" x14ac:dyDescent="0.3">
      <c r="A144" s="63" t="s">
        <v>109</v>
      </c>
      <c r="B144" s="68" t="s">
        <v>294</v>
      </c>
      <c r="C144" s="63" t="s">
        <v>8</v>
      </c>
      <c r="D144" s="63" t="s">
        <v>143</v>
      </c>
      <c r="E144" s="63" t="s">
        <v>143</v>
      </c>
      <c r="F144" s="63" t="s">
        <v>280</v>
      </c>
      <c r="G144" s="62"/>
    </row>
    <row r="145" spans="1:7" ht="14.5" x14ac:dyDescent="0.3">
      <c r="A145" s="63" t="s">
        <v>109</v>
      </c>
      <c r="B145" s="68" t="s">
        <v>295</v>
      </c>
      <c r="C145" s="63" t="s">
        <v>8</v>
      </c>
      <c r="D145" s="63" t="s">
        <v>143</v>
      </c>
      <c r="E145" s="63" t="s">
        <v>143</v>
      </c>
      <c r="F145" s="63" t="s">
        <v>280</v>
      </c>
      <c r="G145" s="62"/>
    </row>
    <row r="146" spans="1:7" ht="15.5" x14ac:dyDescent="0.3">
      <c r="A146" s="63" t="s">
        <v>109</v>
      </c>
      <c r="B146" s="67" t="s">
        <v>296</v>
      </c>
      <c r="C146" s="63" t="s">
        <v>8</v>
      </c>
      <c r="D146" s="63" t="s">
        <v>143</v>
      </c>
      <c r="E146" s="63" t="s">
        <v>143</v>
      </c>
      <c r="F146" s="63" t="s">
        <v>280</v>
      </c>
      <c r="G146" s="62"/>
    </row>
    <row r="147" spans="1:7" ht="14.5" x14ac:dyDescent="0.3">
      <c r="A147" s="63" t="s">
        <v>109</v>
      </c>
      <c r="B147" s="68" t="s">
        <v>297</v>
      </c>
      <c r="C147" s="63" t="s">
        <v>8</v>
      </c>
      <c r="D147" s="63" t="s">
        <v>143</v>
      </c>
      <c r="E147" s="63" t="s">
        <v>143</v>
      </c>
      <c r="F147" s="63" t="s">
        <v>280</v>
      </c>
      <c r="G147" s="62"/>
    </row>
    <row r="148" spans="1:7" ht="14.5" x14ac:dyDescent="0.3">
      <c r="A148" s="60" t="s">
        <v>109</v>
      </c>
      <c r="B148" s="61" t="s">
        <v>298</v>
      </c>
      <c r="C148" s="60" t="s">
        <v>8</v>
      </c>
      <c r="D148" s="60" t="s">
        <v>143</v>
      </c>
      <c r="E148" s="60" t="s">
        <v>143</v>
      </c>
      <c r="F148" s="62"/>
      <c r="G148" s="62"/>
    </row>
    <row r="149" spans="1:7" ht="14.5" x14ac:dyDescent="0.3">
      <c r="A149" s="63" t="s">
        <v>109</v>
      </c>
      <c r="B149" s="68" t="s">
        <v>299</v>
      </c>
      <c r="C149" s="63" t="s">
        <v>8</v>
      </c>
      <c r="D149" s="63" t="s">
        <v>143</v>
      </c>
      <c r="E149" s="63" t="s">
        <v>143</v>
      </c>
      <c r="F149" s="63" t="s">
        <v>280</v>
      </c>
      <c r="G149" s="62"/>
    </row>
    <row r="150" spans="1:7" ht="14.5" x14ac:dyDescent="0.3">
      <c r="A150" s="63" t="s">
        <v>109</v>
      </c>
      <c r="B150" s="68" t="s">
        <v>295</v>
      </c>
      <c r="C150" s="63" t="s">
        <v>8</v>
      </c>
      <c r="D150" s="63" t="s">
        <v>143</v>
      </c>
      <c r="E150" s="63" t="s">
        <v>143</v>
      </c>
      <c r="F150" s="63" t="s">
        <v>280</v>
      </c>
      <c r="G150" s="62"/>
    </row>
    <row r="151" spans="1:7" ht="15.5" x14ac:dyDescent="0.3">
      <c r="A151" s="63" t="s">
        <v>109</v>
      </c>
      <c r="B151" s="67" t="s">
        <v>300</v>
      </c>
      <c r="C151" s="63" t="s">
        <v>8</v>
      </c>
      <c r="D151" s="63" t="s">
        <v>143</v>
      </c>
      <c r="E151" s="63" t="s">
        <v>143</v>
      </c>
      <c r="F151" s="63" t="s">
        <v>280</v>
      </c>
      <c r="G151" s="62"/>
    </row>
    <row r="152" spans="1:7" ht="14.5" x14ac:dyDescent="0.3">
      <c r="A152" s="63" t="s">
        <v>109</v>
      </c>
      <c r="B152" s="68" t="s">
        <v>297</v>
      </c>
      <c r="C152" s="63" t="s">
        <v>8</v>
      </c>
      <c r="D152" s="63" t="s">
        <v>143</v>
      </c>
      <c r="E152" s="63" t="s">
        <v>143</v>
      </c>
      <c r="F152" s="63" t="s">
        <v>280</v>
      </c>
      <c r="G152" s="62"/>
    </row>
    <row r="153" spans="1:7" ht="15.5" x14ac:dyDescent="0.3">
      <c r="A153" s="60" t="s">
        <v>109</v>
      </c>
      <c r="B153" s="69" t="s">
        <v>301</v>
      </c>
      <c r="C153" s="60" t="s">
        <v>8</v>
      </c>
      <c r="D153" s="60" t="s">
        <v>302</v>
      </c>
      <c r="E153" s="60" t="s">
        <v>302</v>
      </c>
      <c r="F153" s="62"/>
      <c r="G153" s="62"/>
    </row>
    <row r="154" spans="1:7" ht="14.5" x14ac:dyDescent="0.3">
      <c r="A154" s="63" t="s">
        <v>109</v>
      </c>
      <c r="B154" s="68" t="s">
        <v>303</v>
      </c>
      <c r="C154" s="63" t="s">
        <v>8</v>
      </c>
      <c r="D154" s="63" t="s">
        <v>302</v>
      </c>
      <c r="E154" s="63" t="s">
        <v>302</v>
      </c>
      <c r="F154" s="63">
        <v>107</v>
      </c>
      <c r="G154" s="62"/>
    </row>
    <row r="155" spans="1:7" ht="14.5" x14ac:dyDescent="0.3">
      <c r="A155" s="63" t="s">
        <v>109</v>
      </c>
      <c r="B155" s="68" t="s">
        <v>279</v>
      </c>
      <c r="C155" s="63" t="s">
        <v>8</v>
      </c>
      <c r="D155" s="63" t="s">
        <v>302</v>
      </c>
      <c r="E155" s="63" t="s">
        <v>302</v>
      </c>
      <c r="F155" s="63" t="s">
        <v>304</v>
      </c>
      <c r="G155" s="62"/>
    </row>
    <row r="156" spans="1:7" ht="15.5" x14ac:dyDescent="0.3">
      <c r="A156" s="63" t="s">
        <v>109</v>
      </c>
      <c r="B156" s="67" t="s">
        <v>305</v>
      </c>
      <c r="C156" s="63" t="s">
        <v>8</v>
      </c>
      <c r="D156" s="63" t="s">
        <v>302</v>
      </c>
      <c r="E156" s="63" t="s">
        <v>302</v>
      </c>
      <c r="F156" s="63" t="s">
        <v>304</v>
      </c>
      <c r="G156" s="62"/>
    </row>
    <row r="157" spans="1:7" ht="14.5" x14ac:dyDescent="0.3">
      <c r="A157" s="63" t="s">
        <v>109</v>
      </c>
      <c r="B157" s="68" t="s">
        <v>282</v>
      </c>
      <c r="C157" s="63" t="s">
        <v>8</v>
      </c>
      <c r="D157" s="63" t="s">
        <v>302</v>
      </c>
      <c r="E157" s="63" t="s">
        <v>302</v>
      </c>
      <c r="F157" s="63" t="s">
        <v>304</v>
      </c>
      <c r="G157" s="62"/>
    </row>
    <row r="158" spans="1:7" ht="15.5" x14ac:dyDescent="0.3">
      <c r="A158" s="60" t="s">
        <v>109</v>
      </c>
      <c r="B158" s="69" t="s">
        <v>306</v>
      </c>
      <c r="C158" s="60" t="s">
        <v>8</v>
      </c>
      <c r="D158" s="60" t="s">
        <v>302</v>
      </c>
      <c r="E158" s="60" t="s">
        <v>302</v>
      </c>
      <c r="F158" s="62"/>
      <c r="G158" s="62"/>
    </row>
    <row r="159" spans="1:7" ht="14.5" x14ac:dyDescent="0.3">
      <c r="A159" s="63" t="s">
        <v>109</v>
      </c>
      <c r="B159" s="68" t="s">
        <v>307</v>
      </c>
      <c r="C159" s="63" t="s">
        <v>8</v>
      </c>
      <c r="D159" s="63" t="s">
        <v>302</v>
      </c>
      <c r="E159" s="63" t="s">
        <v>302</v>
      </c>
      <c r="F159" s="63" t="s">
        <v>304</v>
      </c>
      <c r="G159" s="62"/>
    </row>
    <row r="160" spans="1:7" ht="14.5" x14ac:dyDescent="0.3">
      <c r="A160" s="63" t="s">
        <v>109</v>
      </c>
      <c r="B160" s="68" t="s">
        <v>279</v>
      </c>
      <c r="C160" s="63" t="s">
        <v>8</v>
      </c>
      <c r="D160" s="63" t="s">
        <v>302</v>
      </c>
      <c r="E160" s="63" t="s">
        <v>302</v>
      </c>
      <c r="F160" s="63" t="s">
        <v>304</v>
      </c>
      <c r="G160" s="62"/>
    </row>
    <row r="161" spans="1:7" ht="15.5" x14ac:dyDescent="0.3">
      <c r="A161" s="63" t="s">
        <v>109</v>
      </c>
      <c r="B161" s="67" t="s">
        <v>308</v>
      </c>
      <c r="C161" s="63" t="s">
        <v>8</v>
      </c>
      <c r="D161" s="63" t="s">
        <v>302</v>
      </c>
      <c r="E161" s="63" t="s">
        <v>302</v>
      </c>
      <c r="F161" s="63" t="s">
        <v>304</v>
      </c>
      <c r="G161" s="62"/>
    </row>
    <row r="162" spans="1:7" ht="14.5" x14ac:dyDescent="0.3">
      <c r="A162" s="63" t="s">
        <v>109</v>
      </c>
      <c r="B162" s="68" t="s">
        <v>282</v>
      </c>
      <c r="C162" s="63" t="s">
        <v>8</v>
      </c>
      <c r="D162" s="63" t="s">
        <v>302</v>
      </c>
      <c r="E162" s="63" t="s">
        <v>302</v>
      </c>
      <c r="F162" s="63" t="s">
        <v>304</v>
      </c>
      <c r="G162" s="62"/>
    </row>
    <row r="163" spans="1:7" ht="15.5" x14ac:dyDescent="0.3">
      <c r="A163" s="60" t="s">
        <v>109</v>
      </c>
      <c r="B163" s="69" t="s">
        <v>309</v>
      </c>
      <c r="C163" s="60" t="s">
        <v>8</v>
      </c>
      <c r="D163" s="60" t="s">
        <v>302</v>
      </c>
      <c r="E163" s="60" t="s">
        <v>302</v>
      </c>
      <c r="F163" s="62"/>
      <c r="G163" s="62"/>
    </row>
    <row r="164" spans="1:7" ht="14.5" x14ac:dyDescent="0.3">
      <c r="A164" s="63" t="s">
        <v>109</v>
      </c>
      <c r="B164" s="68" t="s">
        <v>310</v>
      </c>
      <c r="C164" s="63" t="s">
        <v>8</v>
      </c>
      <c r="D164" s="63" t="s">
        <v>302</v>
      </c>
      <c r="E164" s="63" t="s">
        <v>302</v>
      </c>
      <c r="F164" s="63" t="s">
        <v>304</v>
      </c>
      <c r="G164" s="62"/>
    </row>
    <row r="165" spans="1:7" ht="14.5" x14ac:dyDescent="0.3">
      <c r="A165" s="63" t="s">
        <v>109</v>
      </c>
      <c r="B165" s="68" t="s">
        <v>279</v>
      </c>
      <c r="C165" s="63" t="s">
        <v>8</v>
      </c>
      <c r="D165" s="63" t="s">
        <v>302</v>
      </c>
      <c r="E165" s="63" t="s">
        <v>302</v>
      </c>
      <c r="F165" s="63" t="s">
        <v>304</v>
      </c>
      <c r="G165" s="62"/>
    </row>
    <row r="166" spans="1:7" ht="15.5" x14ac:dyDescent="0.3">
      <c r="A166" s="63" t="s">
        <v>109</v>
      </c>
      <c r="B166" s="67" t="s">
        <v>311</v>
      </c>
      <c r="C166" s="63" t="s">
        <v>8</v>
      </c>
      <c r="D166" s="63" t="s">
        <v>302</v>
      </c>
      <c r="E166" s="63" t="s">
        <v>302</v>
      </c>
      <c r="F166" s="63" t="s">
        <v>304</v>
      </c>
      <c r="G166" s="62"/>
    </row>
    <row r="167" spans="1:7" ht="14.5" x14ac:dyDescent="0.3">
      <c r="A167" s="63" t="s">
        <v>109</v>
      </c>
      <c r="B167" s="68" t="s">
        <v>282</v>
      </c>
      <c r="C167" s="63" t="s">
        <v>8</v>
      </c>
      <c r="D167" s="63" t="s">
        <v>302</v>
      </c>
      <c r="E167" s="63" t="s">
        <v>302</v>
      </c>
      <c r="F167" s="63" t="s">
        <v>304</v>
      </c>
      <c r="G167" s="62"/>
    </row>
    <row r="168" spans="1:7" ht="15.5" x14ac:dyDescent="0.3">
      <c r="A168" s="60" t="s">
        <v>109</v>
      </c>
      <c r="B168" s="69" t="s">
        <v>312</v>
      </c>
      <c r="C168" s="60" t="s">
        <v>8</v>
      </c>
      <c r="D168" s="60" t="s">
        <v>302</v>
      </c>
      <c r="E168" s="60" t="s">
        <v>302</v>
      </c>
      <c r="F168" s="62"/>
      <c r="G168" s="62"/>
    </row>
    <row r="169" spans="1:7" ht="14.5" x14ac:dyDescent="0.3">
      <c r="A169" s="63" t="s">
        <v>109</v>
      </c>
      <c r="B169" s="68" t="s">
        <v>313</v>
      </c>
      <c r="C169" s="63" t="s">
        <v>8</v>
      </c>
      <c r="D169" s="63" t="s">
        <v>302</v>
      </c>
      <c r="E169" s="63" t="s">
        <v>302</v>
      </c>
      <c r="F169" s="63" t="s">
        <v>304</v>
      </c>
      <c r="G169" s="62"/>
    </row>
    <row r="170" spans="1:7" ht="14.5" x14ac:dyDescent="0.3">
      <c r="A170" s="63" t="s">
        <v>109</v>
      </c>
      <c r="B170" s="68" t="s">
        <v>279</v>
      </c>
      <c r="C170" s="63" t="s">
        <v>8</v>
      </c>
      <c r="D170" s="63" t="s">
        <v>302</v>
      </c>
      <c r="E170" s="63" t="s">
        <v>302</v>
      </c>
      <c r="F170" s="63" t="s">
        <v>304</v>
      </c>
      <c r="G170" s="62"/>
    </row>
    <row r="171" spans="1:7" ht="15.5" x14ac:dyDescent="0.3">
      <c r="A171" s="63" t="s">
        <v>109</v>
      </c>
      <c r="B171" s="67" t="s">
        <v>314</v>
      </c>
      <c r="C171" s="63" t="s">
        <v>8</v>
      </c>
      <c r="D171" s="63" t="s">
        <v>302</v>
      </c>
      <c r="E171" s="63" t="s">
        <v>302</v>
      </c>
      <c r="F171" s="63" t="s">
        <v>304</v>
      </c>
      <c r="G171" s="62"/>
    </row>
    <row r="172" spans="1:7" ht="14.5" x14ac:dyDescent="0.3">
      <c r="A172" s="63" t="s">
        <v>109</v>
      </c>
      <c r="B172" s="68" t="s">
        <v>282</v>
      </c>
      <c r="C172" s="63" t="s">
        <v>8</v>
      </c>
      <c r="D172" s="63" t="s">
        <v>302</v>
      </c>
      <c r="E172" s="63" t="s">
        <v>302</v>
      </c>
      <c r="F172" s="63" t="s">
        <v>304</v>
      </c>
      <c r="G172" s="62"/>
    </row>
    <row r="173" spans="1:7" ht="15.5" x14ac:dyDescent="0.3">
      <c r="A173" s="60" t="s">
        <v>109</v>
      </c>
      <c r="B173" s="69" t="s">
        <v>315</v>
      </c>
      <c r="C173" s="60" t="s">
        <v>8</v>
      </c>
      <c r="D173" s="60" t="s">
        <v>302</v>
      </c>
      <c r="E173" s="60" t="s">
        <v>302</v>
      </c>
      <c r="F173" s="62"/>
      <c r="G173" s="62"/>
    </row>
    <row r="174" spans="1:7" ht="14.5" x14ac:dyDescent="0.3">
      <c r="A174" s="63" t="s">
        <v>109</v>
      </c>
      <c r="B174" s="68" t="s">
        <v>316</v>
      </c>
      <c r="C174" s="63" t="s">
        <v>8</v>
      </c>
      <c r="D174" s="63" t="s">
        <v>302</v>
      </c>
      <c r="E174" s="63" t="s">
        <v>302</v>
      </c>
      <c r="F174" s="63" t="s">
        <v>304</v>
      </c>
      <c r="G174" s="62"/>
    </row>
    <row r="175" spans="1:7" ht="14.5" x14ac:dyDescent="0.3">
      <c r="A175" s="63" t="s">
        <v>109</v>
      </c>
      <c r="B175" s="68" t="s">
        <v>279</v>
      </c>
      <c r="C175" s="63" t="s">
        <v>8</v>
      </c>
      <c r="D175" s="63" t="s">
        <v>302</v>
      </c>
      <c r="E175" s="63" t="s">
        <v>302</v>
      </c>
      <c r="F175" s="63" t="s">
        <v>304</v>
      </c>
      <c r="G175" s="62"/>
    </row>
    <row r="176" spans="1:7" ht="15.5" x14ac:dyDescent="0.3">
      <c r="A176" s="63" t="s">
        <v>109</v>
      </c>
      <c r="B176" s="67" t="s">
        <v>317</v>
      </c>
      <c r="C176" s="63" t="s">
        <v>8</v>
      </c>
      <c r="D176" s="63" t="s">
        <v>302</v>
      </c>
      <c r="E176" s="63" t="s">
        <v>302</v>
      </c>
      <c r="F176" s="63" t="s">
        <v>304</v>
      </c>
      <c r="G176" s="62"/>
    </row>
    <row r="177" spans="1:7" ht="14.5" x14ac:dyDescent="0.3">
      <c r="A177" s="63" t="s">
        <v>109</v>
      </c>
      <c r="B177" s="68" t="s">
        <v>282</v>
      </c>
      <c r="C177" s="63" t="s">
        <v>8</v>
      </c>
      <c r="D177" s="63" t="s">
        <v>302</v>
      </c>
      <c r="E177" s="63" t="s">
        <v>302</v>
      </c>
      <c r="F177" s="63" t="s">
        <v>304</v>
      </c>
      <c r="G177" s="62"/>
    </row>
    <row r="178" spans="1:7" ht="14.5" x14ac:dyDescent="0.3">
      <c r="A178" s="63" t="s">
        <v>109</v>
      </c>
      <c r="B178" s="68" t="s">
        <v>318</v>
      </c>
      <c r="C178" s="68" t="s">
        <v>179</v>
      </c>
      <c r="D178" s="63" t="s">
        <v>319</v>
      </c>
      <c r="E178" s="63" t="s">
        <v>320</v>
      </c>
      <c r="F178" s="63">
        <v>175</v>
      </c>
      <c r="G178" s="62"/>
    </row>
    <row r="179" spans="1:7" ht="14.5" x14ac:dyDescent="0.3">
      <c r="A179" s="63" t="s">
        <v>109</v>
      </c>
      <c r="B179" s="68" t="s">
        <v>321</v>
      </c>
      <c r="C179" s="68" t="s">
        <v>179</v>
      </c>
      <c r="D179" s="63" t="s">
        <v>322</v>
      </c>
      <c r="E179" s="63" t="s">
        <v>145</v>
      </c>
      <c r="F179" s="63">
        <v>176</v>
      </c>
      <c r="G179" s="62"/>
    </row>
    <row r="180" spans="1:7" ht="14.5" x14ac:dyDescent="0.3">
      <c r="A180" s="63" t="s">
        <v>109</v>
      </c>
      <c r="B180" s="68" t="s">
        <v>323</v>
      </c>
      <c r="C180" s="68" t="s">
        <v>121</v>
      </c>
      <c r="D180" s="63" t="s">
        <v>324</v>
      </c>
      <c r="E180" s="63" t="s">
        <v>325</v>
      </c>
      <c r="F180" s="63">
        <v>177</v>
      </c>
      <c r="G180" s="62"/>
    </row>
    <row r="181" spans="1:7" ht="14.5" x14ac:dyDescent="0.3">
      <c r="A181" s="63" t="s">
        <v>109</v>
      </c>
      <c r="B181" s="68" t="s">
        <v>326</v>
      </c>
      <c r="C181" s="68" t="s">
        <v>207</v>
      </c>
      <c r="D181" s="63" t="s">
        <v>151</v>
      </c>
      <c r="E181" s="63" t="s">
        <v>327</v>
      </c>
      <c r="F181" s="63">
        <v>178</v>
      </c>
      <c r="G181" s="62"/>
    </row>
    <row r="182" spans="1:7" ht="14.5" x14ac:dyDescent="0.3">
      <c r="A182" s="60" t="s">
        <v>109</v>
      </c>
      <c r="B182" s="61" t="s">
        <v>328</v>
      </c>
      <c r="C182" s="60" t="s">
        <v>329</v>
      </c>
      <c r="D182" s="60" t="s">
        <v>322</v>
      </c>
      <c r="E182" s="60" t="s">
        <v>92</v>
      </c>
      <c r="F182" s="62"/>
      <c r="G182" s="62"/>
    </row>
    <row r="183" spans="1:7" ht="14.5" x14ac:dyDescent="0.3">
      <c r="A183" s="63" t="s">
        <v>109</v>
      </c>
      <c r="B183" s="68" t="s">
        <v>330</v>
      </c>
      <c r="C183" s="68" t="s">
        <v>331</v>
      </c>
      <c r="D183" s="63" t="s">
        <v>322</v>
      </c>
      <c r="E183" s="63" t="s">
        <v>325</v>
      </c>
      <c r="F183" s="63" t="s">
        <v>332</v>
      </c>
      <c r="G183" s="62"/>
    </row>
    <row r="184" spans="1:7" ht="14.5" x14ac:dyDescent="0.3">
      <c r="A184" s="63" t="s">
        <v>109</v>
      </c>
      <c r="B184" s="68" t="s">
        <v>333</v>
      </c>
      <c r="C184" s="68" t="s">
        <v>202</v>
      </c>
      <c r="D184" s="63" t="s">
        <v>151</v>
      </c>
      <c r="E184" s="63" t="s">
        <v>334</v>
      </c>
      <c r="F184" s="63">
        <v>181</v>
      </c>
      <c r="G184" s="62"/>
    </row>
    <row r="185" spans="1:7" ht="14.5" x14ac:dyDescent="0.3">
      <c r="A185" s="63" t="s">
        <v>109</v>
      </c>
      <c r="B185" s="68" t="s">
        <v>335</v>
      </c>
      <c r="C185" s="68" t="s">
        <v>179</v>
      </c>
      <c r="D185" s="63" t="s">
        <v>336</v>
      </c>
      <c r="E185" s="63" t="s">
        <v>327</v>
      </c>
      <c r="F185" s="63">
        <v>182</v>
      </c>
      <c r="G185" s="62"/>
    </row>
    <row r="186" spans="1:7" ht="15.5" x14ac:dyDescent="0.3">
      <c r="A186" s="63" t="s">
        <v>109</v>
      </c>
      <c r="B186" s="64" t="s">
        <v>337</v>
      </c>
      <c r="C186" s="63" t="s">
        <v>8</v>
      </c>
      <c r="D186" s="63" t="s">
        <v>92</v>
      </c>
      <c r="E186" s="63" t="s">
        <v>92</v>
      </c>
      <c r="F186" s="63">
        <v>183</v>
      </c>
      <c r="G186" s="62"/>
    </row>
    <row r="187" spans="1:7" ht="15.5" x14ac:dyDescent="0.3">
      <c r="A187" s="63" t="s">
        <v>109</v>
      </c>
      <c r="B187" s="64" t="s">
        <v>117</v>
      </c>
      <c r="C187" s="68" t="s">
        <v>8</v>
      </c>
      <c r="D187" s="63" t="s">
        <v>93</v>
      </c>
      <c r="E187" s="63" t="s">
        <v>93</v>
      </c>
      <c r="F187" s="63">
        <v>184</v>
      </c>
      <c r="G187" s="62"/>
    </row>
    <row r="188" spans="1:7" ht="15.5" x14ac:dyDescent="0.3">
      <c r="A188" s="60" t="s">
        <v>109</v>
      </c>
      <c r="B188" s="66" t="s">
        <v>338</v>
      </c>
      <c r="C188" s="60" t="s">
        <v>122</v>
      </c>
      <c r="D188" s="60" t="s">
        <v>339</v>
      </c>
      <c r="E188" s="60" t="s">
        <v>94</v>
      </c>
      <c r="F188" s="62"/>
      <c r="G188" s="62"/>
    </row>
    <row r="189" spans="1:7" ht="14.5" x14ac:dyDescent="0.3">
      <c r="A189" s="63" t="s">
        <v>109</v>
      </c>
      <c r="B189" s="63" t="s">
        <v>340</v>
      </c>
      <c r="C189" s="63" t="s">
        <v>8</v>
      </c>
      <c r="D189" s="63" t="s">
        <v>339</v>
      </c>
      <c r="E189" s="63" t="s">
        <v>339</v>
      </c>
      <c r="F189" s="63">
        <v>185</v>
      </c>
      <c r="G189" s="62"/>
    </row>
    <row r="190" spans="1:7" ht="14.5" x14ac:dyDescent="0.3">
      <c r="A190" s="63" t="s">
        <v>109</v>
      </c>
      <c r="B190" s="63" t="s">
        <v>341</v>
      </c>
      <c r="C190" s="63" t="s">
        <v>8</v>
      </c>
      <c r="D190" s="63" t="s">
        <v>342</v>
      </c>
      <c r="E190" s="63" t="s">
        <v>342</v>
      </c>
      <c r="F190" s="63">
        <v>187</v>
      </c>
      <c r="G190" s="62"/>
    </row>
    <row r="191" spans="1:7" ht="14.5" x14ac:dyDescent="0.3">
      <c r="A191" s="63" t="s">
        <v>109</v>
      </c>
      <c r="B191" s="63" t="s">
        <v>343</v>
      </c>
      <c r="C191" s="63" t="s">
        <v>344</v>
      </c>
      <c r="D191" s="63" t="s">
        <v>345</v>
      </c>
      <c r="E191" s="63" t="s">
        <v>346</v>
      </c>
      <c r="F191" s="63">
        <v>188</v>
      </c>
      <c r="G191" s="62"/>
    </row>
    <row r="192" spans="1:7" ht="14.5" x14ac:dyDescent="0.3">
      <c r="A192" s="63" t="s">
        <v>109</v>
      </c>
      <c r="B192" s="63" t="s">
        <v>347</v>
      </c>
      <c r="C192" s="63" t="s">
        <v>179</v>
      </c>
      <c r="D192" s="63" t="s">
        <v>156</v>
      </c>
      <c r="E192" s="63" t="s">
        <v>6</v>
      </c>
      <c r="F192" s="63">
        <v>189</v>
      </c>
      <c r="G192" s="62"/>
    </row>
    <row r="193" spans="1:7" ht="15.5" x14ac:dyDescent="0.3">
      <c r="A193" s="63" t="s">
        <v>109</v>
      </c>
      <c r="B193" s="64" t="s">
        <v>118</v>
      </c>
      <c r="C193" s="63" t="s">
        <v>8</v>
      </c>
      <c r="D193" s="63" t="s">
        <v>94</v>
      </c>
      <c r="E193" s="63" t="s">
        <v>94</v>
      </c>
      <c r="F193" s="63">
        <v>190</v>
      </c>
      <c r="G193" s="62"/>
    </row>
    <row r="194" spans="1:7" ht="15.5" x14ac:dyDescent="0.3">
      <c r="A194" s="60" t="s">
        <v>109</v>
      </c>
      <c r="B194" s="66" t="s">
        <v>348</v>
      </c>
      <c r="C194" s="60" t="s">
        <v>202</v>
      </c>
      <c r="D194" s="60" t="s">
        <v>349</v>
      </c>
      <c r="E194" s="60" t="s">
        <v>95</v>
      </c>
      <c r="F194" s="62"/>
      <c r="G194" s="62"/>
    </row>
    <row r="195" spans="1:7" ht="15.5" x14ac:dyDescent="0.3">
      <c r="A195" s="63" t="s">
        <v>109</v>
      </c>
      <c r="B195" s="67" t="s">
        <v>350</v>
      </c>
      <c r="C195" s="63" t="s">
        <v>8</v>
      </c>
      <c r="D195" s="63" t="s">
        <v>349</v>
      </c>
      <c r="E195" s="63" t="s">
        <v>349</v>
      </c>
      <c r="F195" s="63">
        <v>191</v>
      </c>
      <c r="G195" s="62"/>
    </row>
    <row r="196" spans="1:7" ht="15.5" x14ac:dyDescent="0.3">
      <c r="A196" s="63" t="s">
        <v>109</v>
      </c>
      <c r="B196" s="67" t="s">
        <v>351</v>
      </c>
      <c r="C196" s="63" t="s">
        <v>8</v>
      </c>
      <c r="D196" s="63" t="s">
        <v>352</v>
      </c>
      <c r="E196" s="63" t="s">
        <v>352</v>
      </c>
      <c r="F196" s="63">
        <v>193</v>
      </c>
      <c r="G196" s="62"/>
    </row>
    <row r="197" spans="1:7" ht="15.5" x14ac:dyDescent="0.3">
      <c r="A197" s="63" t="s">
        <v>109</v>
      </c>
      <c r="B197" s="64" t="s">
        <v>119</v>
      </c>
      <c r="C197" s="63" t="s">
        <v>8</v>
      </c>
      <c r="D197" s="63" t="s">
        <v>95</v>
      </c>
      <c r="E197" s="63" t="s">
        <v>95</v>
      </c>
      <c r="F197" s="63">
        <v>194</v>
      </c>
      <c r="G197" s="62"/>
    </row>
    <row r="198" spans="1:7" ht="15.5" x14ac:dyDescent="0.3">
      <c r="A198" s="60" t="s">
        <v>109</v>
      </c>
      <c r="B198" s="66" t="s">
        <v>353</v>
      </c>
      <c r="C198" s="60" t="s">
        <v>354</v>
      </c>
      <c r="D198" s="60" t="s">
        <v>355</v>
      </c>
      <c r="E198" s="60" t="s">
        <v>128</v>
      </c>
      <c r="F198" s="62"/>
      <c r="G198" s="62"/>
    </row>
    <row r="199" spans="1:7" ht="15.5" x14ac:dyDescent="0.3">
      <c r="A199" s="63" t="s">
        <v>109</v>
      </c>
      <c r="B199" s="67" t="s">
        <v>356</v>
      </c>
      <c r="C199" s="63" t="s">
        <v>354</v>
      </c>
      <c r="D199" s="63" t="s">
        <v>355</v>
      </c>
      <c r="E199" s="63" t="s">
        <v>128</v>
      </c>
      <c r="F199" s="63">
        <v>195</v>
      </c>
      <c r="G199" s="62"/>
    </row>
    <row r="200" spans="1:7" ht="15.5" x14ac:dyDescent="0.3">
      <c r="A200" s="63" t="s">
        <v>109</v>
      </c>
      <c r="B200" s="67" t="s">
        <v>357</v>
      </c>
      <c r="C200" s="63" t="s">
        <v>354</v>
      </c>
      <c r="D200" s="63" t="s">
        <v>355</v>
      </c>
      <c r="E200" s="63" t="s">
        <v>128</v>
      </c>
      <c r="F200" s="63" t="s">
        <v>358</v>
      </c>
      <c r="G200" s="62"/>
    </row>
    <row r="201" spans="1:7" ht="15.5" x14ac:dyDescent="0.3">
      <c r="A201" s="60" t="s">
        <v>109</v>
      </c>
      <c r="B201" s="66" t="s">
        <v>359</v>
      </c>
      <c r="C201" s="60" t="s">
        <v>207</v>
      </c>
      <c r="D201" s="60" t="s">
        <v>360</v>
      </c>
      <c r="E201" s="60" t="s">
        <v>96</v>
      </c>
      <c r="F201" s="62"/>
      <c r="G201" s="62"/>
    </row>
    <row r="202" spans="1:7" ht="15.5" x14ac:dyDescent="0.3">
      <c r="A202" s="63" t="s">
        <v>109</v>
      </c>
      <c r="B202" s="67" t="s">
        <v>361</v>
      </c>
      <c r="C202" s="63" t="s">
        <v>8</v>
      </c>
      <c r="D202" s="63" t="s">
        <v>360</v>
      </c>
      <c r="E202" s="63" t="s">
        <v>360</v>
      </c>
      <c r="F202" s="63">
        <v>198</v>
      </c>
      <c r="G202" s="62"/>
    </row>
    <row r="203" spans="1:7" ht="15.5" x14ac:dyDescent="0.3">
      <c r="A203" s="63" t="s">
        <v>109</v>
      </c>
      <c r="B203" s="67" t="s">
        <v>362</v>
      </c>
      <c r="C203" s="63" t="s">
        <v>8</v>
      </c>
      <c r="D203" s="63" t="s">
        <v>166</v>
      </c>
      <c r="E203" s="63" t="s">
        <v>166</v>
      </c>
      <c r="F203" s="63">
        <v>200</v>
      </c>
      <c r="G203" s="62"/>
    </row>
    <row r="204" spans="1:7" ht="15.5" x14ac:dyDescent="0.3">
      <c r="A204" s="63" t="s">
        <v>109</v>
      </c>
      <c r="B204" s="67" t="s">
        <v>363</v>
      </c>
      <c r="C204" s="63" t="s">
        <v>8</v>
      </c>
      <c r="D204" s="63" t="s">
        <v>364</v>
      </c>
      <c r="E204" s="63" t="s">
        <v>364</v>
      </c>
      <c r="F204" s="63">
        <v>201</v>
      </c>
      <c r="G204" s="62"/>
    </row>
    <row r="205" spans="1:7" ht="15.5" x14ac:dyDescent="0.3">
      <c r="A205" s="63" t="s">
        <v>109</v>
      </c>
      <c r="B205" s="67" t="s">
        <v>365</v>
      </c>
      <c r="C205" s="63" t="s">
        <v>8</v>
      </c>
      <c r="D205" s="63" t="s">
        <v>366</v>
      </c>
      <c r="E205" s="63" t="s">
        <v>366</v>
      </c>
      <c r="F205" s="63">
        <v>202</v>
      </c>
      <c r="G205" s="62"/>
    </row>
    <row r="206" spans="1:7" ht="15.5" x14ac:dyDescent="0.3">
      <c r="A206" s="63" t="s">
        <v>109</v>
      </c>
      <c r="B206" s="64" t="s">
        <v>120</v>
      </c>
      <c r="C206" s="63" t="s">
        <v>8</v>
      </c>
      <c r="D206" s="63" t="s">
        <v>96</v>
      </c>
      <c r="E206" s="63" t="s">
        <v>96</v>
      </c>
      <c r="F206" s="63">
        <v>203</v>
      </c>
      <c r="G206" s="6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9947-9013-45C9-8DA9-A02AA78E5053}">
  <dimension ref="A1:G207"/>
  <sheetViews>
    <sheetView tabSelected="1" zoomScale="70" zoomScaleNormal="70" workbookViewId="0">
      <selection activeCell="B8" sqref="B8"/>
    </sheetView>
  </sheetViews>
  <sheetFormatPr defaultRowHeight="14" x14ac:dyDescent="0.3"/>
  <cols>
    <col min="1" max="1" width="14.33203125" style="20" bestFit="1" customWidth="1"/>
    <col min="2" max="2" width="102.5" style="20" bestFit="1" customWidth="1"/>
    <col min="3" max="3" width="8.5" style="20" bestFit="1" customWidth="1"/>
    <col min="4" max="4" width="10" style="20" bestFit="1" customWidth="1"/>
    <col min="5" max="5" width="9.25" style="20" bestFit="1" customWidth="1"/>
    <col min="6" max="6" width="10.9140625" style="20" bestFit="1" customWidth="1"/>
    <col min="7" max="7" width="37.4140625" style="20" bestFit="1" customWidth="1"/>
  </cols>
  <sheetData>
    <row r="1" spans="1:7" x14ac:dyDescent="0.3">
      <c r="A1" s="57" t="s">
        <v>106</v>
      </c>
      <c r="B1" s="57" t="s">
        <v>0</v>
      </c>
      <c r="C1" s="57" t="s">
        <v>1</v>
      </c>
      <c r="D1" s="57" t="s">
        <v>2</v>
      </c>
      <c r="E1" s="57" t="s">
        <v>3</v>
      </c>
      <c r="F1" s="57" t="s">
        <v>107</v>
      </c>
      <c r="G1" s="57" t="s">
        <v>108</v>
      </c>
    </row>
    <row r="2" spans="1:7" ht="15.5" x14ac:dyDescent="0.3">
      <c r="A2" s="58" t="s">
        <v>109</v>
      </c>
      <c r="B2" s="58" t="s">
        <v>4</v>
      </c>
      <c r="C2" s="58" t="s">
        <v>110</v>
      </c>
      <c r="D2" s="58" t="s">
        <v>5</v>
      </c>
      <c r="E2" s="58" t="s">
        <v>96</v>
      </c>
      <c r="F2" s="59"/>
      <c r="G2" s="59"/>
    </row>
    <row r="3" spans="1:7" ht="14.5" x14ac:dyDescent="0.3">
      <c r="A3" s="60" t="s">
        <v>109</v>
      </c>
      <c r="B3" s="61" t="s">
        <v>7</v>
      </c>
      <c r="C3" s="60" t="s">
        <v>111</v>
      </c>
      <c r="D3" s="60" t="s">
        <v>86</v>
      </c>
      <c r="E3" s="60" t="s">
        <v>96</v>
      </c>
      <c r="F3" s="62"/>
      <c r="G3" s="62"/>
    </row>
    <row r="4" spans="1:7" ht="15.5" x14ac:dyDescent="0.3">
      <c r="A4" s="63" t="s">
        <v>109</v>
      </c>
      <c r="B4" s="64" t="s">
        <v>9</v>
      </c>
      <c r="C4" s="63" t="s">
        <v>112</v>
      </c>
      <c r="D4" s="63" t="s">
        <v>86</v>
      </c>
      <c r="E4" s="63" t="s">
        <v>86</v>
      </c>
      <c r="F4" s="63">
        <v>15</v>
      </c>
      <c r="G4" s="62"/>
    </row>
    <row r="5" spans="1:7" ht="15.5" x14ac:dyDescent="0.3">
      <c r="A5" s="63" t="s">
        <v>109</v>
      </c>
      <c r="B5" s="64" t="s">
        <v>10</v>
      </c>
      <c r="C5" s="63" t="s">
        <v>112</v>
      </c>
      <c r="D5" s="63" t="s">
        <v>87</v>
      </c>
      <c r="E5" s="63" t="s">
        <v>87</v>
      </c>
      <c r="F5" s="63">
        <v>16</v>
      </c>
      <c r="G5" s="62"/>
    </row>
    <row r="6" spans="1:7" ht="15.5" x14ac:dyDescent="0.3">
      <c r="A6" s="63" t="s">
        <v>109</v>
      </c>
      <c r="B6" s="65" t="s">
        <v>11</v>
      </c>
      <c r="C6" s="63" t="s">
        <v>112</v>
      </c>
      <c r="D6" s="63" t="s">
        <v>88</v>
      </c>
      <c r="E6" s="63" t="s">
        <v>88</v>
      </c>
      <c r="F6" s="63">
        <v>51</v>
      </c>
      <c r="G6" s="62"/>
    </row>
    <row r="7" spans="1:7" ht="15.5" x14ac:dyDescent="0.3">
      <c r="A7" s="63" t="s">
        <v>109</v>
      </c>
      <c r="B7" s="65" t="s">
        <v>113</v>
      </c>
      <c r="C7" s="63" t="s">
        <v>112</v>
      </c>
      <c r="D7" s="63" t="s">
        <v>89</v>
      </c>
      <c r="E7" s="63" t="s">
        <v>89</v>
      </c>
      <c r="F7" s="63">
        <v>53</v>
      </c>
      <c r="G7" s="62"/>
    </row>
    <row r="8" spans="1:7" ht="15.5" x14ac:dyDescent="0.3">
      <c r="A8" s="63" t="s">
        <v>109</v>
      </c>
      <c r="B8" s="65" t="s">
        <v>114</v>
      </c>
      <c r="C8" s="63" t="s">
        <v>112</v>
      </c>
      <c r="D8" s="63" t="s">
        <v>90</v>
      </c>
      <c r="E8" s="63" t="s">
        <v>90</v>
      </c>
      <c r="F8" s="63">
        <v>60</v>
      </c>
      <c r="G8" s="62"/>
    </row>
    <row r="9" spans="1:7" ht="15.5" x14ac:dyDescent="0.3">
      <c r="A9" s="63" t="s">
        <v>109</v>
      </c>
      <c r="B9" s="65" t="s">
        <v>115</v>
      </c>
      <c r="C9" s="63" t="s">
        <v>112</v>
      </c>
      <c r="D9" s="63" t="s">
        <v>91</v>
      </c>
      <c r="E9" s="63" t="s">
        <v>91</v>
      </c>
      <c r="F9" s="63">
        <v>86</v>
      </c>
      <c r="G9" s="62"/>
    </row>
    <row r="10" spans="1:7" ht="15.5" x14ac:dyDescent="0.3">
      <c r="A10" s="63" t="s">
        <v>109</v>
      </c>
      <c r="B10" s="64" t="s">
        <v>116</v>
      </c>
      <c r="C10" s="63" t="s">
        <v>112</v>
      </c>
      <c r="D10" s="63" t="s">
        <v>92</v>
      </c>
      <c r="E10" s="63" t="s">
        <v>92</v>
      </c>
      <c r="F10" s="63">
        <v>185</v>
      </c>
      <c r="G10" s="62"/>
    </row>
    <row r="11" spans="1:7" ht="15.5" x14ac:dyDescent="0.3">
      <c r="A11" s="63" t="s">
        <v>109</v>
      </c>
      <c r="B11" s="64" t="s">
        <v>117</v>
      </c>
      <c r="C11" s="63" t="s">
        <v>112</v>
      </c>
      <c r="D11" s="63" t="s">
        <v>93</v>
      </c>
      <c r="E11" s="63" t="s">
        <v>93</v>
      </c>
      <c r="F11" s="63">
        <v>186</v>
      </c>
      <c r="G11" s="62"/>
    </row>
    <row r="12" spans="1:7" ht="15.5" x14ac:dyDescent="0.3">
      <c r="A12" s="63" t="s">
        <v>109</v>
      </c>
      <c r="B12" s="64" t="s">
        <v>118</v>
      </c>
      <c r="C12" s="63" t="s">
        <v>112</v>
      </c>
      <c r="D12" s="63" t="s">
        <v>94</v>
      </c>
      <c r="E12" s="63" t="s">
        <v>94</v>
      </c>
      <c r="F12" s="63">
        <v>192</v>
      </c>
      <c r="G12" s="62"/>
    </row>
    <row r="13" spans="1:7" ht="15.5" x14ac:dyDescent="0.3">
      <c r="A13" s="63" t="s">
        <v>109</v>
      </c>
      <c r="B13" s="64" t="s">
        <v>119</v>
      </c>
      <c r="C13" s="63" t="s">
        <v>112</v>
      </c>
      <c r="D13" s="63" t="s">
        <v>95</v>
      </c>
      <c r="E13" s="63" t="s">
        <v>95</v>
      </c>
      <c r="F13" s="63">
        <v>196</v>
      </c>
      <c r="G13" s="62"/>
    </row>
    <row r="14" spans="1:7" ht="15.5" x14ac:dyDescent="0.3">
      <c r="A14" s="63" t="s">
        <v>109</v>
      </c>
      <c r="B14" s="64" t="s">
        <v>120</v>
      </c>
      <c r="C14" s="63" t="s">
        <v>112</v>
      </c>
      <c r="D14" s="63" t="s">
        <v>96</v>
      </c>
      <c r="E14" s="63" t="s">
        <v>96</v>
      </c>
      <c r="F14" s="63">
        <v>205</v>
      </c>
      <c r="G14" s="62"/>
    </row>
    <row r="15" spans="1:7" ht="15.5" x14ac:dyDescent="0.3">
      <c r="A15" s="60" t="s">
        <v>109</v>
      </c>
      <c r="B15" s="66" t="s">
        <v>12</v>
      </c>
      <c r="C15" s="60" t="s">
        <v>121</v>
      </c>
      <c r="D15" s="60" t="s">
        <v>5</v>
      </c>
      <c r="E15" s="60" t="s">
        <v>87</v>
      </c>
      <c r="F15" s="62"/>
      <c r="G15" s="62"/>
    </row>
    <row r="16" spans="1:7" ht="15.5" x14ac:dyDescent="0.3">
      <c r="A16" s="63" t="s">
        <v>109</v>
      </c>
      <c r="B16" s="67" t="s">
        <v>13</v>
      </c>
      <c r="C16" s="63" t="s">
        <v>122</v>
      </c>
      <c r="D16" s="63" t="s">
        <v>5</v>
      </c>
      <c r="E16" s="63" t="s">
        <v>123</v>
      </c>
      <c r="F16" s="62"/>
      <c r="G16" s="63" t="s">
        <v>367</v>
      </c>
    </row>
    <row r="17" spans="1:7" ht="15.5" x14ac:dyDescent="0.3">
      <c r="A17" s="63" t="s">
        <v>109</v>
      </c>
      <c r="B17" s="64" t="s">
        <v>9</v>
      </c>
      <c r="C17" s="63" t="s">
        <v>8</v>
      </c>
      <c r="D17" s="63" t="s">
        <v>86</v>
      </c>
      <c r="E17" s="63" t="s">
        <v>86</v>
      </c>
      <c r="F17" s="63">
        <v>14</v>
      </c>
      <c r="G17" s="63" t="s">
        <v>367</v>
      </c>
    </row>
    <row r="18" spans="1:7" ht="15.5" x14ac:dyDescent="0.3">
      <c r="A18" s="63" t="s">
        <v>109</v>
      </c>
      <c r="B18" s="64" t="s">
        <v>10</v>
      </c>
      <c r="C18" s="63" t="s">
        <v>8</v>
      </c>
      <c r="D18" s="63" t="s">
        <v>87</v>
      </c>
      <c r="E18" s="63" t="s">
        <v>87</v>
      </c>
      <c r="F18" s="63" t="s">
        <v>124</v>
      </c>
      <c r="G18" s="63" t="s">
        <v>367</v>
      </c>
    </row>
    <row r="19" spans="1:7" ht="15.5" x14ac:dyDescent="0.3">
      <c r="A19" s="60" t="s">
        <v>109</v>
      </c>
      <c r="B19" s="66" t="s">
        <v>125</v>
      </c>
      <c r="C19" s="60" t="s">
        <v>126</v>
      </c>
      <c r="D19" s="60" t="s">
        <v>127</v>
      </c>
      <c r="E19" s="60" t="s">
        <v>128</v>
      </c>
      <c r="F19" s="62"/>
      <c r="G19" s="62"/>
    </row>
    <row r="20" spans="1:7" ht="14.5" x14ac:dyDescent="0.3">
      <c r="A20" s="63" t="s">
        <v>109</v>
      </c>
      <c r="B20" s="63" t="s">
        <v>129</v>
      </c>
      <c r="C20" s="63" t="s">
        <v>8</v>
      </c>
      <c r="D20" s="63" t="s">
        <v>127</v>
      </c>
      <c r="E20" s="63" t="s">
        <v>127</v>
      </c>
      <c r="F20" s="62"/>
      <c r="G20" s="62"/>
    </row>
    <row r="21" spans="1:7" ht="14.5" x14ac:dyDescent="0.3">
      <c r="A21" s="63" t="s">
        <v>109</v>
      </c>
      <c r="B21" s="63" t="s">
        <v>130</v>
      </c>
      <c r="C21" s="63" t="s">
        <v>8</v>
      </c>
      <c r="D21" s="63" t="s">
        <v>131</v>
      </c>
      <c r="E21" s="63" t="s">
        <v>131</v>
      </c>
      <c r="F21" s="62"/>
      <c r="G21" s="62"/>
    </row>
    <row r="22" spans="1:7" ht="14.5" x14ac:dyDescent="0.3">
      <c r="A22" s="63" t="s">
        <v>109</v>
      </c>
      <c r="B22" s="63" t="s">
        <v>132</v>
      </c>
      <c r="C22" s="63" t="s">
        <v>8</v>
      </c>
      <c r="D22" s="63" t="s">
        <v>86</v>
      </c>
      <c r="E22" s="63" t="s">
        <v>86</v>
      </c>
      <c r="F22" s="62"/>
      <c r="G22" s="62"/>
    </row>
    <row r="23" spans="1:7" ht="14.5" x14ac:dyDescent="0.3">
      <c r="A23" s="63" t="s">
        <v>109</v>
      </c>
      <c r="B23" s="63" t="s">
        <v>133</v>
      </c>
      <c r="C23" s="63" t="s">
        <v>8</v>
      </c>
      <c r="D23" s="63" t="s">
        <v>134</v>
      </c>
      <c r="E23" s="63" t="s">
        <v>134</v>
      </c>
      <c r="F23" s="62"/>
      <c r="G23" s="62"/>
    </row>
    <row r="24" spans="1:7" ht="14.5" x14ac:dyDescent="0.3">
      <c r="A24" s="63" t="s">
        <v>109</v>
      </c>
      <c r="B24" s="63" t="s">
        <v>135</v>
      </c>
      <c r="C24" s="63" t="s">
        <v>8</v>
      </c>
      <c r="D24" s="63" t="s">
        <v>88</v>
      </c>
      <c r="E24" s="63" t="s">
        <v>88</v>
      </c>
      <c r="F24" s="62"/>
      <c r="G24" s="62"/>
    </row>
    <row r="25" spans="1:7" ht="14.5" x14ac:dyDescent="0.3">
      <c r="A25" s="63" t="s">
        <v>109</v>
      </c>
      <c r="B25" s="63" t="s">
        <v>136</v>
      </c>
      <c r="C25" s="63" t="s">
        <v>8</v>
      </c>
      <c r="D25" s="63" t="s">
        <v>137</v>
      </c>
      <c r="E25" s="63" t="s">
        <v>137</v>
      </c>
      <c r="F25" s="62"/>
      <c r="G25" s="62"/>
    </row>
    <row r="26" spans="1:7" ht="14.5" x14ac:dyDescent="0.3">
      <c r="A26" s="63" t="s">
        <v>109</v>
      </c>
      <c r="B26" s="63" t="s">
        <v>138</v>
      </c>
      <c r="C26" s="63" t="s">
        <v>8</v>
      </c>
      <c r="D26" s="63" t="s">
        <v>139</v>
      </c>
      <c r="E26" s="63" t="s">
        <v>139</v>
      </c>
      <c r="F26" s="62"/>
      <c r="G26" s="62"/>
    </row>
    <row r="27" spans="1:7" ht="14.5" x14ac:dyDescent="0.3">
      <c r="A27" s="63" t="s">
        <v>109</v>
      </c>
      <c r="B27" s="63" t="s">
        <v>140</v>
      </c>
      <c r="C27" s="63" t="s">
        <v>8</v>
      </c>
      <c r="D27" s="63" t="s">
        <v>141</v>
      </c>
      <c r="E27" s="63" t="s">
        <v>141</v>
      </c>
      <c r="F27" s="62"/>
      <c r="G27" s="62"/>
    </row>
    <row r="28" spans="1:7" ht="14.5" x14ac:dyDescent="0.3">
      <c r="A28" s="63" t="s">
        <v>109</v>
      </c>
      <c r="B28" s="63" t="s">
        <v>142</v>
      </c>
      <c r="C28" s="63" t="s">
        <v>8</v>
      </c>
      <c r="D28" s="63" t="s">
        <v>143</v>
      </c>
      <c r="E28" s="63" t="s">
        <v>143</v>
      </c>
      <c r="F28" s="62"/>
      <c r="G28" s="62"/>
    </row>
    <row r="29" spans="1:7" ht="14.5" x14ac:dyDescent="0.3">
      <c r="A29" s="63" t="s">
        <v>109</v>
      </c>
      <c r="B29" s="63" t="s">
        <v>144</v>
      </c>
      <c r="C29" s="63" t="s">
        <v>8</v>
      </c>
      <c r="D29" s="63" t="s">
        <v>145</v>
      </c>
      <c r="E29" s="63" t="s">
        <v>145</v>
      </c>
      <c r="F29" s="62"/>
      <c r="G29" s="62"/>
    </row>
    <row r="30" spans="1:7" ht="14.5" x14ac:dyDescent="0.3">
      <c r="A30" s="63" t="s">
        <v>109</v>
      </c>
      <c r="B30" s="63" t="s">
        <v>146</v>
      </c>
      <c r="C30" s="63" t="s">
        <v>8</v>
      </c>
      <c r="D30" s="63" t="s">
        <v>147</v>
      </c>
      <c r="E30" s="63" t="s">
        <v>147</v>
      </c>
      <c r="F30" s="62"/>
      <c r="G30" s="62"/>
    </row>
    <row r="31" spans="1:7" ht="14.5" x14ac:dyDescent="0.3">
      <c r="A31" s="63" t="s">
        <v>109</v>
      </c>
      <c r="B31" s="63" t="s">
        <v>148</v>
      </c>
      <c r="C31" s="63" t="s">
        <v>8</v>
      </c>
      <c r="D31" s="63" t="s">
        <v>149</v>
      </c>
      <c r="E31" s="63" t="s">
        <v>149</v>
      </c>
      <c r="F31" s="62"/>
      <c r="G31" s="62"/>
    </row>
    <row r="32" spans="1:7" ht="14.5" x14ac:dyDescent="0.3">
      <c r="A32" s="63" t="s">
        <v>109</v>
      </c>
      <c r="B32" s="63" t="s">
        <v>150</v>
      </c>
      <c r="C32" s="63" t="s">
        <v>8</v>
      </c>
      <c r="D32" s="63" t="s">
        <v>151</v>
      </c>
      <c r="E32" s="63" t="s">
        <v>151</v>
      </c>
      <c r="F32" s="62"/>
      <c r="G32" s="62"/>
    </row>
    <row r="33" spans="1:7" ht="14.5" x14ac:dyDescent="0.3">
      <c r="A33" s="63" t="s">
        <v>109</v>
      </c>
      <c r="B33" s="63" t="s">
        <v>152</v>
      </c>
      <c r="C33" s="63" t="s">
        <v>8</v>
      </c>
      <c r="D33" s="63" t="s">
        <v>92</v>
      </c>
      <c r="E33" s="63" t="s">
        <v>92</v>
      </c>
      <c r="F33" s="62"/>
      <c r="G33" s="62"/>
    </row>
    <row r="34" spans="1:7" ht="14.5" x14ac:dyDescent="0.3">
      <c r="A34" s="63" t="s">
        <v>109</v>
      </c>
      <c r="B34" s="63" t="s">
        <v>153</v>
      </c>
      <c r="C34" s="63" t="s">
        <v>8</v>
      </c>
      <c r="D34" s="63" t="s">
        <v>154</v>
      </c>
      <c r="E34" s="63" t="s">
        <v>154</v>
      </c>
      <c r="F34" s="62"/>
      <c r="G34" s="62"/>
    </row>
    <row r="35" spans="1:7" ht="14.5" x14ac:dyDescent="0.3">
      <c r="A35" s="63" t="s">
        <v>109</v>
      </c>
      <c r="B35" s="63" t="s">
        <v>155</v>
      </c>
      <c r="C35" s="63" t="s">
        <v>8</v>
      </c>
      <c r="D35" s="63" t="s">
        <v>156</v>
      </c>
      <c r="E35" s="63" t="s">
        <v>156</v>
      </c>
      <c r="F35" s="62"/>
      <c r="G35" s="62"/>
    </row>
    <row r="36" spans="1:7" ht="14.5" x14ac:dyDescent="0.3">
      <c r="A36" s="63" t="s">
        <v>109</v>
      </c>
      <c r="B36" s="63" t="s">
        <v>157</v>
      </c>
      <c r="C36" s="63" t="s">
        <v>8</v>
      </c>
      <c r="D36" s="63" t="s">
        <v>95</v>
      </c>
      <c r="E36" s="63" t="s">
        <v>95</v>
      </c>
      <c r="F36" s="62"/>
      <c r="G36" s="62"/>
    </row>
    <row r="37" spans="1:7" ht="14.5" x14ac:dyDescent="0.3">
      <c r="A37" s="63" t="s">
        <v>109</v>
      </c>
      <c r="B37" s="63" t="s">
        <v>158</v>
      </c>
      <c r="C37" s="63" t="s">
        <v>8</v>
      </c>
      <c r="D37" s="63" t="s">
        <v>159</v>
      </c>
      <c r="E37" s="63" t="s">
        <v>159</v>
      </c>
      <c r="F37" s="62"/>
      <c r="G37" s="62"/>
    </row>
    <row r="38" spans="1:7" ht="14.5" x14ac:dyDescent="0.3">
      <c r="A38" s="63" t="s">
        <v>109</v>
      </c>
      <c r="B38" s="63" t="s">
        <v>160</v>
      </c>
      <c r="C38" s="63" t="s">
        <v>8</v>
      </c>
      <c r="D38" s="63" t="s">
        <v>161</v>
      </c>
      <c r="E38" s="63" t="s">
        <v>161</v>
      </c>
      <c r="F38" s="62"/>
      <c r="G38" s="62"/>
    </row>
    <row r="39" spans="1:7" ht="14.5" x14ac:dyDescent="0.3">
      <c r="A39" s="63" t="s">
        <v>109</v>
      </c>
      <c r="B39" s="63" t="s">
        <v>162</v>
      </c>
      <c r="C39" s="63" t="s">
        <v>8</v>
      </c>
      <c r="D39" s="63" t="s">
        <v>128</v>
      </c>
      <c r="E39" s="63" t="s">
        <v>128</v>
      </c>
      <c r="F39" s="62"/>
      <c r="G39" s="62"/>
    </row>
    <row r="40" spans="1:7" ht="15.5" x14ac:dyDescent="0.3">
      <c r="A40" s="60" t="s">
        <v>109</v>
      </c>
      <c r="B40" s="66" t="s">
        <v>163</v>
      </c>
      <c r="C40" s="60" t="s">
        <v>164</v>
      </c>
      <c r="D40" s="60" t="s">
        <v>165</v>
      </c>
      <c r="E40" s="60" t="s">
        <v>166</v>
      </c>
      <c r="F40" s="62"/>
      <c r="G40" s="62"/>
    </row>
    <row r="41" spans="1:7" ht="14.5" x14ac:dyDescent="0.3">
      <c r="A41" s="63" t="s">
        <v>109</v>
      </c>
      <c r="B41" s="63" t="s">
        <v>167</v>
      </c>
      <c r="C41" s="63" t="s">
        <v>8</v>
      </c>
      <c r="D41" s="63" t="s">
        <v>165</v>
      </c>
      <c r="E41" s="63" t="s">
        <v>165</v>
      </c>
      <c r="F41" s="62"/>
      <c r="G41" s="62"/>
    </row>
    <row r="42" spans="1:7" ht="14.5" x14ac:dyDescent="0.3">
      <c r="A42" s="63" t="s">
        <v>109</v>
      </c>
      <c r="B42" s="63" t="s">
        <v>168</v>
      </c>
      <c r="C42" s="63" t="s">
        <v>8</v>
      </c>
      <c r="D42" s="63" t="s">
        <v>169</v>
      </c>
      <c r="E42" s="63" t="s">
        <v>169</v>
      </c>
      <c r="F42" s="62"/>
      <c r="G42" s="62"/>
    </row>
    <row r="43" spans="1:7" ht="14.5" x14ac:dyDescent="0.3">
      <c r="A43" s="63" t="s">
        <v>109</v>
      </c>
      <c r="B43" s="63" t="s">
        <v>170</v>
      </c>
      <c r="C43" s="63" t="s">
        <v>8</v>
      </c>
      <c r="D43" s="63" t="s">
        <v>171</v>
      </c>
      <c r="E43" s="63" t="s">
        <v>171</v>
      </c>
      <c r="F43" s="62"/>
      <c r="G43" s="62"/>
    </row>
    <row r="44" spans="1:7" ht="14.5" x14ac:dyDescent="0.3">
      <c r="A44" s="63" t="s">
        <v>109</v>
      </c>
      <c r="B44" s="63" t="s">
        <v>172</v>
      </c>
      <c r="C44" s="63" t="s">
        <v>8</v>
      </c>
      <c r="D44" s="63" t="s">
        <v>173</v>
      </c>
      <c r="E44" s="63" t="s">
        <v>173</v>
      </c>
      <c r="F44" s="62"/>
      <c r="G44" s="62"/>
    </row>
    <row r="45" spans="1:7" ht="14.5" x14ac:dyDescent="0.3">
      <c r="A45" s="63" t="s">
        <v>109</v>
      </c>
      <c r="B45" s="63" t="s">
        <v>174</v>
      </c>
      <c r="C45" s="63" t="s">
        <v>8</v>
      </c>
      <c r="D45" s="63" t="s">
        <v>166</v>
      </c>
      <c r="E45" s="63" t="s">
        <v>166</v>
      </c>
      <c r="F45" s="62"/>
      <c r="G45" s="62"/>
    </row>
    <row r="46" spans="1:7" ht="15.5" x14ac:dyDescent="0.3">
      <c r="A46" s="60" t="s">
        <v>109</v>
      </c>
      <c r="B46" s="66" t="s">
        <v>175</v>
      </c>
      <c r="C46" s="60" t="s">
        <v>176</v>
      </c>
      <c r="D46" s="60" t="s">
        <v>177</v>
      </c>
      <c r="E46" s="60" t="s">
        <v>89</v>
      </c>
      <c r="F46" s="62"/>
      <c r="G46" s="62"/>
    </row>
    <row r="47" spans="1:7" ht="14.5" x14ac:dyDescent="0.3">
      <c r="A47" s="63" t="s">
        <v>109</v>
      </c>
      <c r="B47" s="68" t="s">
        <v>178</v>
      </c>
      <c r="C47" s="63" t="s">
        <v>179</v>
      </c>
      <c r="D47" s="63" t="s">
        <v>177</v>
      </c>
      <c r="E47" s="63" t="s">
        <v>134</v>
      </c>
      <c r="F47" s="63" t="s">
        <v>180</v>
      </c>
      <c r="G47" s="63" t="s">
        <v>367</v>
      </c>
    </row>
    <row r="48" spans="1:7" ht="14.5" x14ac:dyDescent="0.3">
      <c r="A48" s="63" t="s">
        <v>109</v>
      </c>
      <c r="B48" s="68" t="s">
        <v>181</v>
      </c>
      <c r="C48" s="63" t="s">
        <v>179</v>
      </c>
      <c r="D48" s="63" t="s">
        <v>177</v>
      </c>
      <c r="E48" s="63" t="s">
        <v>134</v>
      </c>
      <c r="F48" s="63" t="s">
        <v>182</v>
      </c>
      <c r="G48" s="63" t="s">
        <v>367</v>
      </c>
    </row>
    <row r="49" spans="1:7" ht="14.5" x14ac:dyDescent="0.3">
      <c r="A49" s="63" t="s">
        <v>109</v>
      </c>
      <c r="B49" s="68" t="s">
        <v>183</v>
      </c>
      <c r="C49" s="63" t="s">
        <v>179</v>
      </c>
      <c r="D49" s="63" t="s">
        <v>177</v>
      </c>
      <c r="E49" s="63" t="s">
        <v>134</v>
      </c>
      <c r="F49" s="63" t="s">
        <v>182</v>
      </c>
      <c r="G49" s="63" t="s">
        <v>368</v>
      </c>
    </row>
    <row r="50" spans="1:7" ht="14.5" x14ac:dyDescent="0.3">
      <c r="A50" s="63" t="s">
        <v>109</v>
      </c>
      <c r="B50" s="68" t="s">
        <v>184</v>
      </c>
      <c r="C50" s="63" t="s">
        <v>8</v>
      </c>
      <c r="D50" s="63" t="s">
        <v>185</v>
      </c>
      <c r="E50" s="63" t="s">
        <v>185</v>
      </c>
      <c r="F50" s="63">
        <v>47</v>
      </c>
      <c r="G50" s="63" t="s">
        <v>367</v>
      </c>
    </row>
    <row r="51" spans="1:7" ht="14.5" x14ac:dyDescent="0.3">
      <c r="A51" s="63" t="s">
        <v>109</v>
      </c>
      <c r="B51" s="68" t="s">
        <v>186</v>
      </c>
      <c r="C51" s="63" t="s">
        <v>8</v>
      </c>
      <c r="D51" s="63" t="s">
        <v>187</v>
      </c>
      <c r="E51" s="63" t="s">
        <v>187</v>
      </c>
      <c r="F51" s="63">
        <v>48</v>
      </c>
      <c r="G51" s="63" t="s">
        <v>368</v>
      </c>
    </row>
    <row r="52" spans="1:7" ht="14.5" x14ac:dyDescent="0.3">
      <c r="A52" s="63" t="s">
        <v>109</v>
      </c>
      <c r="B52" s="68" t="s">
        <v>188</v>
      </c>
      <c r="C52" s="63" t="s">
        <v>8</v>
      </c>
      <c r="D52" s="63" t="s">
        <v>189</v>
      </c>
      <c r="E52" s="63" t="s">
        <v>189</v>
      </c>
      <c r="F52" s="63" t="s">
        <v>190</v>
      </c>
      <c r="G52" s="63" t="s">
        <v>367</v>
      </c>
    </row>
    <row r="53" spans="1:7" ht="15.5" x14ac:dyDescent="0.3">
      <c r="A53" s="63" t="s">
        <v>109</v>
      </c>
      <c r="B53" s="65" t="s">
        <v>11</v>
      </c>
      <c r="C53" s="63" t="s">
        <v>8</v>
      </c>
      <c r="D53" s="63" t="s">
        <v>88</v>
      </c>
      <c r="E53" s="63" t="s">
        <v>88</v>
      </c>
      <c r="F53" s="63">
        <v>50</v>
      </c>
      <c r="G53" s="63" t="s">
        <v>369</v>
      </c>
    </row>
    <row r="54" spans="1:7" ht="14.5" x14ac:dyDescent="0.3">
      <c r="A54" s="63" t="s">
        <v>109</v>
      </c>
      <c r="B54" s="63" t="s">
        <v>191</v>
      </c>
      <c r="C54" s="63" t="s">
        <v>8</v>
      </c>
      <c r="D54" s="63" t="s">
        <v>88</v>
      </c>
      <c r="E54" s="63" t="s">
        <v>88</v>
      </c>
      <c r="F54" s="63" t="s">
        <v>192</v>
      </c>
      <c r="G54" s="63" t="s">
        <v>370</v>
      </c>
    </row>
    <row r="55" spans="1:7" ht="15.5" x14ac:dyDescent="0.3">
      <c r="A55" s="63" t="s">
        <v>109</v>
      </c>
      <c r="B55" s="65" t="s">
        <v>193</v>
      </c>
      <c r="C55" s="63" t="s">
        <v>8</v>
      </c>
      <c r="D55" s="63" t="s">
        <v>89</v>
      </c>
      <c r="E55" s="63" t="s">
        <v>89</v>
      </c>
      <c r="F55" s="63">
        <v>52</v>
      </c>
      <c r="G55" s="63" t="s">
        <v>369</v>
      </c>
    </row>
    <row r="56" spans="1:7" ht="15.5" x14ac:dyDescent="0.3">
      <c r="A56" s="60" t="s">
        <v>109</v>
      </c>
      <c r="B56" s="66" t="s">
        <v>194</v>
      </c>
      <c r="C56" s="60" t="s">
        <v>195</v>
      </c>
      <c r="D56" s="60" t="s">
        <v>196</v>
      </c>
      <c r="E56" s="60" t="s">
        <v>91</v>
      </c>
      <c r="F56" s="62"/>
      <c r="G56" s="62"/>
    </row>
    <row r="57" spans="1:7" ht="15.5" x14ac:dyDescent="0.3">
      <c r="A57" s="63" t="s">
        <v>109</v>
      </c>
      <c r="B57" s="67" t="s">
        <v>197</v>
      </c>
      <c r="C57" s="63" t="s">
        <v>371</v>
      </c>
      <c r="D57" s="63" t="s">
        <v>196</v>
      </c>
      <c r="E57" s="63" t="s">
        <v>137</v>
      </c>
      <c r="F57" s="63">
        <v>53</v>
      </c>
      <c r="G57" s="63" t="s">
        <v>372</v>
      </c>
    </row>
    <row r="58" spans="1:7" ht="15.5" x14ac:dyDescent="0.3">
      <c r="A58" s="63" t="s">
        <v>109</v>
      </c>
      <c r="B58" s="67" t="s">
        <v>199</v>
      </c>
      <c r="C58" s="63" t="s">
        <v>202</v>
      </c>
      <c r="D58" s="63" t="s">
        <v>373</v>
      </c>
      <c r="E58" s="63" t="s">
        <v>208</v>
      </c>
      <c r="F58" s="63">
        <v>55</v>
      </c>
      <c r="G58" s="63" t="s">
        <v>372</v>
      </c>
    </row>
    <row r="59" spans="1:7" ht="15.5" x14ac:dyDescent="0.3">
      <c r="A59" s="63" t="s">
        <v>109</v>
      </c>
      <c r="B59" s="67" t="s">
        <v>201</v>
      </c>
      <c r="C59" s="63" t="s">
        <v>374</v>
      </c>
      <c r="D59" s="63" t="s">
        <v>373</v>
      </c>
      <c r="E59" s="63" t="s">
        <v>169</v>
      </c>
      <c r="F59" s="63">
        <v>55</v>
      </c>
      <c r="G59" s="63" t="s">
        <v>372</v>
      </c>
    </row>
    <row r="60" spans="1:7" ht="14.5" x14ac:dyDescent="0.3">
      <c r="A60" s="63" t="s">
        <v>109</v>
      </c>
      <c r="B60" s="63" t="s">
        <v>204</v>
      </c>
      <c r="C60" s="63" t="s">
        <v>8</v>
      </c>
      <c r="D60" s="63" t="s">
        <v>198</v>
      </c>
      <c r="E60" s="63" t="s">
        <v>198</v>
      </c>
      <c r="F60" s="63" t="s">
        <v>205</v>
      </c>
      <c r="G60" s="63" t="s">
        <v>375</v>
      </c>
    </row>
    <row r="61" spans="1:7" ht="14.5" x14ac:dyDescent="0.3">
      <c r="A61" s="63" t="s">
        <v>109</v>
      </c>
      <c r="B61" s="63" t="s">
        <v>206</v>
      </c>
      <c r="C61" s="63" t="s">
        <v>207</v>
      </c>
      <c r="D61" s="63" t="s">
        <v>203</v>
      </c>
      <c r="E61" s="63" t="s">
        <v>208</v>
      </c>
      <c r="F61" s="63">
        <v>58</v>
      </c>
      <c r="G61" s="63" t="s">
        <v>376</v>
      </c>
    </row>
    <row r="62" spans="1:7" ht="15.5" x14ac:dyDescent="0.3">
      <c r="A62" s="63" t="s">
        <v>109</v>
      </c>
      <c r="B62" s="65" t="s">
        <v>114</v>
      </c>
      <c r="C62" s="63" t="s">
        <v>8</v>
      </c>
      <c r="D62" s="63" t="s">
        <v>90</v>
      </c>
      <c r="E62" s="63" t="s">
        <v>90</v>
      </c>
      <c r="F62" s="63">
        <v>59</v>
      </c>
      <c r="G62" s="63" t="s">
        <v>369</v>
      </c>
    </row>
    <row r="63" spans="1:7" ht="14.5" x14ac:dyDescent="0.3">
      <c r="A63" s="60" t="s">
        <v>109</v>
      </c>
      <c r="B63" s="61" t="s">
        <v>209</v>
      </c>
      <c r="C63" s="60" t="s">
        <v>8</v>
      </c>
      <c r="D63" s="60" t="s">
        <v>139</v>
      </c>
      <c r="E63" s="60" t="s">
        <v>139</v>
      </c>
      <c r="F63" s="62"/>
      <c r="G63" s="62"/>
    </row>
    <row r="64" spans="1:7" ht="14.5" x14ac:dyDescent="0.3">
      <c r="A64" s="63" t="s">
        <v>109</v>
      </c>
      <c r="B64" s="68" t="s">
        <v>210</v>
      </c>
      <c r="C64" s="63" t="s">
        <v>8</v>
      </c>
      <c r="D64" s="63" t="s">
        <v>139</v>
      </c>
      <c r="E64" s="63" t="s">
        <v>139</v>
      </c>
      <c r="F64" s="63">
        <v>60</v>
      </c>
      <c r="G64" s="63" t="s">
        <v>377</v>
      </c>
    </row>
    <row r="65" spans="1:7" ht="14.5" x14ac:dyDescent="0.3">
      <c r="A65" s="60" t="s">
        <v>109</v>
      </c>
      <c r="B65" s="61" t="s">
        <v>211</v>
      </c>
      <c r="C65" s="60" t="s">
        <v>8</v>
      </c>
      <c r="D65" s="60" t="s">
        <v>139</v>
      </c>
      <c r="E65" s="60" t="s">
        <v>139</v>
      </c>
      <c r="F65" s="62"/>
      <c r="G65" s="62"/>
    </row>
    <row r="66" spans="1:7" ht="14.5" x14ac:dyDescent="0.3">
      <c r="A66" s="63" t="s">
        <v>109</v>
      </c>
      <c r="B66" s="68" t="s">
        <v>212</v>
      </c>
      <c r="C66" s="63" t="s">
        <v>8</v>
      </c>
      <c r="D66" s="63" t="s">
        <v>139</v>
      </c>
      <c r="E66" s="63" t="s">
        <v>139</v>
      </c>
      <c r="F66" s="63" t="s">
        <v>213</v>
      </c>
      <c r="G66" s="63" t="s">
        <v>377</v>
      </c>
    </row>
    <row r="67" spans="1:7" ht="14.5" x14ac:dyDescent="0.3">
      <c r="A67" s="60" t="s">
        <v>109</v>
      </c>
      <c r="B67" s="61" t="s">
        <v>214</v>
      </c>
      <c r="C67" s="60" t="s">
        <v>8</v>
      </c>
      <c r="D67" s="60" t="s">
        <v>139</v>
      </c>
      <c r="E67" s="60" t="s">
        <v>139</v>
      </c>
      <c r="F67" s="62"/>
      <c r="G67" s="62"/>
    </row>
    <row r="68" spans="1:7" ht="14.5" x14ac:dyDescent="0.3">
      <c r="A68" s="63" t="s">
        <v>109</v>
      </c>
      <c r="B68" s="68" t="s">
        <v>215</v>
      </c>
      <c r="C68" s="63" t="s">
        <v>8</v>
      </c>
      <c r="D68" s="63" t="s">
        <v>139</v>
      </c>
      <c r="E68" s="63" t="s">
        <v>139</v>
      </c>
      <c r="F68" s="63" t="s">
        <v>213</v>
      </c>
      <c r="G68" s="63" t="s">
        <v>377</v>
      </c>
    </row>
    <row r="69" spans="1:7" ht="14.5" x14ac:dyDescent="0.3">
      <c r="A69" s="60" t="s">
        <v>109</v>
      </c>
      <c r="B69" s="61" t="s">
        <v>216</v>
      </c>
      <c r="C69" s="60" t="s">
        <v>8</v>
      </c>
      <c r="D69" s="60" t="s">
        <v>139</v>
      </c>
      <c r="E69" s="60" t="s">
        <v>139</v>
      </c>
      <c r="F69" s="62"/>
      <c r="G69" s="62"/>
    </row>
    <row r="70" spans="1:7" ht="14.5" x14ac:dyDescent="0.3">
      <c r="A70" s="63" t="s">
        <v>109</v>
      </c>
      <c r="B70" s="68" t="s">
        <v>217</v>
      </c>
      <c r="C70" s="63" t="s">
        <v>8</v>
      </c>
      <c r="D70" s="63" t="s">
        <v>139</v>
      </c>
      <c r="E70" s="63" t="s">
        <v>139</v>
      </c>
      <c r="F70" s="63" t="s">
        <v>213</v>
      </c>
      <c r="G70" s="63" t="s">
        <v>377</v>
      </c>
    </row>
    <row r="71" spans="1:7" ht="14.5" x14ac:dyDescent="0.3">
      <c r="A71" s="60" t="s">
        <v>109</v>
      </c>
      <c r="B71" s="61" t="s">
        <v>218</v>
      </c>
      <c r="C71" s="60" t="s">
        <v>8</v>
      </c>
      <c r="D71" s="60" t="s">
        <v>139</v>
      </c>
      <c r="E71" s="60" t="s">
        <v>139</v>
      </c>
      <c r="F71" s="62"/>
      <c r="G71" s="62"/>
    </row>
    <row r="72" spans="1:7" ht="14.5" x14ac:dyDescent="0.3">
      <c r="A72" s="63" t="s">
        <v>109</v>
      </c>
      <c r="B72" s="68" t="s">
        <v>219</v>
      </c>
      <c r="C72" s="63" t="s">
        <v>8</v>
      </c>
      <c r="D72" s="63" t="s">
        <v>139</v>
      </c>
      <c r="E72" s="63" t="s">
        <v>139</v>
      </c>
      <c r="F72" s="63" t="s">
        <v>213</v>
      </c>
      <c r="G72" s="63" t="s">
        <v>377</v>
      </c>
    </row>
    <row r="73" spans="1:7" ht="14.5" x14ac:dyDescent="0.3">
      <c r="A73" s="60" t="s">
        <v>109</v>
      </c>
      <c r="B73" s="61" t="s">
        <v>378</v>
      </c>
      <c r="C73" s="60" t="s">
        <v>8</v>
      </c>
      <c r="D73" s="60" t="s">
        <v>139</v>
      </c>
      <c r="E73" s="60" t="s">
        <v>139</v>
      </c>
      <c r="F73" s="62"/>
      <c r="G73" s="62"/>
    </row>
    <row r="74" spans="1:7" ht="14.5" x14ac:dyDescent="0.3">
      <c r="A74" s="63" t="s">
        <v>109</v>
      </c>
      <c r="B74" s="68" t="s">
        <v>220</v>
      </c>
      <c r="C74" s="63" t="s">
        <v>8</v>
      </c>
      <c r="D74" s="63" t="s">
        <v>139</v>
      </c>
      <c r="E74" s="63" t="s">
        <v>139</v>
      </c>
      <c r="F74" s="63" t="s">
        <v>213</v>
      </c>
      <c r="G74" s="63" t="s">
        <v>377</v>
      </c>
    </row>
    <row r="75" spans="1:7" ht="14.5" x14ac:dyDescent="0.3">
      <c r="A75" s="60" t="s">
        <v>109</v>
      </c>
      <c r="B75" s="61" t="s">
        <v>221</v>
      </c>
      <c r="C75" s="60" t="s">
        <v>8</v>
      </c>
      <c r="D75" s="60" t="s">
        <v>222</v>
      </c>
      <c r="E75" s="60" t="s">
        <v>222</v>
      </c>
      <c r="F75" s="62"/>
      <c r="G75" s="62"/>
    </row>
    <row r="76" spans="1:7" ht="14.5" x14ac:dyDescent="0.3">
      <c r="A76" s="63" t="s">
        <v>109</v>
      </c>
      <c r="B76" s="68" t="s">
        <v>223</v>
      </c>
      <c r="C76" s="63" t="s">
        <v>8</v>
      </c>
      <c r="D76" s="63" t="s">
        <v>222</v>
      </c>
      <c r="E76" s="63" t="s">
        <v>222</v>
      </c>
      <c r="F76" s="63">
        <v>72</v>
      </c>
      <c r="G76" s="63" t="s">
        <v>377</v>
      </c>
    </row>
    <row r="77" spans="1:7" ht="14.5" x14ac:dyDescent="0.3">
      <c r="A77" s="60" t="s">
        <v>109</v>
      </c>
      <c r="B77" s="61" t="s">
        <v>224</v>
      </c>
      <c r="C77" s="60" t="s">
        <v>8</v>
      </c>
      <c r="D77" s="60" t="s">
        <v>222</v>
      </c>
      <c r="E77" s="60" t="s">
        <v>222</v>
      </c>
      <c r="F77" s="62"/>
      <c r="G77" s="62"/>
    </row>
    <row r="78" spans="1:7" ht="14.5" x14ac:dyDescent="0.3">
      <c r="A78" s="63" t="s">
        <v>109</v>
      </c>
      <c r="B78" s="68" t="s">
        <v>225</v>
      </c>
      <c r="C78" s="63" t="s">
        <v>8</v>
      </c>
      <c r="D78" s="63" t="s">
        <v>222</v>
      </c>
      <c r="E78" s="63" t="s">
        <v>222</v>
      </c>
      <c r="F78" s="63" t="s">
        <v>379</v>
      </c>
      <c r="G78" s="63" t="s">
        <v>377</v>
      </c>
    </row>
    <row r="79" spans="1:7" ht="14.5" x14ac:dyDescent="0.3">
      <c r="A79" s="60" t="s">
        <v>109</v>
      </c>
      <c r="B79" s="61" t="s">
        <v>227</v>
      </c>
      <c r="C79" s="60" t="s">
        <v>8</v>
      </c>
      <c r="D79" s="60" t="s">
        <v>169</v>
      </c>
      <c r="E79" s="60" t="s">
        <v>169</v>
      </c>
      <c r="F79" s="62"/>
      <c r="G79" s="62"/>
    </row>
    <row r="80" spans="1:7" ht="14.5" x14ac:dyDescent="0.3">
      <c r="A80" s="63" t="s">
        <v>109</v>
      </c>
      <c r="B80" s="68" t="s">
        <v>228</v>
      </c>
      <c r="C80" s="63" t="s">
        <v>8</v>
      </c>
      <c r="D80" s="63" t="s">
        <v>169</v>
      </c>
      <c r="E80" s="63" t="s">
        <v>169</v>
      </c>
      <c r="F80" s="63">
        <v>76</v>
      </c>
      <c r="G80" s="63" t="s">
        <v>377</v>
      </c>
    </row>
    <row r="81" spans="1:7" ht="14.5" x14ac:dyDescent="0.3">
      <c r="A81" s="60" t="s">
        <v>109</v>
      </c>
      <c r="B81" s="61" t="s">
        <v>229</v>
      </c>
      <c r="C81" s="60" t="s">
        <v>8</v>
      </c>
      <c r="D81" s="60" t="s">
        <v>169</v>
      </c>
      <c r="E81" s="60" t="s">
        <v>169</v>
      </c>
      <c r="F81" s="62"/>
      <c r="G81" s="62"/>
    </row>
    <row r="82" spans="1:7" ht="14.5" x14ac:dyDescent="0.3">
      <c r="A82" s="63" t="s">
        <v>109</v>
      </c>
      <c r="B82" s="68" t="s">
        <v>230</v>
      </c>
      <c r="C82" s="63" t="s">
        <v>8</v>
      </c>
      <c r="D82" s="63" t="s">
        <v>169</v>
      </c>
      <c r="E82" s="63" t="s">
        <v>169</v>
      </c>
      <c r="F82" s="63" t="s">
        <v>380</v>
      </c>
      <c r="G82" s="63" t="s">
        <v>377</v>
      </c>
    </row>
    <row r="83" spans="1:7" ht="14.5" x14ac:dyDescent="0.3">
      <c r="A83" s="60" t="s">
        <v>109</v>
      </c>
      <c r="B83" s="61" t="s">
        <v>232</v>
      </c>
      <c r="C83" s="60" t="s">
        <v>8</v>
      </c>
      <c r="D83" s="60" t="s">
        <v>169</v>
      </c>
      <c r="E83" s="60" t="s">
        <v>169</v>
      </c>
      <c r="F83" s="62"/>
      <c r="G83" s="62"/>
    </row>
    <row r="84" spans="1:7" ht="14.5" x14ac:dyDescent="0.3">
      <c r="A84" s="63" t="s">
        <v>109</v>
      </c>
      <c r="B84" s="68" t="s">
        <v>233</v>
      </c>
      <c r="C84" s="63" t="s">
        <v>8</v>
      </c>
      <c r="D84" s="63" t="s">
        <v>169</v>
      </c>
      <c r="E84" s="63" t="s">
        <v>169</v>
      </c>
      <c r="F84" s="63" t="s">
        <v>380</v>
      </c>
      <c r="G84" s="63" t="s">
        <v>377</v>
      </c>
    </row>
    <row r="85" spans="1:7" ht="15.5" x14ac:dyDescent="0.3">
      <c r="A85" s="63" t="s">
        <v>109</v>
      </c>
      <c r="B85" s="67" t="s">
        <v>234</v>
      </c>
      <c r="C85" s="63" t="s">
        <v>202</v>
      </c>
      <c r="D85" s="63" t="s">
        <v>235</v>
      </c>
      <c r="E85" s="63" t="s">
        <v>141</v>
      </c>
      <c r="F85" s="63">
        <v>82</v>
      </c>
      <c r="G85" s="63" t="s">
        <v>367</v>
      </c>
    </row>
    <row r="86" spans="1:7" ht="15.5" x14ac:dyDescent="0.3">
      <c r="A86" s="63" t="s">
        <v>109</v>
      </c>
      <c r="B86" s="67" t="s">
        <v>236</v>
      </c>
      <c r="C86" s="63" t="s">
        <v>8</v>
      </c>
      <c r="D86" s="63" t="s">
        <v>237</v>
      </c>
      <c r="E86" s="63" t="s">
        <v>237</v>
      </c>
      <c r="F86" s="63">
        <v>83</v>
      </c>
      <c r="G86" s="63" t="s">
        <v>370</v>
      </c>
    </row>
    <row r="87" spans="1:7" ht="15.5" x14ac:dyDescent="0.3">
      <c r="A87" s="63" t="s">
        <v>109</v>
      </c>
      <c r="B87" s="67" t="s">
        <v>238</v>
      </c>
      <c r="C87" s="63" t="s">
        <v>8</v>
      </c>
      <c r="D87" s="63" t="s">
        <v>239</v>
      </c>
      <c r="E87" s="63" t="s">
        <v>239</v>
      </c>
      <c r="F87" s="63">
        <v>84</v>
      </c>
      <c r="G87" s="63" t="s">
        <v>370</v>
      </c>
    </row>
    <row r="88" spans="1:7" ht="15.5" x14ac:dyDescent="0.3">
      <c r="A88" s="63" t="s">
        <v>109</v>
      </c>
      <c r="B88" s="65" t="s">
        <v>115</v>
      </c>
      <c r="C88" s="63" t="s">
        <v>8</v>
      </c>
      <c r="D88" s="63" t="s">
        <v>91</v>
      </c>
      <c r="E88" s="63" t="s">
        <v>91</v>
      </c>
      <c r="F88" s="63">
        <v>85</v>
      </c>
      <c r="G88" s="63" t="s">
        <v>369</v>
      </c>
    </row>
    <row r="89" spans="1:7" ht="15.5" x14ac:dyDescent="0.3">
      <c r="A89" s="60" t="s">
        <v>109</v>
      </c>
      <c r="B89" s="66" t="s">
        <v>240</v>
      </c>
      <c r="C89" s="60" t="s">
        <v>241</v>
      </c>
      <c r="D89" s="60" t="s">
        <v>242</v>
      </c>
      <c r="E89" s="60" t="s">
        <v>93</v>
      </c>
      <c r="F89" s="62"/>
      <c r="G89" s="62"/>
    </row>
    <row r="90" spans="1:7" ht="15.5" x14ac:dyDescent="0.3">
      <c r="A90" s="60" t="s">
        <v>109</v>
      </c>
      <c r="B90" s="69" t="s">
        <v>243</v>
      </c>
      <c r="C90" s="60" t="s">
        <v>179</v>
      </c>
      <c r="D90" s="60" t="s">
        <v>242</v>
      </c>
      <c r="E90" s="60" t="s">
        <v>143</v>
      </c>
      <c r="F90" s="62"/>
      <c r="G90" s="62"/>
    </row>
    <row r="91" spans="1:7" ht="14.5" x14ac:dyDescent="0.3">
      <c r="A91" s="60" t="s">
        <v>109</v>
      </c>
      <c r="B91" s="61" t="s">
        <v>244</v>
      </c>
      <c r="C91" s="60" t="s">
        <v>8</v>
      </c>
      <c r="D91" s="60" t="s">
        <v>242</v>
      </c>
      <c r="E91" s="60" t="s">
        <v>242</v>
      </c>
      <c r="F91" s="62"/>
      <c r="G91" s="62"/>
    </row>
    <row r="92" spans="1:7" ht="14.5" x14ac:dyDescent="0.3">
      <c r="A92" s="63" t="s">
        <v>109</v>
      </c>
      <c r="B92" s="68" t="s">
        <v>245</v>
      </c>
      <c r="C92" s="63" t="s">
        <v>8</v>
      </c>
      <c r="D92" s="63" t="s">
        <v>242</v>
      </c>
      <c r="E92" s="63" t="s">
        <v>242</v>
      </c>
      <c r="F92" s="63">
        <v>86</v>
      </c>
      <c r="G92" s="63" t="s">
        <v>377</v>
      </c>
    </row>
    <row r="93" spans="1:7" ht="14.5" x14ac:dyDescent="0.3">
      <c r="A93" s="63" t="s">
        <v>109</v>
      </c>
      <c r="B93" s="68" t="s">
        <v>246</v>
      </c>
      <c r="C93" s="63" t="s">
        <v>8</v>
      </c>
      <c r="D93" s="63" t="s">
        <v>242</v>
      </c>
      <c r="E93" s="63" t="s">
        <v>242</v>
      </c>
      <c r="F93" s="63" t="s">
        <v>381</v>
      </c>
      <c r="G93" s="63" t="s">
        <v>382</v>
      </c>
    </row>
    <row r="94" spans="1:7" ht="14.5" x14ac:dyDescent="0.3">
      <c r="A94" s="60" t="s">
        <v>109</v>
      </c>
      <c r="B94" s="61" t="s">
        <v>248</v>
      </c>
      <c r="C94" s="60" t="s">
        <v>8</v>
      </c>
      <c r="D94" s="60" t="s">
        <v>242</v>
      </c>
      <c r="E94" s="60" t="s">
        <v>242</v>
      </c>
      <c r="F94" s="62"/>
      <c r="G94" s="62"/>
    </row>
    <row r="95" spans="1:7" ht="14.5" x14ac:dyDescent="0.3">
      <c r="A95" s="63" t="s">
        <v>109</v>
      </c>
      <c r="B95" s="68" t="s">
        <v>249</v>
      </c>
      <c r="C95" s="63" t="s">
        <v>8</v>
      </c>
      <c r="D95" s="63" t="s">
        <v>242</v>
      </c>
      <c r="E95" s="63" t="s">
        <v>242</v>
      </c>
      <c r="F95" s="63" t="s">
        <v>381</v>
      </c>
      <c r="G95" s="63" t="s">
        <v>377</v>
      </c>
    </row>
    <row r="96" spans="1:7" ht="14.5" x14ac:dyDescent="0.3">
      <c r="A96" s="63" t="s">
        <v>109</v>
      </c>
      <c r="B96" s="68" t="s">
        <v>246</v>
      </c>
      <c r="C96" s="63" t="s">
        <v>8</v>
      </c>
      <c r="D96" s="63" t="s">
        <v>242</v>
      </c>
      <c r="E96" s="63" t="s">
        <v>242</v>
      </c>
      <c r="F96" s="63" t="s">
        <v>381</v>
      </c>
      <c r="G96" s="63" t="s">
        <v>383</v>
      </c>
    </row>
    <row r="97" spans="1:7" ht="14.5" x14ac:dyDescent="0.3">
      <c r="A97" s="60" t="s">
        <v>109</v>
      </c>
      <c r="B97" s="61" t="s">
        <v>250</v>
      </c>
      <c r="C97" s="60" t="s">
        <v>8</v>
      </c>
      <c r="D97" s="60" t="s">
        <v>242</v>
      </c>
      <c r="E97" s="60" t="s">
        <v>242</v>
      </c>
      <c r="F97" s="62"/>
      <c r="G97" s="62"/>
    </row>
    <row r="98" spans="1:7" ht="14.5" x14ac:dyDescent="0.3">
      <c r="A98" s="63" t="s">
        <v>109</v>
      </c>
      <c r="B98" s="68" t="s">
        <v>251</v>
      </c>
      <c r="C98" s="63" t="s">
        <v>8</v>
      </c>
      <c r="D98" s="63" t="s">
        <v>242</v>
      </c>
      <c r="E98" s="63" t="s">
        <v>242</v>
      </c>
      <c r="F98" s="63" t="s">
        <v>381</v>
      </c>
      <c r="G98" s="63" t="s">
        <v>377</v>
      </c>
    </row>
    <row r="99" spans="1:7" ht="14.5" x14ac:dyDescent="0.3">
      <c r="A99" s="63" t="s">
        <v>109</v>
      </c>
      <c r="B99" s="68" t="s">
        <v>252</v>
      </c>
      <c r="C99" s="63" t="s">
        <v>8</v>
      </c>
      <c r="D99" s="63" t="s">
        <v>242</v>
      </c>
      <c r="E99" s="63" t="s">
        <v>242</v>
      </c>
      <c r="F99" s="63" t="s">
        <v>381</v>
      </c>
      <c r="G99" s="63" t="s">
        <v>382</v>
      </c>
    </row>
    <row r="100" spans="1:7" ht="14.5" x14ac:dyDescent="0.3">
      <c r="A100" s="60" t="s">
        <v>109</v>
      </c>
      <c r="B100" s="61" t="s">
        <v>253</v>
      </c>
      <c r="C100" s="60" t="s">
        <v>8</v>
      </c>
      <c r="D100" s="60" t="s">
        <v>242</v>
      </c>
      <c r="E100" s="60" t="s">
        <v>242</v>
      </c>
      <c r="F100" s="62"/>
      <c r="G100" s="62"/>
    </row>
    <row r="101" spans="1:7" ht="14.5" x14ac:dyDescent="0.3">
      <c r="A101" s="63" t="s">
        <v>109</v>
      </c>
      <c r="B101" s="68" t="s">
        <v>254</v>
      </c>
      <c r="C101" s="63" t="s">
        <v>8</v>
      </c>
      <c r="D101" s="63" t="s">
        <v>242</v>
      </c>
      <c r="E101" s="63" t="s">
        <v>242</v>
      </c>
      <c r="F101" s="63" t="s">
        <v>381</v>
      </c>
      <c r="G101" s="63" t="s">
        <v>377</v>
      </c>
    </row>
    <row r="102" spans="1:7" ht="14.5" x14ac:dyDescent="0.3">
      <c r="A102" s="63" t="s">
        <v>109</v>
      </c>
      <c r="B102" s="68" t="s">
        <v>255</v>
      </c>
      <c r="C102" s="63" t="s">
        <v>8</v>
      </c>
      <c r="D102" s="63" t="s">
        <v>242</v>
      </c>
      <c r="E102" s="63" t="s">
        <v>242</v>
      </c>
      <c r="F102" s="63" t="s">
        <v>381</v>
      </c>
      <c r="G102" s="63" t="s">
        <v>382</v>
      </c>
    </row>
    <row r="103" spans="1:7" ht="14.5" x14ac:dyDescent="0.3">
      <c r="A103" s="60" t="s">
        <v>109</v>
      </c>
      <c r="B103" s="61" t="s">
        <v>256</v>
      </c>
      <c r="C103" s="60" t="s">
        <v>8</v>
      </c>
      <c r="D103" s="60" t="s">
        <v>242</v>
      </c>
      <c r="E103" s="60" t="s">
        <v>242</v>
      </c>
      <c r="F103" s="62"/>
      <c r="G103" s="62"/>
    </row>
    <row r="104" spans="1:7" ht="14.5" x14ac:dyDescent="0.3">
      <c r="A104" s="63" t="s">
        <v>109</v>
      </c>
      <c r="B104" s="68" t="s">
        <v>257</v>
      </c>
      <c r="C104" s="63" t="s">
        <v>8</v>
      </c>
      <c r="D104" s="63" t="s">
        <v>242</v>
      </c>
      <c r="E104" s="63" t="s">
        <v>242</v>
      </c>
      <c r="F104" s="63" t="s">
        <v>381</v>
      </c>
      <c r="G104" s="63" t="s">
        <v>377</v>
      </c>
    </row>
    <row r="105" spans="1:7" ht="14.5" x14ac:dyDescent="0.3">
      <c r="A105" s="63" t="s">
        <v>109</v>
      </c>
      <c r="B105" s="68" t="s">
        <v>258</v>
      </c>
      <c r="C105" s="63" t="s">
        <v>8</v>
      </c>
      <c r="D105" s="63" t="s">
        <v>242</v>
      </c>
      <c r="E105" s="63" t="s">
        <v>242</v>
      </c>
      <c r="F105" s="63" t="s">
        <v>381</v>
      </c>
      <c r="G105" s="63" t="s">
        <v>382</v>
      </c>
    </row>
    <row r="106" spans="1:7" ht="14.5" x14ac:dyDescent="0.3">
      <c r="A106" s="60" t="s">
        <v>109</v>
      </c>
      <c r="B106" s="61" t="s">
        <v>384</v>
      </c>
      <c r="C106" s="60" t="s">
        <v>8</v>
      </c>
      <c r="D106" s="60" t="s">
        <v>242</v>
      </c>
      <c r="E106" s="60" t="s">
        <v>242</v>
      </c>
      <c r="F106" s="62"/>
      <c r="G106" s="62"/>
    </row>
    <row r="107" spans="1:7" ht="14.5" x14ac:dyDescent="0.3">
      <c r="A107" s="63" t="s">
        <v>109</v>
      </c>
      <c r="B107" s="68" t="s">
        <v>259</v>
      </c>
      <c r="C107" s="63" t="s">
        <v>8</v>
      </c>
      <c r="D107" s="63" t="s">
        <v>242</v>
      </c>
      <c r="E107" s="63" t="s">
        <v>242</v>
      </c>
      <c r="F107" s="63" t="s">
        <v>381</v>
      </c>
      <c r="G107" s="63" t="s">
        <v>377</v>
      </c>
    </row>
    <row r="108" spans="1:7" ht="14.5" x14ac:dyDescent="0.3">
      <c r="A108" s="63" t="s">
        <v>109</v>
      </c>
      <c r="B108" s="68" t="s">
        <v>260</v>
      </c>
      <c r="C108" s="63" t="s">
        <v>8</v>
      </c>
      <c r="D108" s="63" t="s">
        <v>242</v>
      </c>
      <c r="E108" s="63" t="s">
        <v>242</v>
      </c>
      <c r="F108" s="63" t="s">
        <v>381</v>
      </c>
      <c r="G108" s="63" t="s">
        <v>382</v>
      </c>
    </row>
    <row r="109" spans="1:7" ht="14.5" x14ac:dyDescent="0.3">
      <c r="A109" s="60" t="s">
        <v>109</v>
      </c>
      <c r="B109" s="61" t="s">
        <v>261</v>
      </c>
      <c r="C109" s="60" t="s">
        <v>8</v>
      </c>
      <c r="D109" s="60" t="s">
        <v>143</v>
      </c>
      <c r="E109" s="60" t="s">
        <v>143</v>
      </c>
      <c r="F109" s="62"/>
      <c r="G109" s="62"/>
    </row>
    <row r="110" spans="1:7" ht="14.5" x14ac:dyDescent="0.3">
      <c r="A110" s="63" t="s">
        <v>109</v>
      </c>
      <c r="B110" s="68" t="s">
        <v>262</v>
      </c>
      <c r="C110" s="63" t="s">
        <v>8</v>
      </c>
      <c r="D110" s="63" t="s">
        <v>143</v>
      </c>
      <c r="E110" s="63" t="s">
        <v>143</v>
      </c>
      <c r="F110" s="63">
        <v>106</v>
      </c>
      <c r="G110" s="63" t="s">
        <v>377</v>
      </c>
    </row>
    <row r="111" spans="1:7" ht="14.5" x14ac:dyDescent="0.3">
      <c r="A111" s="63" t="s">
        <v>109</v>
      </c>
      <c r="B111" s="68" t="s">
        <v>263</v>
      </c>
      <c r="C111" s="63" t="s">
        <v>8</v>
      </c>
      <c r="D111" s="63" t="s">
        <v>143</v>
      </c>
      <c r="E111" s="63" t="s">
        <v>143</v>
      </c>
      <c r="F111" s="63" t="s">
        <v>385</v>
      </c>
      <c r="G111" s="63" t="s">
        <v>382</v>
      </c>
    </row>
    <row r="112" spans="1:7" ht="14.5" x14ac:dyDescent="0.3">
      <c r="A112" s="60" t="s">
        <v>109</v>
      </c>
      <c r="B112" s="61" t="s">
        <v>265</v>
      </c>
      <c r="C112" s="60" t="s">
        <v>8</v>
      </c>
      <c r="D112" s="60" t="s">
        <v>143</v>
      </c>
      <c r="E112" s="60" t="s">
        <v>143</v>
      </c>
      <c r="F112" s="62"/>
      <c r="G112" s="62"/>
    </row>
    <row r="113" spans="1:7" ht="14.5" x14ac:dyDescent="0.3">
      <c r="A113" s="63" t="s">
        <v>109</v>
      </c>
      <c r="B113" s="68" t="s">
        <v>266</v>
      </c>
      <c r="C113" s="63" t="s">
        <v>8</v>
      </c>
      <c r="D113" s="63" t="s">
        <v>143</v>
      </c>
      <c r="E113" s="63" t="s">
        <v>143</v>
      </c>
      <c r="F113" s="63" t="s">
        <v>385</v>
      </c>
      <c r="G113" s="63" t="s">
        <v>377</v>
      </c>
    </row>
    <row r="114" spans="1:7" ht="14.5" x14ac:dyDescent="0.3">
      <c r="A114" s="63" t="s">
        <v>109</v>
      </c>
      <c r="B114" s="68" t="s">
        <v>267</v>
      </c>
      <c r="C114" s="63" t="s">
        <v>8</v>
      </c>
      <c r="D114" s="63" t="s">
        <v>143</v>
      </c>
      <c r="E114" s="63" t="s">
        <v>143</v>
      </c>
      <c r="F114" s="63" t="s">
        <v>385</v>
      </c>
      <c r="G114" s="63" t="s">
        <v>382</v>
      </c>
    </row>
    <row r="115" spans="1:7" ht="14.5" x14ac:dyDescent="0.3">
      <c r="A115" s="60" t="s">
        <v>109</v>
      </c>
      <c r="B115" s="61" t="s">
        <v>268</v>
      </c>
      <c r="C115" s="60" t="s">
        <v>8</v>
      </c>
      <c r="D115" s="60" t="s">
        <v>143</v>
      </c>
      <c r="E115" s="60" t="s">
        <v>143</v>
      </c>
      <c r="F115" s="62"/>
      <c r="G115" s="62"/>
    </row>
    <row r="116" spans="1:7" ht="14.5" x14ac:dyDescent="0.3">
      <c r="A116" s="63" t="s">
        <v>109</v>
      </c>
      <c r="B116" s="68" t="s">
        <v>269</v>
      </c>
      <c r="C116" s="63" t="s">
        <v>8</v>
      </c>
      <c r="D116" s="63" t="s">
        <v>143</v>
      </c>
      <c r="E116" s="63" t="s">
        <v>143</v>
      </c>
      <c r="F116" s="63" t="s">
        <v>385</v>
      </c>
      <c r="G116" s="63" t="s">
        <v>377</v>
      </c>
    </row>
    <row r="117" spans="1:7" ht="14.5" x14ac:dyDescent="0.3">
      <c r="A117" s="63" t="s">
        <v>109</v>
      </c>
      <c r="B117" s="68" t="s">
        <v>270</v>
      </c>
      <c r="C117" s="63" t="s">
        <v>8</v>
      </c>
      <c r="D117" s="63" t="s">
        <v>143</v>
      </c>
      <c r="E117" s="63" t="s">
        <v>143</v>
      </c>
      <c r="F117" s="63" t="s">
        <v>385</v>
      </c>
      <c r="G117" s="63" t="s">
        <v>382</v>
      </c>
    </row>
    <row r="118" spans="1:7" ht="14.5" x14ac:dyDescent="0.3">
      <c r="A118" s="60" t="s">
        <v>109</v>
      </c>
      <c r="B118" s="61" t="s">
        <v>271</v>
      </c>
      <c r="C118" s="60" t="s">
        <v>8</v>
      </c>
      <c r="D118" s="60" t="s">
        <v>143</v>
      </c>
      <c r="E118" s="60" t="s">
        <v>143</v>
      </c>
      <c r="F118" s="62"/>
      <c r="G118" s="62"/>
    </row>
    <row r="119" spans="1:7" ht="14.5" x14ac:dyDescent="0.3">
      <c r="A119" s="63" t="s">
        <v>109</v>
      </c>
      <c r="B119" s="68" t="s">
        <v>272</v>
      </c>
      <c r="C119" s="63" t="s">
        <v>8</v>
      </c>
      <c r="D119" s="63" t="s">
        <v>143</v>
      </c>
      <c r="E119" s="63" t="s">
        <v>143</v>
      </c>
      <c r="F119" s="63" t="s">
        <v>385</v>
      </c>
      <c r="G119" s="63" t="s">
        <v>377</v>
      </c>
    </row>
    <row r="120" spans="1:7" ht="14.5" x14ac:dyDescent="0.3">
      <c r="A120" s="63" t="s">
        <v>109</v>
      </c>
      <c r="B120" s="68" t="s">
        <v>273</v>
      </c>
      <c r="C120" s="63" t="s">
        <v>8</v>
      </c>
      <c r="D120" s="63" t="s">
        <v>143</v>
      </c>
      <c r="E120" s="63" t="s">
        <v>143</v>
      </c>
      <c r="F120" s="63" t="s">
        <v>385</v>
      </c>
      <c r="G120" s="63" t="s">
        <v>382</v>
      </c>
    </row>
    <row r="121" spans="1:7" ht="14.5" x14ac:dyDescent="0.3">
      <c r="A121" s="60" t="s">
        <v>109</v>
      </c>
      <c r="B121" s="61" t="s">
        <v>274</v>
      </c>
      <c r="C121" s="60" t="s">
        <v>8</v>
      </c>
      <c r="D121" s="60" t="s">
        <v>143</v>
      </c>
      <c r="E121" s="60" t="s">
        <v>143</v>
      </c>
      <c r="F121" s="62"/>
      <c r="G121" s="62"/>
    </row>
    <row r="122" spans="1:7" ht="14.5" x14ac:dyDescent="0.3">
      <c r="A122" s="63" t="s">
        <v>109</v>
      </c>
      <c r="B122" s="68" t="s">
        <v>275</v>
      </c>
      <c r="C122" s="63" t="s">
        <v>8</v>
      </c>
      <c r="D122" s="63" t="s">
        <v>143</v>
      </c>
      <c r="E122" s="63" t="s">
        <v>143</v>
      </c>
      <c r="F122" s="63" t="s">
        <v>385</v>
      </c>
      <c r="G122" s="63" t="s">
        <v>377</v>
      </c>
    </row>
    <row r="123" spans="1:7" ht="14.5" x14ac:dyDescent="0.3">
      <c r="A123" s="63" t="s">
        <v>109</v>
      </c>
      <c r="B123" s="68" t="s">
        <v>276</v>
      </c>
      <c r="C123" s="63" t="s">
        <v>8</v>
      </c>
      <c r="D123" s="63" t="s">
        <v>143</v>
      </c>
      <c r="E123" s="63" t="s">
        <v>143</v>
      </c>
      <c r="F123" s="63" t="s">
        <v>385</v>
      </c>
      <c r="G123" s="63" t="s">
        <v>382</v>
      </c>
    </row>
    <row r="124" spans="1:7" ht="15.5" x14ac:dyDescent="0.3">
      <c r="A124" s="60" t="s">
        <v>109</v>
      </c>
      <c r="B124" s="69" t="s">
        <v>277</v>
      </c>
      <c r="C124" s="60" t="s">
        <v>8</v>
      </c>
      <c r="D124" s="60" t="s">
        <v>143</v>
      </c>
      <c r="E124" s="60" t="s">
        <v>143</v>
      </c>
      <c r="F124" s="62"/>
      <c r="G124" s="62"/>
    </row>
    <row r="125" spans="1:7" ht="14.5" x14ac:dyDescent="0.3">
      <c r="A125" s="63" t="s">
        <v>109</v>
      </c>
      <c r="B125" s="68" t="s">
        <v>278</v>
      </c>
      <c r="C125" s="63" t="s">
        <v>8</v>
      </c>
      <c r="D125" s="63" t="s">
        <v>143</v>
      </c>
      <c r="E125" s="63" t="s">
        <v>143</v>
      </c>
      <c r="F125" s="63">
        <v>91</v>
      </c>
      <c r="G125" s="63" t="s">
        <v>386</v>
      </c>
    </row>
    <row r="126" spans="1:7" ht="14.5" x14ac:dyDescent="0.3">
      <c r="A126" s="63" t="s">
        <v>109</v>
      </c>
      <c r="B126" s="68" t="s">
        <v>279</v>
      </c>
      <c r="C126" s="63" t="s">
        <v>8</v>
      </c>
      <c r="D126" s="63" t="s">
        <v>143</v>
      </c>
      <c r="E126" s="63" t="s">
        <v>143</v>
      </c>
      <c r="F126" s="63" t="s">
        <v>387</v>
      </c>
      <c r="G126" s="63" t="s">
        <v>382</v>
      </c>
    </row>
    <row r="127" spans="1:7" ht="15.5" x14ac:dyDescent="0.3">
      <c r="A127" s="63" t="s">
        <v>109</v>
      </c>
      <c r="B127" s="67" t="s">
        <v>281</v>
      </c>
      <c r="C127" s="63" t="s">
        <v>8</v>
      </c>
      <c r="D127" s="63" t="s">
        <v>143</v>
      </c>
      <c r="E127" s="63" t="s">
        <v>143</v>
      </c>
      <c r="F127" s="63" t="s">
        <v>387</v>
      </c>
      <c r="G127" s="63" t="s">
        <v>386</v>
      </c>
    </row>
    <row r="128" spans="1:7" ht="14.5" x14ac:dyDescent="0.3">
      <c r="A128" s="63" t="s">
        <v>109</v>
      </c>
      <c r="B128" s="68" t="s">
        <v>282</v>
      </c>
      <c r="C128" s="63" t="s">
        <v>8</v>
      </c>
      <c r="D128" s="63" t="s">
        <v>143</v>
      </c>
      <c r="E128" s="63" t="s">
        <v>143</v>
      </c>
      <c r="F128" s="63" t="s">
        <v>387</v>
      </c>
      <c r="G128" s="63" t="s">
        <v>382</v>
      </c>
    </row>
    <row r="129" spans="1:7" ht="15.5" x14ac:dyDescent="0.3">
      <c r="A129" s="60" t="s">
        <v>109</v>
      </c>
      <c r="B129" s="69" t="s">
        <v>283</v>
      </c>
      <c r="C129" s="60" t="s">
        <v>8</v>
      </c>
      <c r="D129" s="60" t="s">
        <v>143</v>
      </c>
      <c r="E129" s="60" t="s">
        <v>143</v>
      </c>
      <c r="F129" s="62"/>
      <c r="G129" s="62"/>
    </row>
    <row r="130" spans="1:7" ht="14.5" x14ac:dyDescent="0.3">
      <c r="A130" s="63" t="s">
        <v>109</v>
      </c>
      <c r="B130" s="68" t="s">
        <v>284</v>
      </c>
      <c r="C130" s="63" t="s">
        <v>8</v>
      </c>
      <c r="D130" s="63" t="s">
        <v>143</v>
      </c>
      <c r="E130" s="63" t="s">
        <v>143</v>
      </c>
      <c r="F130" s="63" t="s">
        <v>387</v>
      </c>
      <c r="G130" s="63" t="s">
        <v>386</v>
      </c>
    </row>
    <row r="131" spans="1:7" ht="14.5" x14ac:dyDescent="0.3">
      <c r="A131" s="63" t="s">
        <v>109</v>
      </c>
      <c r="B131" s="68" t="s">
        <v>279</v>
      </c>
      <c r="C131" s="63" t="s">
        <v>8</v>
      </c>
      <c r="D131" s="63" t="s">
        <v>143</v>
      </c>
      <c r="E131" s="63" t="s">
        <v>143</v>
      </c>
      <c r="F131" s="63" t="s">
        <v>387</v>
      </c>
      <c r="G131" s="63" t="s">
        <v>382</v>
      </c>
    </row>
    <row r="132" spans="1:7" ht="15.5" x14ac:dyDescent="0.3">
      <c r="A132" s="63" t="s">
        <v>109</v>
      </c>
      <c r="B132" s="67" t="s">
        <v>285</v>
      </c>
      <c r="C132" s="63" t="s">
        <v>8</v>
      </c>
      <c r="D132" s="63" t="s">
        <v>143</v>
      </c>
      <c r="E132" s="63" t="s">
        <v>143</v>
      </c>
      <c r="F132" s="63" t="s">
        <v>387</v>
      </c>
      <c r="G132" s="63" t="s">
        <v>386</v>
      </c>
    </row>
    <row r="133" spans="1:7" ht="14.5" x14ac:dyDescent="0.3">
      <c r="A133" s="63" t="s">
        <v>109</v>
      </c>
      <c r="B133" s="68" t="s">
        <v>282</v>
      </c>
      <c r="C133" s="63" t="s">
        <v>8</v>
      </c>
      <c r="D133" s="63" t="s">
        <v>143</v>
      </c>
      <c r="E133" s="63" t="s">
        <v>143</v>
      </c>
      <c r="F133" s="63" t="s">
        <v>387</v>
      </c>
      <c r="G133" s="63" t="s">
        <v>382</v>
      </c>
    </row>
    <row r="134" spans="1:7" ht="15.5" x14ac:dyDescent="0.3">
      <c r="A134" s="60" t="s">
        <v>109</v>
      </c>
      <c r="B134" s="69" t="s">
        <v>286</v>
      </c>
      <c r="C134" s="60" t="s">
        <v>8</v>
      </c>
      <c r="D134" s="60" t="s">
        <v>143</v>
      </c>
      <c r="E134" s="60" t="s">
        <v>143</v>
      </c>
      <c r="F134" s="62"/>
      <c r="G134" s="62"/>
    </row>
    <row r="135" spans="1:7" ht="14.5" x14ac:dyDescent="0.3">
      <c r="A135" s="63" t="s">
        <v>109</v>
      </c>
      <c r="B135" s="68" t="s">
        <v>287</v>
      </c>
      <c r="C135" s="63" t="s">
        <v>8</v>
      </c>
      <c r="D135" s="63" t="s">
        <v>143</v>
      </c>
      <c r="E135" s="63" t="s">
        <v>143</v>
      </c>
      <c r="F135" s="63" t="s">
        <v>387</v>
      </c>
      <c r="G135" s="63" t="s">
        <v>386</v>
      </c>
    </row>
    <row r="136" spans="1:7" ht="14.5" x14ac:dyDescent="0.3">
      <c r="A136" s="63" t="s">
        <v>109</v>
      </c>
      <c r="B136" s="68" t="s">
        <v>279</v>
      </c>
      <c r="C136" s="63" t="s">
        <v>8</v>
      </c>
      <c r="D136" s="63" t="s">
        <v>143</v>
      </c>
      <c r="E136" s="63" t="s">
        <v>143</v>
      </c>
      <c r="F136" s="63" t="s">
        <v>387</v>
      </c>
      <c r="G136" s="63" t="s">
        <v>382</v>
      </c>
    </row>
    <row r="137" spans="1:7" ht="15.5" x14ac:dyDescent="0.3">
      <c r="A137" s="63" t="s">
        <v>109</v>
      </c>
      <c r="B137" s="67" t="s">
        <v>288</v>
      </c>
      <c r="C137" s="63" t="s">
        <v>8</v>
      </c>
      <c r="D137" s="63" t="s">
        <v>143</v>
      </c>
      <c r="E137" s="63" t="s">
        <v>143</v>
      </c>
      <c r="F137" s="63" t="s">
        <v>387</v>
      </c>
      <c r="G137" s="63" t="s">
        <v>386</v>
      </c>
    </row>
    <row r="138" spans="1:7" ht="14.5" x14ac:dyDescent="0.3">
      <c r="A138" s="63" t="s">
        <v>109</v>
      </c>
      <c r="B138" s="68" t="s">
        <v>282</v>
      </c>
      <c r="C138" s="63" t="s">
        <v>8</v>
      </c>
      <c r="D138" s="63" t="s">
        <v>143</v>
      </c>
      <c r="E138" s="63" t="s">
        <v>143</v>
      </c>
      <c r="F138" s="63" t="s">
        <v>387</v>
      </c>
      <c r="G138" s="63" t="s">
        <v>382</v>
      </c>
    </row>
    <row r="139" spans="1:7" ht="15.5" x14ac:dyDescent="0.3">
      <c r="A139" s="60" t="s">
        <v>109</v>
      </c>
      <c r="B139" s="69" t="s">
        <v>289</v>
      </c>
      <c r="C139" s="60" t="s">
        <v>8</v>
      </c>
      <c r="D139" s="60" t="s">
        <v>143</v>
      </c>
      <c r="E139" s="60" t="s">
        <v>143</v>
      </c>
      <c r="F139" s="62"/>
      <c r="G139" s="62"/>
    </row>
    <row r="140" spans="1:7" ht="14.5" x14ac:dyDescent="0.3">
      <c r="A140" s="63" t="s">
        <v>109</v>
      </c>
      <c r="B140" s="68" t="s">
        <v>290</v>
      </c>
      <c r="C140" s="63" t="s">
        <v>8</v>
      </c>
      <c r="D140" s="63" t="s">
        <v>143</v>
      </c>
      <c r="E140" s="63" t="s">
        <v>143</v>
      </c>
      <c r="F140" s="63" t="s">
        <v>387</v>
      </c>
      <c r="G140" s="63" t="s">
        <v>386</v>
      </c>
    </row>
    <row r="141" spans="1:7" ht="14.5" x14ac:dyDescent="0.3">
      <c r="A141" s="63" t="s">
        <v>109</v>
      </c>
      <c r="B141" s="68" t="s">
        <v>279</v>
      </c>
      <c r="C141" s="63" t="s">
        <v>8</v>
      </c>
      <c r="D141" s="63" t="s">
        <v>143</v>
      </c>
      <c r="E141" s="63" t="s">
        <v>143</v>
      </c>
      <c r="F141" s="63" t="s">
        <v>387</v>
      </c>
      <c r="G141" s="63" t="s">
        <v>382</v>
      </c>
    </row>
    <row r="142" spans="1:7" ht="15.5" x14ac:dyDescent="0.3">
      <c r="A142" s="63" t="s">
        <v>109</v>
      </c>
      <c r="B142" s="67" t="s">
        <v>291</v>
      </c>
      <c r="C142" s="63" t="s">
        <v>8</v>
      </c>
      <c r="D142" s="63" t="s">
        <v>143</v>
      </c>
      <c r="E142" s="63" t="s">
        <v>143</v>
      </c>
      <c r="F142" s="63" t="s">
        <v>387</v>
      </c>
      <c r="G142" s="63" t="s">
        <v>386</v>
      </c>
    </row>
    <row r="143" spans="1:7" ht="14.5" x14ac:dyDescent="0.3">
      <c r="A143" s="63" t="s">
        <v>109</v>
      </c>
      <c r="B143" s="68" t="s">
        <v>282</v>
      </c>
      <c r="C143" s="63" t="s">
        <v>8</v>
      </c>
      <c r="D143" s="63" t="s">
        <v>143</v>
      </c>
      <c r="E143" s="63" t="s">
        <v>143</v>
      </c>
      <c r="F143" s="63" t="s">
        <v>387</v>
      </c>
      <c r="G143" s="63" t="s">
        <v>382</v>
      </c>
    </row>
    <row r="144" spans="1:7" ht="15.5" x14ac:dyDescent="0.3">
      <c r="A144" s="60" t="s">
        <v>109</v>
      </c>
      <c r="B144" s="69" t="s">
        <v>292</v>
      </c>
      <c r="C144" s="60" t="s">
        <v>8</v>
      </c>
      <c r="D144" s="60" t="s">
        <v>143</v>
      </c>
      <c r="E144" s="60" t="s">
        <v>143</v>
      </c>
      <c r="F144" s="62"/>
      <c r="G144" s="62"/>
    </row>
    <row r="145" spans="1:7" ht="14.5" x14ac:dyDescent="0.3">
      <c r="A145" s="63" t="s">
        <v>109</v>
      </c>
      <c r="B145" s="68" t="s">
        <v>388</v>
      </c>
      <c r="C145" s="63" t="s">
        <v>8</v>
      </c>
      <c r="D145" s="63" t="s">
        <v>143</v>
      </c>
      <c r="E145" s="63" t="s">
        <v>143</v>
      </c>
      <c r="F145" s="63" t="s">
        <v>387</v>
      </c>
      <c r="G145" s="63" t="s">
        <v>386</v>
      </c>
    </row>
    <row r="146" spans="1:7" ht="14.5" x14ac:dyDescent="0.3">
      <c r="A146" s="63" t="s">
        <v>109</v>
      </c>
      <c r="B146" s="68" t="s">
        <v>279</v>
      </c>
      <c r="C146" s="63" t="s">
        <v>8</v>
      </c>
      <c r="D146" s="63" t="s">
        <v>143</v>
      </c>
      <c r="E146" s="63" t="s">
        <v>143</v>
      </c>
      <c r="F146" s="63" t="s">
        <v>387</v>
      </c>
      <c r="G146" s="63" t="s">
        <v>382</v>
      </c>
    </row>
    <row r="147" spans="1:7" ht="15.5" x14ac:dyDescent="0.3">
      <c r="A147" s="63" t="s">
        <v>109</v>
      </c>
      <c r="B147" s="67" t="s">
        <v>389</v>
      </c>
      <c r="C147" s="63" t="s">
        <v>8</v>
      </c>
      <c r="D147" s="63" t="s">
        <v>143</v>
      </c>
      <c r="E147" s="63" t="s">
        <v>143</v>
      </c>
      <c r="F147" s="63" t="s">
        <v>387</v>
      </c>
      <c r="G147" s="63" t="s">
        <v>386</v>
      </c>
    </row>
    <row r="148" spans="1:7" ht="14.5" x14ac:dyDescent="0.3">
      <c r="A148" s="63" t="s">
        <v>109</v>
      </c>
      <c r="B148" s="68" t="s">
        <v>282</v>
      </c>
      <c r="C148" s="63" t="s">
        <v>8</v>
      </c>
      <c r="D148" s="63" t="s">
        <v>143</v>
      </c>
      <c r="E148" s="63" t="s">
        <v>143</v>
      </c>
      <c r="F148" s="63" t="s">
        <v>387</v>
      </c>
      <c r="G148" s="63" t="s">
        <v>382</v>
      </c>
    </row>
    <row r="149" spans="1:7" ht="15.5" x14ac:dyDescent="0.3">
      <c r="A149" s="60" t="s">
        <v>109</v>
      </c>
      <c r="B149" s="69" t="s">
        <v>390</v>
      </c>
      <c r="C149" s="60" t="s">
        <v>8</v>
      </c>
      <c r="D149" s="60" t="s">
        <v>143</v>
      </c>
      <c r="E149" s="60" t="s">
        <v>143</v>
      </c>
      <c r="F149" s="62"/>
      <c r="G149" s="62"/>
    </row>
    <row r="150" spans="1:7" ht="14.5" x14ac:dyDescent="0.3">
      <c r="A150" s="63" t="s">
        <v>109</v>
      </c>
      <c r="B150" s="68" t="s">
        <v>391</v>
      </c>
      <c r="C150" s="63" t="s">
        <v>8</v>
      </c>
      <c r="D150" s="63" t="s">
        <v>143</v>
      </c>
      <c r="E150" s="63" t="s">
        <v>143</v>
      </c>
      <c r="F150" s="63" t="s">
        <v>387</v>
      </c>
      <c r="G150" s="63" t="s">
        <v>386</v>
      </c>
    </row>
    <row r="151" spans="1:7" ht="14.5" x14ac:dyDescent="0.3">
      <c r="A151" s="63" t="s">
        <v>109</v>
      </c>
      <c r="B151" s="68" t="s">
        <v>279</v>
      </c>
      <c r="C151" s="63" t="s">
        <v>8</v>
      </c>
      <c r="D151" s="63" t="s">
        <v>143</v>
      </c>
      <c r="E151" s="63" t="s">
        <v>143</v>
      </c>
      <c r="F151" s="63" t="s">
        <v>387</v>
      </c>
      <c r="G151" s="63" t="s">
        <v>382</v>
      </c>
    </row>
    <row r="152" spans="1:7" ht="15.5" x14ac:dyDescent="0.3">
      <c r="A152" s="63" t="s">
        <v>109</v>
      </c>
      <c r="B152" s="67" t="s">
        <v>392</v>
      </c>
      <c r="C152" s="63" t="s">
        <v>8</v>
      </c>
      <c r="D152" s="63" t="s">
        <v>143</v>
      </c>
      <c r="E152" s="63" t="s">
        <v>143</v>
      </c>
      <c r="F152" s="63" t="s">
        <v>387</v>
      </c>
      <c r="G152" s="63" t="s">
        <v>386</v>
      </c>
    </row>
    <row r="153" spans="1:7" ht="14.5" x14ac:dyDescent="0.3">
      <c r="A153" s="63" t="s">
        <v>109</v>
      </c>
      <c r="B153" s="68" t="s">
        <v>282</v>
      </c>
      <c r="C153" s="63" t="s">
        <v>8</v>
      </c>
      <c r="D153" s="63" t="s">
        <v>143</v>
      </c>
      <c r="E153" s="63" t="s">
        <v>143</v>
      </c>
      <c r="F153" s="63" t="s">
        <v>387</v>
      </c>
      <c r="G153" s="63" t="s">
        <v>382</v>
      </c>
    </row>
    <row r="154" spans="1:7" ht="15.5" x14ac:dyDescent="0.3">
      <c r="A154" s="60" t="s">
        <v>109</v>
      </c>
      <c r="B154" s="69" t="s">
        <v>301</v>
      </c>
      <c r="C154" s="60" t="s">
        <v>8</v>
      </c>
      <c r="D154" s="60" t="s">
        <v>302</v>
      </c>
      <c r="E154" s="60" t="s">
        <v>302</v>
      </c>
      <c r="F154" s="62"/>
      <c r="G154" s="62"/>
    </row>
    <row r="155" spans="1:7" ht="14.5" x14ac:dyDescent="0.3">
      <c r="A155" s="63" t="s">
        <v>109</v>
      </c>
      <c r="B155" s="68" t="s">
        <v>303</v>
      </c>
      <c r="C155" s="63" t="s">
        <v>8</v>
      </c>
      <c r="D155" s="63" t="s">
        <v>302</v>
      </c>
      <c r="E155" s="63" t="s">
        <v>302</v>
      </c>
      <c r="F155" s="63">
        <v>109</v>
      </c>
      <c r="G155" s="63" t="s">
        <v>386</v>
      </c>
    </row>
    <row r="156" spans="1:7" ht="14.5" x14ac:dyDescent="0.3">
      <c r="A156" s="63" t="s">
        <v>109</v>
      </c>
      <c r="B156" s="68" t="s">
        <v>279</v>
      </c>
      <c r="C156" s="63" t="s">
        <v>8</v>
      </c>
      <c r="D156" s="63" t="s">
        <v>302</v>
      </c>
      <c r="E156" s="63" t="s">
        <v>302</v>
      </c>
      <c r="F156" s="63" t="s">
        <v>393</v>
      </c>
      <c r="G156" s="63" t="s">
        <v>382</v>
      </c>
    </row>
    <row r="157" spans="1:7" ht="15.5" x14ac:dyDescent="0.3">
      <c r="A157" s="63" t="s">
        <v>109</v>
      </c>
      <c r="B157" s="67" t="s">
        <v>305</v>
      </c>
      <c r="C157" s="63" t="s">
        <v>8</v>
      </c>
      <c r="D157" s="63" t="s">
        <v>302</v>
      </c>
      <c r="E157" s="63" t="s">
        <v>302</v>
      </c>
      <c r="F157" s="63" t="s">
        <v>393</v>
      </c>
      <c r="G157" s="63" t="s">
        <v>386</v>
      </c>
    </row>
    <row r="158" spans="1:7" ht="14.5" x14ac:dyDescent="0.3">
      <c r="A158" s="63" t="s">
        <v>109</v>
      </c>
      <c r="B158" s="68" t="s">
        <v>282</v>
      </c>
      <c r="C158" s="63" t="s">
        <v>8</v>
      </c>
      <c r="D158" s="63" t="s">
        <v>302</v>
      </c>
      <c r="E158" s="63" t="s">
        <v>302</v>
      </c>
      <c r="F158" s="63" t="s">
        <v>393</v>
      </c>
      <c r="G158" s="63" t="s">
        <v>382</v>
      </c>
    </row>
    <row r="159" spans="1:7" ht="15.5" x14ac:dyDescent="0.3">
      <c r="A159" s="60" t="s">
        <v>109</v>
      </c>
      <c r="B159" s="69" t="s">
        <v>306</v>
      </c>
      <c r="C159" s="60" t="s">
        <v>8</v>
      </c>
      <c r="D159" s="60" t="s">
        <v>302</v>
      </c>
      <c r="E159" s="60" t="s">
        <v>302</v>
      </c>
      <c r="F159" s="62"/>
      <c r="G159" s="62"/>
    </row>
    <row r="160" spans="1:7" ht="14.5" x14ac:dyDescent="0.3">
      <c r="A160" s="63" t="s">
        <v>109</v>
      </c>
      <c r="B160" s="68" t="s">
        <v>307</v>
      </c>
      <c r="C160" s="63" t="s">
        <v>8</v>
      </c>
      <c r="D160" s="63" t="s">
        <v>302</v>
      </c>
      <c r="E160" s="63" t="s">
        <v>302</v>
      </c>
      <c r="F160" s="63" t="s">
        <v>393</v>
      </c>
      <c r="G160" s="63" t="s">
        <v>386</v>
      </c>
    </row>
    <row r="161" spans="1:7" ht="14.5" x14ac:dyDescent="0.3">
      <c r="A161" s="63" t="s">
        <v>109</v>
      </c>
      <c r="B161" s="68" t="s">
        <v>279</v>
      </c>
      <c r="C161" s="63" t="s">
        <v>8</v>
      </c>
      <c r="D161" s="63" t="s">
        <v>302</v>
      </c>
      <c r="E161" s="63" t="s">
        <v>302</v>
      </c>
      <c r="F161" s="63" t="s">
        <v>393</v>
      </c>
      <c r="G161" s="63" t="s">
        <v>382</v>
      </c>
    </row>
    <row r="162" spans="1:7" ht="15.5" x14ac:dyDescent="0.3">
      <c r="A162" s="63" t="s">
        <v>109</v>
      </c>
      <c r="B162" s="67" t="s">
        <v>308</v>
      </c>
      <c r="C162" s="63" t="s">
        <v>8</v>
      </c>
      <c r="D162" s="63" t="s">
        <v>302</v>
      </c>
      <c r="E162" s="63" t="s">
        <v>302</v>
      </c>
      <c r="F162" s="63" t="s">
        <v>393</v>
      </c>
      <c r="G162" s="63" t="s">
        <v>386</v>
      </c>
    </row>
    <row r="163" spans="1:7" ht="14.5" x14ac:dyDescent="0.3">
      <c r="A163" s="63" t="s">
        <v>109</v>
      </c>
      <c r="B163" s="68" t="s">
        <v>282</v>
      </c>
      <c r="C163" s="63" t="s">
        <v>8</v>
      </c>
      <c r="D163" s="63" t="s">
        <v>302</v>
      </c>
      <c r="E163" s="63" t="s">
        <v>302</v>
      </c>
      <c r="F163" s="63" t="s">
        <v>393</v>
      </c>
      <c r="G163" s="63" t="s">
        <v>382</v>
      </c>
    </row>
    <row r="164" spans="1:7" ht="15.5" x14ac:dyDescent="0.3">
      <c r="A164" s="60" t="s">
        <v>109</v>
      </c>
      <c r="B164" s="69" t="s">
        <v>309</v>
      </c>
      <c r="C164" s="60" t="s">
        <v>8</v>
      </c>
      <c r="D164" s="60" t="s">
        <v>302</v>
      </c>
      <c r="E164" s="60" t="s">
        <v>302</v>
      </c>
      <c r="F164" s="62"/>
      <c r="G164" s="62"/>
    </row>
    <row r="165" spans="1:7" ht="14.5" x14ac:dyDescent="0.3">
      <c r="A165" s="63" t="s">
        <v>109</v>
      </c>
      <c r="B165" s="68" t="s">
        <v>310</v>
      </c>
      <c r="C165" s="63" t="s">
        <v>8</v>
      </c>
      <c r="D165" s="63" t="s">
        <v>302</v>
      </c>
      <c r="E165" s="63" t="s">
        <v>302</v>
      </c>
      <c r="F165" s="63" t="s">
        <v>393</v>
      </c>
      <c r="G165" s="63" t="s">
        <v>386</v>
      </c>
    </row>
    <row r="166" spans="1:7" ht="14.5" x14ac:dyDescent="0.3">
      <c r="A166" s="63" t="s">
        <v>109</v>
      </c>
      <c r="B166" s="68" t="s">
        <v>279</v>
      </c>
      <c r="C166" s="63" t="s">
        <v>8</v>
      </c>
      <c r="D166" s="63" t="s">
        <v>302</v>
      </c>
      <c r="E166" s="63" t="s">
        <v>302</v>
      </c>
      <c r="F166" s="63" t="s">
        <v>393</v>
      </c>
      <c r="G166" s="63" t="s">
        <v>382</v>
      </c>
    </row>
    <row r="167" spans="1:7" ht="15.5" x14ac:dyDescent="0.3">
      <c r="A167" s="63" t="s">
        <v>109</v>
      </c>
      <c r="B167" s="67" t="s">
        <v>311</v>
      </c>
      <c r="C167" s="63" t="s">
        <v>8</v>
      </c>
      <c r="D167" s="63" t="s">
        <v>302</v>
      </c>
      <c r="E167" s="63" t="s">
        <v>302</v>
      </c>
      <c r="F167" s="63" t="s">
        <v>393</v>
      </c>
      <c r="G167" s="63" t="s">
        <v>386</v>
      </c>
    </row>
    <row r="168" spans="1:7" ht="14.5" x14ac:dyDescent="0.3">
      <c r="A168" s="63" t="s">
        <v>109</v>
      </c>
      <c r="B168" s="68" t="s">
        <v>282</v>
      </c>
      <c r="C168" s="63" t="s">
        <v>8</v>
      </c>
      <c r="D168" s="63" t="s">
        <v>302</v>
      </c>
      <c r="E168" s="63" t="s">
        <v>302</v>
      </c>
      <c r="F168" s="63" t="s">
        <v>393</v>
      </c>
      <c r="G168" s="63" t="s">
        <v>382</v>
      </c>
    </row>
    <row r="169" spans="1:7" ht="15.5" x14ac:dyDescent="0.3">
      <c r="A169" s="60" t="s">
        <v>109</v>
      </c>
      <c r="B169" s="69" t="s">
        <v>312</v>
      </c>
      <c r="C169" s="60" t="s">
        <v>8</v>
      </c>
      <c r="D169" s="60" t="s">
        <v>302</v>
      </c>
      <c r="E169" s="60" t="s">
        <v>302</v>
      </c>
      <c r="F169" s="62"/>
      <c r="G169" s="62"/>
    </row>
    <row r="170" spans="1:7" ht="14.5" x14ac:dyDescent="0.3">
      <c r="A170" s="63" t="s">
        <v>109</v>
      </c>
      <c r="B170" s="68" t="s">
        <v>313</v>
      </c>
      <c r="C170" s="63" t="s">
        <v>8</v>
      </c>
      <c r="D170" s="63" t="s">
        <v>302</v>
      </c>
      <c r="E170" s="63" t="s">
        <v>302</v>
      </c>
      <c r="F170" s="63" t="s">
        <v>393</v>
      </c>
      <c r="G170" s="63" t="s">
        <v>386</v>
      </c>
    </row>
    <row r="171" spans="1:7" ht="14.5" x14ac:dyDescent="0.3">
      <c r="A171" s="63" t="s">
        <v>109</v>
      </c>
      <c r="B171" s="68" t="s">
        <v>279</v>
      </c>
      <c r="C171" s="63" t="s">
        <v>8</v>
      </c>
      <c r="D171" s="63" t="s">
        <v>302</v>
      </c>
      <c r="E171" s="63" t="s">
        <v>302</v>
      </c>
      <c r="F171" s="63" t="s">
        <v>393</v>
      </c>
      <c r="G171" s="63" t="s">
        <v>382</v>
      </c>
    </row>
    <row r="172" spans="1:7" ht="15.5" x14ac:dyDescent="0.3">
      <c r="A172" s="63" t="s">
        <v>109</v>
      </c>
      <c r="B172" s="67" t="s">
        <v>314</v>
      </c>
      <c r="C172" s="63" t="s">
        <v>8</v>
      </c>
      <c r="D172" s="63" t="s">
        <v>302</v>
      </c>
      <c r="E172" s="63" t="s">
        <v>302</v>
      </c>
      <c r="F172" s="63" t="s">
        <v>393</v>
      </c>
      <c r="G172" s="63" t="s">
        <v>386</v>
      </c>
    </row>
    <row r="173" spans="1:7" ht="14.5" x14ac:dyDescent="0.3">
      <c r="A173" s="63" t="s">
        <v>109</v>
      </c>
      <c r="B173" s="68" t="s">
        <v>282</v>
      </c>
      <c r="C173" s="63" t="s">
        <v>8</v>
      </c>
      <c r="D173" s="63" t="s">
        <v>302</v>
      </c>
      <c r="E173" s="63" t="s">
        <v>302</v>
      </c>
      <c r="F173" s="63" t="s">
        <v>393</v>
      </c>
      <c r="G173" s="63" t="s">
        <v>382</v>
      </c>
    </row>
    <row r="174" spans="1:7" ht="15.5" x14ac:dyDescent="0.3">
      <c r="A174" s="60" t="s">
        <v>109</v>
      </c>
      <c r="B174" s="69" t="s">
        <v>315</v>
      </c>
      <c r="C174" s="60" t="s">
        <v>8</v>
      </c>
      <c r="D174" s="60" t="s">
        <v>302</v>
      </c>
      <c r="E174" s="60" t="s">
        <v>302</v>
      </c>
      <c r="F174" s="62"/>
      <c r="G174" s="62"/>
    </row>
    <row r="175" spans="1:7" ht="14.5" x14ac:dyDescent="0.3">
      <c r="A175" s="63" t="s">
        <v>109</v>
      </c>
      <c r="B175" s="68" t="s">
        <v>316</v>
      </c>
      <c r="C175" s="63" t="s">
        <v>8</v>
      </c>
      <c r="D175" s="63" t="s">
        <v>302</v>
      </c>
      <c r="E175" s="63" t="s">
        <v>302</v>
      </c>
      <c r="F175" s="63" t="s">
        <v>393</v>
      </c>
      <c r="G175" s="63" t="s">
        <v>386</v>
      </c>
    </row>
    <row r="176" spans="1:7" ht="14.5" x14ac:dyDescent="0.3">
      <c r="A176" s="63" t="s">
        <v>109</v>
      </c>
      <c r="B176" s="68" t="s">
        <v>279</v>
      </c>
      <c r="C176" s="63" t="s">
        <v>8</v>
      </c>
      <c r="D176" s="63" t="s">
        <v>302</v>
      </c>
      <c r="E176" s="63" t="s">
        <v>302</v>
      </c>
      <c r="F176" s="63" t="s">
        <v>393</v>
      </c>
      <c r="G176" s="63" t="s">
        <v>382</v>
      </c>
    </row>
    <row r="177" spans="1:7" ht="15.5" x14ac:dyDescent="0.3">
      <c r="A177" s="63" t="s">
        <v>109</v>
      </c>
      <c r="B177" s="67" t="s">
        <v>317</v>
      </c>
      <c r="C177" s="63" t="s">
        <v>8</v>
      </c>
      <c r="D177" s="63" t="s">
        <v>302</v>
      </c>
      <c r="E177" s="63" t="s">
        <v>302</v>
      </c>
      <c r="F177" s="63" t="s">
        <v>393</v>
      </c>
      <c r="G177" s="63" t="s">
        <v>386</v>
      </c>
    </row>
    <row r="178" spans="1:7" ht="14.5" x14ac:dyDescent="0.3">
      <c r="A178" s="63" t="s">
        <v>109</v>
      </c>
      <c r="B178" s="68" t="s">
        <v>282</v>
      </c>
      <c r="C178" s="63" t="s">
        <v>8</v>
      </c>
      <c r="D178" s="63" t="s">
        <v>302</v>
      </c>
      <c r="E178" s="63" t="s">
        <v>302</v>
      </c>
      <c r="F178" s="63" t="s">
        <v>393</v>
      </c>
      <c r="G178" s="63" t="s">
        <v>382</v>
      </c>
    </row>
    <row r="179" spans="1:7" ht="14.5" x14ac:dyDescent="0.3">
      <c r="A179" s="63" t="s">
        <v>109</v>
      </c>
      <c r="B179" s="68" t="s">
        <v>318</v>
      </c>
      <c r="C179" s="68" t="s">
        <v>179</v>
      </c>
      <c r="D179" s="63" t="s">
        <v>319</v>
      </c>
      <c r="E179" s="63" t="s">
        <v>320</v>
      </c>
      <c r="F179" s="63">
        <v>176</v>
      </c>
      <c r="G179" s="63" t="s">
        <v>372</v>
      </c>
    </row>
    <row r="180" spans="1:7" ht="14.5" x14ac:dyDescent="0.3">
      <c r="A180" s="63" t="s">
        <v>109</v>
      </c>
      <c r="B180" s="68" t="s">
        <v>321</v>
      </c>
      <c r="C180" s="68" t="s">
        <v>179</v>
      </c>
      <c r="D180" s="63" t="s">
        <v>322</v>
      </c>
      <c r="E180" s="63" t="s">
        <v>145</v>
      </c>
      <c r="F180" s="63">
        <v>177</v>
      </c>
      <c r="G180" s="63" t="s">
        <v>372</v>
      </c>
    </row>
    <row r="181" spans="1:7" ht="14.5" x14ac:dyDescent="0.3">
      <c r="A181" s="63" t="s">
        <v>109</v>
      </c>
      <c r="B181" s="68" t="s">
        <v>323</v>
      </c>
      <c r="C181" s="68" t="s">
        <v>121</v>
      </c>
      <c r="D181" s="63" t="s">
        <v>324</v>
      </c>
      <c r="E181" s="63" t="s">
        <v>325</v>
      </c>
      <c r="F181" s="63">
        <v>178</v>
      </c>
      <c r="G181" s="63" t="s">
        <v>372</v>
      </c>
    </row>
    <row r="182" spans="1:7" ht="14.5" x14ac:dyDescent="0.3">
      <c r="A182" s="63" t="s">
        <v>109</v>
      </c>
      <c r="B182" s="68" t="s">
        <v>326</v>
      </c>
      <c r="C182" s="68" t="s">
        <v>207</v>
      </c>
      <c r="D182" s="63" t="s">
        <v>151</v>
      </c>
      <c r="E182" s="63" t="s">
        <v>327</v>
      </c>
      <c r="F182" s="63">
        <v>179</v>
      </c>
      <c r="G182" s="63" t="s">
        <v>372</v>
      </c>
    </row>
    <row r="183" spans="1:7" ht="14.5" x14ac:dyDescent="0.3">
      <c r="A183" s="60" t="s">
        <v>109</v>
      </c>
      <c r="B183" s="61" t="s">
        <v>328</v>
      </c>
      <c r="C183" s="60" t="s">
        <v>329</v>
      </c>
      <c r="D183" s="60" t="s">
        <v>322</v>
      </c>
      <c r="E183" s="60" t="s">
        <v>92</v>
      </c>
      <c r="F183" s="62"/>
      <c r="G183" s="62"/>
    </row>
    <row r="184" spans="1:7" ht="14.5" x14ac:dyDescent="0.3">
      <c r="A184" s="63" t="s">
        <v>109</v>
      </c>
      <c r="B184" s="68" t="s">
        <v>330</v>
      </c>
      <c r="C184" s="68" t="s">
        <v>331</v>
      </c>
      <c r="D184" s="63" t="s">
        <v>322</v>
      </c>
      <c r="E184" s="63" t="s">
        <v>325</v>
      </c>
      <c r="F184" s="63" t="s">
        <v>394</v>
      </c>
      <c r="G184" s="63" t="s">
        <v>395</v>
      </c>
    </row>
    <row r="185" spans="1:7" ht="14.5" x14ac:dyDescent="0.3">
      <c r="A185" s="63" t="s">
        <v>109</v>
      </c>
      <c r="B185" s="68" t="s">
        <v>333</v>
      </c>
      <c r="C185" s="68" t="s">
        <v>202</v>
      </c>
      <c r="D185" s="63" t="s">
        <v>151</v>
      </c>
      <c r="E185" s="63" t="s">
        <v>334</v>
      </c>
      <c r="F185" s="63">
        <v>182</v>
      </c>
      <c r="G185" s="63" t="s">
        <v>369</v>
      </c>
    </row>
    <row r="186" spans="1:7" ht="14.5" x14ac:dyDescent="0.3">
      <c r="A186" s="63" t="s">
        <v>109</v>
      </c>
      <c r="B186" s="68" t="s">
        <v>335</v>
      </c>
      <c r="C186" s="68" t="s">
        <v>179</v>
      </c>
      <c r="D186" s="63" t="s">
        <v>336</v>
      </c>
      <c r="E186" s="63" t="s">
        <v>327</v>
      </c>
      <c r="F186" s="63">
        <v>183</v>
      </c>
      <c r="G186" s="63" t="s">
        <v>396</v>
      </c>
    </row>
    <row r="187" spans="1:7" ht="15.5" x14ac:dyDescent="0.3">
      <c r="A187" s="63" t="s">
        <v>109</v>
      </c>
      <c r="B187" s="64" t="s">
        <v>337</v>
      </c>
      <c r="C187" s="63" t="s">
        <v>8</v>
      </c>
      <c r="D187" s="63" t="s">
        <v>92</v>
      </c>
      <c r="E187" s="63" t="s">
        <v>92</v>
      </c>
      <c r="F187" s="63">
        <v>184</v>
      </c>
      <c r="G187" s="63" t="s">
        <v>369</v>
      </c>
    </row>
    <row r="188" spans="1:7" ht="15.5" x14ac:dyDescent="0.3">
      <c r="A188" s="63" t="s">
        <v>109</v>
      </c>
      <c r="B188" s="64" t="s">
        <v>117</v>
      </c>
      <c r="C188" s="68" t="s">
        <v>8</v>
      </c>
      <c r="D188" s="63" t="s">
        <v>93</v>
      </c>
      <c r="E188" s="63" t="s">
        <v>93</v>
      </c>
      <c r="F188" s="63">
        <v>185</v>
      </c>
      <c r="G188" s="63" t="s">
        <v>369</v>
      </c>
    </row>
    <row r="189" spans="1:7" ht="15.5" x14ac:dyDescent="0.3">
      <c r="A189" s="60" t="s">
        <v>109</v>
      </c>
      <c r="B189" s="66" t="s">
        <v>338</v>
      </c>
      <c r="C189" s="60" t="s">
        <v>122</v>
      </c>
      <c r="D189" s="60" t="s">
        <v>339</v>
      </c>
      <c r="E189" s="60" t="s">
        <v>94</v>
      </c>
      <c r="F189" s="62"/>
      <c r="G189" s="62"/>
    </row>
    <row r="190" spans="1:7" ht="14.5" x14ac:dyDescent="0.3">
      <c r="A190" s="63" t="s">
        <v>109</v>
      </c>
      <c r="B190" s="63" t="s">
        <v>340</v>
      </c>
      <c r="C190" s="63" t="s">
        <v>8</v>
      </c>
      <c r="D190" s="63" t="s">
        <v>339</v>
      </c>
      <c r="E190" s="63" t="s">
        <v>339</v>
      </c>
      <c r="F190" s="63">
        <v>186</v>
      </c>
      <c r="G190" s="63" t="s">
        <v>397</v>
      </c>
    </row>
    <row r="191" spans="1:7" ht="14.5" x14ac:dyDescent="0.3">
      <c r="A191" s="63" t="s">
        <v>109</v>
      </c>
      <c r="B191" s="63" t="s">
        <v>341</v>
      </c>
      <c r="C191" s="63" t="s">
        <v>8</v>
      </c>
      <c r="D191" s="63" t="s">
        <v>342</v>
      </c>
      <c r="E191" s="63" t="s">
        <v>342</v>
      </c>
      <c r="F191" s="63">
        <v>188</v>
      </c>
      <c r="G191" s="63" t="s">
        <v>397</v>
      </c>
    </row>
    <row r="192" spans="1:7" ht="14.5" x14ac:dyDescent="0.3">
      <c r="A192" s="63" t="s">
        <v>109</v>
      </c>
      <c r="B192" s="63" t="s">
        <v>343</v>
      </c>
      <c r="C192" s="63" t="s">
        <v>344</v>
      </c>
      <c r="D192" s="63" t="s">
        <v>345</v>
      </c>
      <c r="E192" s="63" t="s">
        <v>346</v>
      </c>
      <c r="F192" s="63">
        <v>189</v>
      </c>
      <c r="G192" s="63" t="s">
        <v>397</v>
      </c>
    </row>
    <row r="193" spans="1:7" ht="14.5" x14ac:dyDescent="0.3">
      <c r="A193" s="63" t="s">
        <v>109</v>
      </c>
      <c r="B193" s="63" t="s">
        <v>347</v>
      </c>
      <c r="C193" s="63" t="s">
        <v>179</v>
      </c>
      <c r="D193" s="63" t="s">
        <v>156</v>
      </c>
      <c r="E193" s="63" t="s">
        <v>6</v>
      </c>
      <c r="F193" s="63">
        <v>190</v>
      </c>
      <c r="G193" s="63" t="s">
        <v>397</v>
      </c>
    </row>
    <row r="194" spans="1:7" ht="15.5" x14ac:dyDescent="0.3">
      <c r="A194" s="63" t="s">
        <v>109</v>
      </c>
      <c r="B194" s="64" t="s">
        <v>118</v>
      </c>
      <c r="C194" s="63" t="s">
        <v>8</v>
      </c>
      <c r="D194" s="63" t="s">
        <v>94</v>
      </c>
      <c r="E194" s="63" t="s">
        <v>94</v>
      </c>
      <c r="F194" s="63">
        <v>191</v>
      </c>
      <c r="G194" s="63" t="s">
        <v>369</v>
      </c>
    </row>
    <row r="195" spans="1:7" ht="15.5" x14ac:dyDescent="0.3">
      <c r="A195" s="60" t="s">
        <v>109</v>
      </c>
      <c r="B195" s="66" t="s">
        <v>348</v>
      </c>
      <c r="C195" s="60" t="s">
        <v>202</v>
      </c>
      <c r="D195" s="60" t="s">
        <v>349</v>
      </c>
      <c r="E195" s="60" t="s">
        <v>95</v>
      </c>
      <c r="F195" s="62"/>
      <c r="G195" s="62"/>
    </row>
    <row r="196" spans="1:7" ht="15.5" x14ac:dyDescent="0.3">
      <c r="A196" s="63" t="s">
        <v>109</v>
      </c>
      <c r="B196" s="67" t="s">
        <v>350</v>
      </c>
      <c r="C196" s="63" t="s">
        <v>8</v>
      </c>
      <c r="D196" s="63" t="s">
        <v>349</v>
      </c>
      <c r="E196" s="63" t="s">
        <v>349</v>
      </c>
      <c r="F196" s="63">
        <v>192</v>
      </c>
      <c r="G196" s="63" t="s">
        <v>372</v>
      </c>
    </row>
    <row r="197" spans="1:7" ht="15.5" x14ac:dyDescent="0.3">
      <c r="A197" s="63" t="s">
        <v>109</v>
      </c>
      <c r="B197" s="67" t="s">
        <v>351</v>
      </c>
      <c r="C197" s="63" t="s">
        <v>8</v>
      </c>
      <c r="D197" s="63" t="s">
        <v>352</v>
      </c>
      <c r="E197" s="63" t="s">
        <v>352</v>
      </c>
      <c r="F197" s="63">
        <v>194</v>
      </c>
      <c r="G197" s="63" t="s">
        <v>372</v>
      </c>
    </row>
    <row r="198" spans="1:7" ht="15.5" x14ac:dyDescent="0.3">
      <c r="A198" s="63" t="s">
        <v>109</v>
      </c>
      <c r="B198" s="64" t="s">
        <v>119</v>
      </c>
      <c r="C198" s="63" t="s">
        <v>8</v>
      </c>
      <c r="D198" s="63" t="s">
        <v>95</v>
      </c>
      <c r="E198" s="63" t="s">
        <v>95</v>
      </c>
      <c r="F198" s="63">
        <v>195</v>
      </c>
      <c r="G198" s="63" t="s">
        <v>372</v>
      </c>
    </row>
    <row r="199" spans="1:7" ht="15.5" x14ac:dyDescent="0.3">
      <c r="A199" s="60" t="s">
        <v>109</v>
      </c>
      <c r="B199" s="66" t="s">
        <v>353</v>
      </c>
      <c r="C199" s="60" t="s">
        <v>354</v>
      </c>
      <c r="D199" s="60" t="s">
        <v>355</v>
      </c>
      <c r="E199" s="60" t="s">
        <v>128</v>
      </c>
      <c r="F199" s="62"/>
      <c r="G199" s="62"/>
    </row>
    <row r="200" spans="1:7" ht="15.5" x14ac:dyDescent="0.3">
      <c r="A200" s="63" t="s">
        <v>109</v>
      </c>
      <c r="B200" s="67" t="s">
        <v>356</v>
      </c>
      <c r="C200" s="63" t="s">
        <v>354</v>
      </c>
      <c r="D200" s="63" t="s">
        <v>355</v>
      </c>
      <c r="E200" s="63" t="s">
        <v>128</v>
      </c>
      <c r="F200" s="63">
        <v>196</v>
      </c>
      <c r="G200" s="63" t="s">
        <v>372</v>
      </c>
    </row>
    <row r="201" spans="1:7" ht="15.5" x14ac:dyDescent="0.3">
      <c r="A201" s="63" t="s">
        <v>109</v>
      </c>
      <c r="B201" s="67" t="s">
        <v>357</v>
      </c>
      <c r="C201" s="63" t="s">
        <v>354</v>
      </c>
      <c r="D201" s="63" t="s">
        <v>355</v>
      </c>
      <c r="E201" s="63" t="s">
        <v>128</v>
      </c>
      <c r="F201" s="63" t="s">
        <v>398</v>
      </c>
      <c r="G201" s="63" t="s">
        <v>372</v>
      </c>
    </row>
    <row r="202" spans="1:7" ht="15.5" x14ac:dyDescent="0.3">
      <c r="A202" s="60" t="s">
        <v>109</v>
      </c>
      <c r="B202" s="66" t="s">
        <v>359</v>
      </c>
      <c r="C202" s="60" t="s">
        <v>207</v>
      </c>
      <c r="D202" s="60" t="s">
        <v>360</v>
      </c>
      <c r="E202" s="60" t="s">
        <v>96</v>
      </c>
      <c r="F202" s="62"/>
      <c r="G202" s="62"/>
    </row>
    <row r="203" spans="1:7" ht="15.5" x14ac:dyDescent="0.3">
      <c r="A203" s="63" t="s">
        <v>109</v>
      </c>
      <c r="B203" s="67" t="s">
        <v>361</v>
      </c>
      <c r="C203" s="63" t="s">
        <v>8</v>
      </c>
      <c r="D203" s="63" t="s">
        <v>360</v>
      </c>
      <c r="E203" s="63" t="s">
        <v>360</v>
      </c>
      <c r="F203" s="63">
        <v>199</v>
      </c>
      <c r="G203" s="63" t="s">
        <v>399</v>
      </c>
    </row>
    <row r="204" spans="1:7" ht="15.5" x14ac:dyDescent="0.3">
      <c r="A204" s="63" t="s">
        <v>109</v>
      </c>
      <c r="B204" s="67" t="s">
        <v>362</v>
      </c>
      <c r="C204" s="63" t="s">
        <v>8</v>
      </c>
      <c r="D204" s="63" t="s">
        <v>166</v>
      </c>
      <c r="E204" s="63" t="s">
        <v>166</v>
      </c>
      <c r="F204" s="63">
        <v>201</v>
      </c>
      <c r="G204" s="63" t="s">
        <v>372</v>
      </c>
    </row>
    <row r="205" spans="1:7" ht="15.5" x14ac:dyDescent="0.3">
      <c r="A205" s="63" t="s">
        <v>109</v>
      </c>
      <c r="B205" s="67" t="s">
        <v>363</v>
      </c>
      <c r="C205" s="63" t="s">
        <v>8</v>
      </c>
      <c r="D205" s="63" t="s">
        <v>364</v>
      </c>
      <c r="E205" s="63" t="s">
        <v>364</v>
      </c>
      <c r="F205" s="63">
        <v>202</v>
      </c>
      <c r="G205" s="63" t="s">
        <v>367</v>
      </c>
    </row>
    <row r="206" spans="1:7" ht="15.5" x14ac:dyDescent="0.3">
      <c r="A206" s="63" t="s">
        <v>109</v>
      </c>
      <c r="B206" s="67" t="s">
        <v>365</v>
      </c>
      <c r="C206" s="63" t="s">
        <v>8</v>
      </c>
      <c r="D206" s="63" t="s">
        <v>366</v>
      </c>
      <c r="E206" s="63" t="s">
        <v>366</v>
      </c>
      <c r="F206" s="63">
        <v>203</v>
      </c>
      <c r="G206" s="63" t="s">
        <v>367</v>
      </c>
    </row>
    <row r="207" spans="1:7" ht="15.5" x14ac:dyDescent="0.3">
      <c r="A207" s="63" t="s">
        <v>109</v>
      </c>
      <c r="B207" s="64" t="s">
        <v>120</v>
      </c>
      <c r="C207" s="63" t="s">
        <v>8</v>
      </c>
      <c r="D207" s="63" t="s">
        <v>96</v>
      </c>
      <c r="E207" s="63" t="s">
        <v>96</v>
      </c>
      <c r="F207" s="63">
        <v>204</v>
      </c>
      <c r="G207" s="63" t="s">
        <v>372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 Timeline</vt:lpstr>
      <vt:lpstr>WBS v1</vt:lpstr>
      <vt:lpstr>WBS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Sutripat Ngamjittrong</dc:creator>
  <cp:lastModifiedBy>Sutripat Ngamjittrong</cp:lastModifiedBy>
  <dcterms:created xsi:type="dcterms:W3CDTF">2015-06-05T18:17:20Z</dcterms:created>
  <dcterms:modified xsi:type="dcterms:W3CDTF">2025-05-02T08:22:13Z</dcterms:modified>
</cp:coreProperties>
</file>