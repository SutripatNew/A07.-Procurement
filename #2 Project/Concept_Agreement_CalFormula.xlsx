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22" documentId="11_F25DC773A252ABDACC10485A31DD4BD65ADE58F6" xr6:coauthVersionLast="47" xr6:coauthVersionMax="47" xr10:uidLastSave="{17C67093-C57A-4EAB-8790-C2DE9DF379AC}"/>
  <bookViews>
    <workbookView xWindow="28680" yWindow="-120" windowWidth="29040" windowHeight="15720" activeTab="2" xr2:uid="{00000000-000D-0000-FFFF-FFFF00000000}"/>
  </bookViews>
  <sheets>
    <sheet name="VW_FACT_MS_FORM_V2" sheetId="1" r:id="rId1"/>
    <sheet name="VW_FACT_MS_FORM_REPORT_V2" sheetId="3" r:id="rId2"/>
    <sheet name="Tester" sheetId="2" r:id="rId3"/>
  </sheets>
  <definedNames>
    <definedName name="Link_ที่มีปัญหา_1" localSheetId="1">VW_FACT_MS_FORM_REPORT_V2!$A$21</definedName>
  </definedNames>
  <calcPr calcId="191029"/>
  <pivotCaches>
    <pivotCache cacheId="6" r:id="rId4"/>
    <pivotCache cacheId="7" r:id="rId5"/>
    <pivotCache cacheId="8" r:id="rId6"/>
    <pivotCache cacheId="9" r:id="rId7"/>
    <pivotCache cacheId="10" r:id="rId8"/>
    <pivotCache cacheId="11" r:id="rId9"/>
    <pivotCache cacheId="12" r:id="rId10"/>
    <pivotCache cacheId="13" r:id="rId11"/>
    <pivotCache cacheId="14" r:id="rId12"/>
    <pivotCache cacheId="15" r:id="rId13"/>
    <pivotCache cacheId="16" r:id="rId14"/>
    <pivotCache cacheId="17" r:id="rId15"/>
    <pivotCache cacheId="1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7" i="2" l="1"/>
  <c r="BC7" i="2"/>
  <c r="BB9" i="2"/>
  <c r="S41" i="3"/>
  <c r="BB92" i="2"/>
  <c r="BB90" i="2"/>
  <c r="BA90" i="2"/>
  <c r="AB116" i="2"/>
  <c r="AA116" i="2"/>
  <c r="Z116" i="2"/>
  <c r="Y116" i="2"/>
  <c r="X116" i="2"/>
  <c r="W116" i="2"/>
  <c r="V116" i="2"/>
  <c r="U116" i="2"/>
  <c r="T116" i="2"/>
  <c r="S116" i="2"/>
  <c r="R116" i="2"/>
  <c r="AB115" i="2"/>
  <c r="AA115" i="2"/>
  <c r="Z115" i="2"/>
  <c r="Y115" i="2"/>
  <c r="X115" i="2"/>
  <c r="W115" i="2"/>
  <c r="V115" i="2"/>
  <c r="U115" i="2"/>
  <c r="T115" i="2"/>
  <c r="S115" i="2"/>
  <c r="R115" i="2"/>
  <c r="AB114" i="2"/>
  <c r="AA114" i="2"/>
  <c r="Z114" i="2"/>
  <c r="Y114" i="2"/>
  <c r="X114" i="2"/>
  <c r="W114" i="2"/>
  <c r="V114" i="2"/>
  <c r="U114" i="2"/>
  <c r="T114" i="2"/>
  <c r="S114" i="2"/>
  <c r="R114" i="2"/>
  <c r="AB113" i="2"/>
  <c r="AA113" i="2"/>
  <c r="Z113" i="2"/>
  <c r="Y113" i="2"/>
  <c r="X113" i="2"/>
  <c r="W113" i="2"/>
  <c r="V113" i="2"/>
  <c r="U113" i="2"/>
  <c r="T113" i="2"/>
  <c r="S113" i="2"/>
  <c r="R113" i="2"/>
  <c r="AB120" i="2"/>
  <c r="AA120" i="2"/>
  <c r="Z120" i="2"/>
  <c r="Y120" i="2"/>
  <c r="X120" i="2"/>
  <c r="W120" i="2"/>
  <c r="V120" i="2"/>
  <c r="U120" i="2"/>
  <c r="T120" i="2"/>
  <c r="S120" i="2"/>
  <c r="R120" i="2"/>
  <c r="AB119" i="2"/>
  <c r="AA119" i="2"/>
  <c r="Z119" i="2"/>
  <c r="Y119" i="2"/>
  <c r="X119" i="2"/>
  <c r="W119" i="2"/>
  <c r="V119" i="2"/>
  <c r="U119" i="2"/>
  <c r="T119" i="2"/>
  <c r="S119" i="2"/>
  <c r="R119" i="2"/>
  <c r="AB118" i="2"/>
  <c r="AA118" i="2"/>
  <c r="Z118" i="2"/>
  <c r="Y118" i="2"/>
  <c r="X118" i="2"/>
  <c r="W118" i="2"/>
  <c r="V118" i="2"/>
  <c r="U118" i="2"/>
  <c r="T118" i="2"/>
  <c r="S118" i="2"/>
  <c r="R118" i="2"/>
  <c r="AB117" i="2"/>
  <c r="AA117" i="2"/>
  <c r="Z117" i="2"/>
  <c r="Y117" i="2"/>
  <c r="X117" i="2"/>
  <c r="W117" i="2"/>
  <c r="V117" i="2"/>
  <c r="U117" i="2"/>
  <c r="T117" i="2"/>
  <c r="S117" i="2"/>
  <c r="R117" i="2"/>
  <c r="AB112" i="2"/>
  <c r="AA112" i="2"/>
  <c r="Z112" i="2"/>
  <c r="Y112" i="2"/>
  <c r="X112" i="2"/>
  <c r="W112" i="2"/>
  <c r="V112" i="2"/>
  <c r="U112" i="2"/>
  <c r="T112" i="2"/>
  <c r="S112" i="2"/>
  <c r="R112" i="2"/>
  <c r="AB111" i="2"/>
  <c r="AA111" i="2"/>
  <c r="Z111" i="2"/>
  <c r="Y111" i="2"/>
  <c r="X111" i="2"/>
  <c r="W111" i="2"/>
  <c r="V111" i="2"/>
  <c r="U111" i="2"/>
  <c r="T111" i="2"/>
  <c r="S111" i="2"/>
  <c r="R111" i="2"/>
  <c r="AB110" i="2"/>
  <c r="AA110" i="2"/>
  <c r="Z110" i="2"/>
  <c r="Y110" i="2"/>
  <c r="X110" i="2"/>
  <c r="W110" i="2"/>
  <c r="V110" i="2"/>
  <c r="U110" i="2"/>
  <c r="T110" i="2"/>
  <c r="S110" i="2"/>
  <c r="R110" i="2"/>
  <c r="AB109" i="2"/>
  <c r="AA109" i="2"/>
  <c r="Z109" i="2"/>
  <c r="Y109" i="2"/>
  <c r="X109" i="2"/>
  <c r="W109" i="2"/>
  <c r="V109" i="2"/>
  <c r="U109" i="2"/>
  <c r="T109" i="2"/>
  <c r="S109" i="2"/>
  <c r="R109" i="2"/>
  <c r="AB108" i="2"/>
  <c r="AA108" i="2"/>
  <c r="Z108" i="2"/>
  <c r="Y108" i="2"/>
  <c r="X108" i="2"/>
  <c r="W108" i="2"/>
  <c r="V108" i="2"/>
  <c r="U108" i="2"/>
  <c r="T108" i="2"/>
  <c r="S108" i="2"/>
  <c r="R108" i="2"/>
  <c r="AB107" i="2"/>
  <c r="AA107" i="2"/>
  <c r="Z107" i="2"/>
  <c r="Y107" i="2"/>
  <c r="X107" i="2"/>
  <c r="W107" i="2"/>
  <c r="V107" i="2"/>
  <c r="U107" i="2"/>
  <c r="T107" i="2"/>
  <c r="S107" i="2"/>
  <c r="R107" i="2"/>
  <c r="AB106" i="2"/>
  <c r="AA106" i="2"/>
  <c r="Z106" i="2"/>
  <c r="Y106" i="2"/>
  <c r="X106" i="2"/>
  <c r="W106" i="2"/>
  <c r="V106" i="2"/>
  <c r="U106" i="2"/>
  <c r="T106" i="2"/>
  <c r="S106" i="2"/>
  <c r="R106" i="2"/>
  <c r="AB105" i="2"/>
  <c r="AA105" i="2"/>
  <c r="Z105" i="2"/>
  <c r="Y105" i="2"/>
  <c r="X105" i="2"/>
  <c r="W105" i="2"/>
  <c r="V105" i="2"/>
  <c r="U105" i="2"/>
  <c r="T105" i="2"/>
  <c r="S105" i="2"/>
  <c r="R105" i="2"/>
  <c r="AB104" i="2"/>
  <c r="AA104" i="2"/>
  <c r="Z104" i="2"/>
  <c r="Y104" i="2"/>
  <c r="X104" i="2"/>
  <c r="W104" i="2"/>
  <c r="V104" i="2"/>
  <c r="U104" i="2"/>
  <c r="T104" i="2"/>
  <c r="S104" i="2"/>
  <c r="R104" i="2"/>
  <c r="AB103" i="2"/>
  <c r="AA103" i="2"/>
  <c r="Z103" i="2"/>
  <c r="Y103" i="2"/>
  <c r="X103" i="2"/>
  <c r="W103" i="2"/>
  <c r="V103" i="2"/>
  <c r="U103" i="2"/>
  <c r="T103" i="2"/>
  <c r="S103" i="2"/>
  <c r="R103" i="2"/>
  <c r="AB102" i="2"/>
  <c r="AA102" i="2"/>
  <c r="Z102" i="2"/>
  <c r="Y102" i="2"/>
  <c r="X102" i="2"/>
  <c r="W102" i="2"/>
  <c r="V102" i="2"/>
  <c r="U102" i="2"/>
  <c r="T102" i="2"/>
  <c r="S102" i="2"/>
  <c r="R102" i="2"/>
  <c r="AB101" i="2"/>
  <c r="AA101" i="2"/>
  <c r="Z101" i="2"/>
  <c r="Y101" i="2"/>
  <c r="X101" i="2"/>
  <c r="W101" i="2"/>
  <c r="V101" i="2"/>
  <c r="U101" i="2"/>
  <c r="T101" i="2"/>
  <c r="S101" i="2"/>
  <c r="R101" i="2"/>
  <c r="AB100" i="2"/>
  <c r="AA100" i="2"/>
  <c r="Z100" i="2"/>
  <c r="Y100" i="2"/>
  <c r="X100" i="2"/>
  <c r="W100" i="2"/>
  <c r="V100" i="2"/>
  <c r="U100" i="2"/>
  <c r="T100" i="2"/>
  <c r="S100" i="2"/>
  <c r="R100" i="2"/>
  <c r="AB99" i="2"/>
  <c r="AA99" i="2"/>
  <c r="Z99" i="2"/>
  <c r="Y99" i="2"/>
  <c r="X99" i="2"/>
  <c r="W99" i="2"/>
  <c r="V99" i="2"/>
  <c r="U99" i="2"/>
  <c r="T99" i="2"/>
  <c r="S99" i="2"/>
  <c r="R99" i="2"/>
  <c r="AB98" i="2"/>
  <c r="AA98" i="2"/>
  <c r="Z98" i="2"/>
  <c r="Y98" i="2"/>
  <c r="X98" i="2"/>
  <c r="W98" i="2"/>
  <c r="V98" i="2"/>
  <c r="U98" i="2"/>
  <c r="T98" i="2"/>
  <c r="S98" i="2"/>
  <c r="R98" i="2"/>
  <c r="AB97" i="2"/>
  <c r="AA97" i="2"/>
  <c r="Z97" i="2"/>
  <c r="Y97" i="2"/>
  <c r="X97" i="2"/>
  <c r="W97" i="2"/>
  <c r="V97" i="2"/>
  <c r="U97" i="2"/>
  <c r="T97" i="2"/>
  <c r="S97" i="2"/>
  <c r="R97" i="2"/>
  <c r="AB96" i="2"/>
  <c r="AA96" i="2"/>
  <c r="Z96" i="2"/>
  <c r="Y96" i="2"/>
  <c r="X96" i="2"/>
  <c r="W96" i="2"/>
  <c r="V96" i="2"/>
  <c r="U96" i="2"/>
  <c r="T96" i="2"/>
  <c r="S96" i="2"/>
  <c r="R96" i="2"/>
  <c r="AB95" i="2"/>
  <c r="AA95" i="2"/>
  <c r="Z95" i="2"/>
  <c r="Y95" i="2"/>
  <c r="X95" i="2"/>
  <c r="W95" i="2"/>
  <c r="V95" i="2"/>
  <c r="U95" i="2"/>
  <c r="T95" i="2"/>
  <c r="S95" i="2"/>
  <c r="R95" i="2"/>
  <c r="AB94" i="2"/>
  <c r="AA94" i="2"/>
  <c r="Z94" i="2"/>
  <c r="Y94" i="2"/>
  <c r="X94" i="2"/>
  <c r="W94" i="2"/>
  <c r="V94" i="2"/>
  <c r="U94" i="2"/>
  <c r="T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BA92" i="2"/>
  <c r="AB92" i="2"/>
  <c r="AA92" i="2"/>
  <c r="Z92" i="2"/>
  <c r="Y92" i="2"/>
  <c r="X92" i="2"/>
  <c r="W92" i="2"/>
  <c r="V92" i="2"/>
  <c r="U92" i="2"/>
  <c r="T92" i="2"/>
  <c r="S92" i="2"/>
  <c r="R92" i="2"/>
  <c r="BB91" i="2"/>
  <c r="BA91" i="2"/>
  <c r="AB91" i="2"/>
  <c r="AA91" i="2"/>
  <c r="Z91" i="2"/>
  <c r="Y91" i="2"/>
  <c r="X91" i="2"/>
  <c r="W91" i="2"/>
  <c r="V91" i="2"/>
  <c r="U91" i="2"/>
  <c r="T91" i="2"/>
  <c r="S91" i="2"/>
  <c r="R91" i="2"/>
  <c r="AB90" i="2"/>
  <c r="AA90" i="2"/>
  <c r="Z90" i="2"/>
  <c r="Y90" i="2"/>
  <c r="X90" i="2"/>
  <c r="W90" i="2"/>
  <c r="V90" i="2"/>
  <c r="U90" i="2"/>
  <c r="T90" i="2"/>
  <c r="S90" i="2"/>
  <c r="R90" i="2"/>
  <c r="AB89" i="2"/>
  <c r="AA89" i="2"/>
  <c r="Z89" i="2"/>
  <c r="Y89" i="2"/>
  <c r="X89" i="2"/>
  <c r="W89" i="2"/>
  <c r="V89" i="2"/>
  <c r="U89" i="2"/>
  <c r="T89" i="2"/>
  <c r="S89" i="2"/>
  <c r="R89" i="2"/>
  <c r="M79" i="1"/>
  <c r="N79" i="1" s="1"/>
  <c r="L79" i="1"/>
  <c r="H77" i="1"/>
  <c r="G77" i="1"/>
  <c r="I77" i="1" s="1"/>
  <c r="M75" i="1"/>
  <c r="L75" i="1"/>
  <c r="N75" i="1" s="1"/>
  <c r="BB54" i="2"/>
  <c r="BB56" i="2"/>
  <c r="BA56" i="2"/>
  <c r="BB55" i="2"/>
  <c r="BA55" i="2"/>
  <c r="BA54" i="2"/>
  <c r="AB76" i="2"/>
  <c r="AA76" i="2"/>
  <c r="Z76" i="2"/>
  <c r="Y76" i="2"/>
  <c r="X76" i="2"/>
  <c r="W76" i="2"/>
  <c r="V76" i="2"/>
  <c r="U76" i="2"/>
  <c r="T76" i="2"/>
  <c r="S76" i="2"/>
  <c r="R76" i="2"/>
  <c r="AB75" i="2"/>
  <c r="AA75" i="2"/>
  <c r="Z75" i="2"/>
  <c r="Y75" i="2"/>
  <c r="X75" i="2"/>
  <c r="W75" i="2"/>
  <c r="V75" i="2"/>
  <c r="U75" i="2"/>
  <c r="T75" i="2"/>
  <c r="S75" i="2"/>
  <c r="R75" i="2"/>
  <c r="AB74" i="2"/>
  <c r="AA74" i="2"/>
  <c r="Z74" i="2"/>
  <c r="Y74" i="2"/>
  <c r="X74" i="2"/>
  <c r="W74" i="2"/>
  <c r="V74" i="2"/>
  <c r="U74" i="2"/>
  <c r="T74" i="2"/>
  <c r="S74" i="2"/>
  <c r="R74" i="2"/>
  <c r="AB73" i="2"/>
  <c r="AA73" i="2"/>
  <c r="Z73" i="2"/>
  <c r="Y73" i="2"/>
  <c r="X73" i="2"/>
  <c r="W73" i="2"/>
  <c r="V73" i="2"/>
  <c r="U73" i="2"/>
  <c r="T73" i="2"/>
  <c r="S73" i="2"/>
  <c r="R73" i="2"/>
  <c r="AB80" i="2"/>
  <c r="AA80" i="2"/>
  <c r="Z80" i="2"/>
  <c r="Y80" i="2"/>
  <c r="X80" i="2"/>
  <c r="W80" i="2"/>
  <c r="V80" i="2"/>
  <c r="U80" i="2"/>
  <c r="T80" i="2"/>
  <c r="S80" i="2"/>
  <c r="R80" i="2"/>
  <c r="AB79" i="2"/>
  <c r="AA79" i="2"/>
  <c r="Z79" i="2"/>
  <c r="Y79" i="2"/>
  <c r="X79" i="2"/>
  <c r="W79" i="2"/>
  <c r="V79" i="2"/>
  <c r="U79" i="2"/>
  <c r="T79" i="2"/>
  <c r="S79" i="2"/>
  <c r="R79" i="2"/>
  <c r="AB78" i="2"/>
  <c r="AA78" i="2"/>
  <c r="Z78" i="2"/>
  <c r="Y78" i="2"/>
  <c r="X78" i="2"/>
  <c r="W78" i="2"/>
  <c r="V78" i="2"/>
  <c r="U78" i="2"/>
  <c r="T78" i="2"/>
  <c r="S78" i="2"/>
  <c r="R78" i="2"/>
  <c r="AB77" i="2"/>
  <c r="AA77" i="2"/>
  <c r="Z77" i="2"/>
  <c r="Y77" i="2"/>
  <c r="X77" i="2"/>
  <c r="W77" i="2"/>
  <c r="V77" i="2"/>
  <c r="U77" i="2"/>
  <c r="T77" i="2"/>
  <c r="S77" i="2"/>
  <c r="R77" i="2"/>
  <c r="AB72" i="2"/>
  <c r="AA72" i="2"/>
  <c r="Z72" i="2"/>
  <c r="Y72" i="2"/>
  <c r="X72" i="2"/>
  <c r="W72" i="2"/>
  <c r="V72" i="2"/>
  <c r="U72" i="2"/>
  <c r="T72" i="2"/>
  <c r="S72" i="2"/>
  <c r="R72" i="2"/>
  <c r="AB71" i="2"/>
  <c r="AA71" i="2"/>
  <c r="Z71" i="2"/>
  <c r="Y71" i="2"/>
  <c r="X71" i="2"/>
  <c r="W71" i="2"/>
  <c r="V71" i="2"/>
  <c r="U71" i="2"/>
  <c r="T71" i="2"/>
  <c r="S71" i="2"/>
  <c r="R71" i="2"/>
  <c r="AB70" i="2"/>
  <c r="AA70" i="2"/>
  <c r="Z70" i="2"/>
  <c r="Y70" i="2"/>
  <c r="X70" i="2"/>
  <c r="W70" i="2"/>
  <c r="V70" i="2"/>
  <c r="U70" i="2"/>
  <c r="T70" i="2"/>
  <c r="S70" i="2"/>
  <c r="R70" i="2"/>
  <c r="AB69" i="2"/>
  <c r="AA69" i="2"/>
  <c r="Z69" i="2"/>
  <c r="Y69" i="2"/>
  <c r="X69" i="2"/>
  <c r="W69" i="2"/>
  <c r="V69" i="2"/>
  <c r="U69" i="2"/>
  <c r="T69" i="2"/>
  <c r="S69" i="2"/>
  <c r="R69" i="2"/>
  <c r="AB68" i="2"/>
  <c r="AA68" i="2"/>
  <c r="Z68" i="2"/>
  <c r="Y68" i="2"/>
  <c r="X68" i="2"/>
  <c r="W68" i="2"/>
  <c r="V68" i="2"/>
  <c r="U68" i="2"/>
  <c r="T68" i="2"/>
  <c r="S68" i="2"/>
  <c r="R68" i="2"/>
  <c r="AB67" i="2"/>
  <c r="AA67" i="2"/>
  <c r="Z67" i="2"/>
  <c r="Y67" i="2"/>
  <c r="X67" i="2"/>
  <c r="W67" i="2"/>
  <c r="V67" i="2"/>
  <c r="U67" i="2"/>
  <c r="T67" i="2"/>
  <c r="S67" i="2"/>
  <c r="R67" i="2"/>
  <c r="AB66" i="2"/>
  <c r="AA66" i="2"/>
  <c r="Z66" i="2"/>
  <c r="Y66" i="2"/>
  <c r="X66" i="2"/>
  <c r="W66" i="2"/>
  <c r="V66" i="2"/>
  <c r="U66" i="2"/>
  <c r="T66" i="2"/>
  <c r="S66" i="2"/>
  <c r="R66" i="2"/>
  <c r="AB65" i="2"/>
  <c r="AA65" i="2"/>
  <c r="Z65" i="2"/>
  <c r="Y65" i="2"/>
  <c r="X65" i="2"/>
  <c r="W65" i="2"/>
  <c r="V65" i="2"/>
  <c r="U65" i="2"/>
  <c r="T65" i="2"/>
  <c r="S65" i="2"/>
  <c r="R65" i="2"/>
  <c r="AB64" i="2"/>
  <c r="AA64" i="2"/>
  <c r="Z64" i="2"/>
  <c r="Y64" i="2"/>
  <c r="X64" i="2"/>
  <c r="W64" i="2"/>
  <c r="V64" i="2"/>
  <c r="U64" i="2"/>
  <c r="T64" i="2"/>
  <c r="S64" i="2"/>
  <c r="R64" i="2"/>
  <c r="AB63" i="2"/>
  <c r="AA63" i="2"/>
  <c r="Z63" i="2"/>
  <c r="Y63" i="2"/>
  <c r="X63" i="2"/>
  <c r="W63" i="2"/>
  <c r="V63" i="2"/>
  <c r="U63" i="2"/>
  <c r="T63" i="2"/>
  <c r="S63" i="2"/>
  <c r="R63" i="2"/>
  <c r="AB62" i="2"/>
  <c r="AA62" i="2"/>
  <c r="Z62" i="2"/>
  <c r="Y62" i="2"/>
  <c r="X62" i="2"/>
  <c r="W62" i="2"/>
  <c r="V62" i="2"/>
  <c r="U62" i="2"/>
  <c r="T62" i="2"/>
  <c r="S62" i="2"/>
  <c r="R62" i="2"/>
  <c r="AB61" i="2"/>
  <c r="AA61" i="2"/>
  <c r="Z61" i="2"/>
  <c r="Y61" i="2"/>
  <c r="X61" i="2"/>
  <c r="W61" i="2"/>
  <c r="V61" i="2"/>
  <c r="U61" i="2"/>
  <c r="T61" i="2"/>
  <c r="S61" i="2"/>
  <c r="R61" i="2"/>
  <c r="AB60" i="2"/>
  <c r="AA60" i="2"/>
  <c r="Z60" i="2"/>
  <c r="Y60" i="2"/>
  <c r="X60" i="2"/>
  <c r="W60" i="2"/>
  <c r="V60" i="2"/>
  <c r="U60" i="2"/>
  <c r="T60" i="2"/>
  <c r="S60" i="2"/>
  <c r="R60" i="2"/>
  <c r="AB59" i="2"/>
  <c r="AA59" i="2"/>
  <c r="Z59" i="2"/>
  <c r="Y59" i="2"/>
  <c r="X59" i="2"/>
  <c r="W59" i="2"/>
  <c r="V59" i="2"/>
  <c r="U59" i="2"/>
  <c r="T59" i="2"/>
  <c r="S59" i="2"/>
  <c r="R59" i="2"/>
  <c r="AB58" i="2"/>
  <c r="AA58" i="2"/>
  <c r="Z58" i="2"/>
  <c r="Y58" i="2"/>
  <c r="X58" i="2"/>
  <c r="W58" i="2"/>
  <c r="V58" i="2"/>
  <c r="U58" i="2"/>
  <c r="T58" i="2"/>
  <c r="S58" i="2"/>
  <c r="R58" i="2"/>
  <c r="AB57" i="2"/>
  <c r="AA57" i="2"/>
  <c r="Z57" i="2"/>
  <c r="Y57" i="2"/>
  <c r="X57" i="2"/>
  <c r="W57" i="2"/>
  <c r="V57" i="2"/>
  <c r="U57" i="2"/>
  <c r="T57" i="2"/>
  <c r="S57" i="2"/>
  <c r="R57" i="2"/>
  <c r="AB56" i="2"/>
  <c r="AA56" i="2"/>
  <c r="Z56" i="2"/>
  <c r="Y56" i="2"/>
  <c r="X56" i="2"/>
  <c r="W56" i="2"/>
  <c r="V56" i="2"/>
  <c r="U56" i="2"/>
  <c r="T56" i="2"/>
  <c r="S56" i="2"/>
  <c r="R56" i="2"/>
  <c r="AB55" i="2"/>
  <c r="AA55" i="2"/>
  <c r="Z55" i="2"/>
  <c r="Y55" i="2"/>
  <c r="X55" i="2"/>
  <c r="W55" i="2"/>
  <c r="V55" i="2"/>
  <c r="U55" i="2"/>
  <c r="T55" i="2"/>
  <c r="S55" i="2"/>
  <c r="R55" i="2"/>
  <c r="AB54" i="2"/>
  <c r="AA54" i="2"/>
  <c r="Z54" i="2"/>
  <c r="Y54" i="2"/>
  <c r="X54" i="2"/>
  <c r="W54" i="2"/>
  <c r="V54" i="2"/>
  <c r="U54" i="2"/>
  <c r="T54" i="2"/>
  <c r="S54" i="2"/>
  <c r="R54" i="2"/>
  <c r="AB53" i="2"/>
  <c r="AA53" i="2"/>
  <c r="Z53" i="2"/>
  <c r="Y53" i="2"/>
  <c r="X53" i="2"/>
  <c r="W53" i="2"/>
  <c r="V53" i="2"/>
  <c r="U53" i="2"/>
  <c r="T53" i="2"/>
  <c r="S53" i="2"/>
  <c r="R53" i="2"/>
  <c r="AB39" i="2"/>
  <c r="AA39" i="2"/>
  <c r="Z39" i="2"/>
  <c r="Y39" i="2"/>
  <c r="X39" i="2"/>
  <c r="W39" i="2"/>
  <c r="V39" i="2"/>
  <c r="U39" i="2"/>
  <c r="T39" i="2"/>
  <c r="S39" i="2"/>
  <c r="R39" i="2"/>
  <c r="AB38" i="2"/>
  <c r="AA38" i="2"/>
  <c r="Z38" i="2"/>
  <c r="Y38" i="2"/>
  <c r="X38" i="2"/>
  <c r="W38" i="2"/>
  <c r="V38" i="2"/>
  <c r="U38" i="2"/>
  <c r="T38" i="2"/>
  <c r="S38" i="2"/>
  <c r="R38" i="2"/>
  <c r="AB37" i="2"/>
  <c r="AA37" i="2"/>
  <c r="Z37" i="2"/>
  <c r="Y37" i="2"/>
  <c r="X37" i="2"/>
  <c r="W37" i="2"/>
  <c r="V37" i="2"/>
  <c r="U37" i="2"/>
  <c r="T37" i="2"/>
  <c r="S37" i="2"/>
  <c r="R37" i="2"/>
  <c r="AB36" i="2"/>
  <c r="AA36" i="2"/>
  <c r="Z36" i="2"/>
  <c r="Y36" i="2"/>
  <c r="X36" i="2"/>
  <c r="W36" i="2"/>
  <c r="V36" i="2"/>
  <c r="U36" i="2"/>
  <c r="T36" i="2"/>
  <c r="S36" i="2"/>
  <c r="R36" i="2"/>
  <c r="AB18" i="2"/>
  <c r="AA18" i="2"/>
  <c r="Z18" i="2"/>
  <c r="Y18" i="2"/>
  <c r="X18" i="2"/>
  <c r="W18" i="2"/>
  <c r="V18" i="2"/>
  <c r="U18" i="2"/>
  <c r="T18" i="2"/>
  <c r="S18" i="2"/>
  <c r="R18" i="2"/>
  <c r="AB17" i="2"/>
  <c r="AA17" i="2"/>
  <c r="Z17" i="2"/>
  <c r="Y17" i="2"/>
  <c r="X17" i="2"/>
  <c r="W17" i="2"/>
  <c r="V17" i="2"/>
  <c r="U17" i="2"/>
  <c r="T17" i="2"/>
  <c r="S17" i="2"/>
  <c r="R17" i="2"/>
  <c r="AB16" i="2"/>
  <c r="AA16" i="2"/>
  <c r="Z16" i="2"/>
  <c r="Y16" i="2"/>
  <c r="X16" i="2"/>
  <c r="W16" i="2"/>
  <c r="V16" i="2"/>
  <c r="U16" i="2"/>
  <c r="T16" i="2"/>
  <c r="S16" i="2"/>
  <c r="R16" i="2"/>
  <c r="AB15" i="2"/>
  <c r="AA15" i="2"/>
  <c r="Z15" i="2"/>
  <c r="Y15" i="2"/>
  <c r="X15" i="2"/>
  <c r="W15" i="2"/>
  <c r="V15" i="2"/>
  <c r="U15" i="2"/>
  <c r="T15" i="2"/>
  <c r="S15" i="2"/>
  <c r="R15" i="2"/>
  <c r="BA31" i="2"/>
  <c r="AB43" i="2"/>
  <c r="AA43" i="2"/>
  <c r="Z43" i="2"/>
  <c r="Y43" i="2"/>
  <c r="X43" i="2"/>
  <c r="W43" i="2"/>
  <c r="V43" i="2"/>
  <c r="U43" i="2"/>
  <c r="T43" i="2"/>
  <c r="S43" i="2"/>
  <c r="R43" i="2"/>
  <c r="BB31" i="2"/>
  <c r="BB30" i="2"/>
  <c r="BA30" i="2"/>
  <c r="BB29" i="2"/>
  <c r="BA29" i="2"/>
  <c r="AB42" i="2"/>
  <c r="AA42" i="2"/>
  <c r="Z42" i="2"/>
  <c r="Y42" i="2"/>
  <c r="X42" i="2"/>
  <c r="W42" i="2"/>
  <c r="V42" i="2"/>
  <c r="U42" i="2"/>
  <c r="T42" i="2"/>
  <c r="S42" i="2"/>
  <c r="R42" i="2"/>
  <c r="AB41" i="2"/>
  <c r="AA41" i="2"/>
  <c r="Z41" i="2"/>
  <c r="Y41" i="2"/>
  <c r="X41" i="2"/>
  <c r="W41" i="2"/>
  <c r="V41" i="2"/>
  <c r="U41" i="2"/>
  <c r="T41" i="2"/>
  <c r="S41" i="2"/>
  <c r="R41" i="2"/>
  <c r="AB40" i="2"/>
  <c r="AA40" i="2"/>
  <c r="Z40" i="2"/>
  <c r="Y40" i="2"/>
  <c r="X40" i="2"/>
  <c r="W40" i="2"/>
  <c r="V40" i="2"/>
  <c r="U40" i="2"/>
  <c r="T40" i="2"/>
  <c r="S40" i="2"/>
  <c r="R40" i="2"/>
  <c r="AB35" i="2"/>
  <c r="AA35" i="2"/>
  <c r="Z35" i="2"/>
  <c r="Y35" i="2"/>
  <c r="X35" i="2"/>
  <c r="W35" i="2"/>
  <c r="V35" i="2"/>
  <c r="U35" i="2"/>
  <c r="T35" i="2"/>
  <c r="S35" i="2"/>
  <c r="R35" i="2"/>
  <c r="AB34" i="2"/>
  <c r="AA34" i="2"/>
  <c r="Z34" i="2"/>
  <c r="Y34" i="2"/>
  <c r="X34" i="2"/>
  <c r="W34" i="2"/>
  <c r="V34" i="2"/>
  <c r="U34" i="2"/>
  <c r="T34" i="2"/>
  <c r="S34" i="2"/>
  <c r="R34" i="2"/>
  <c r="AB33" i="2"/>
  <c r="AA33" i="2"/>
  <c r="Z33" i="2"/>
  <c r="Y33" i="2"/>
  <c r="X33" i="2"/>
  <c r="W33" i="2"/>
  <c r="V33" i="2"/>
  <c r="U33" i="2"/>
  <c r="T33" i="2"/>
  <c r="S33" i="2"/>
  <c r="R33" i="2"/>
  <c r="AB32" i="2"/>
  <c r="AA32" i="2"/>
  <c r="Z32" i="2"/>
  <c r="Y32" i="2"/>
  <c r="X32" i="2"/>
  <c r="W32" i="2"/>
  <c r="V32" i="2"/>
  <c r="U32" i="2"/>
  <c r="T32" i="2"/>
  <c r="S32" i="2"/>
  <c r="R32" i="2"/>
  <c r="AB31" i="2"/>
  <c r="AA31" i="2"/>
  <c r="Z31" i="2"/>
  <c r="Y31" i="2"/>
  <c r="X31" i="2"/>
  <c r="W31" i="2"/>
  <c r="V31" i="2"/>
  <c r="U31" i="2"/>
  <c r="T31" i="2"/>
  <c r="S31" i="2"/>
  <c r="R31" i="2"/>
  <c r="AB30" i="2"/>
  <c r="AA30" i="2"/>
  <c r="Z30" i="2"/>
  <c r="Y30" i="2"/>
  <c r="X30" i="2"/>
  <c r="W30" i="2"/>
  <c r="V30" i="2"/>
  <c r="U30" i="2"/>
  <c r="T30" i="2"/>
  <c r="S30" i="2"/>
  <c r="R30" i="2"/>
  <c r="AB29" i="2"/>
  <c r="AA29" i="2"/>
  <c r="Z29" i="2"/>
  <c r="Y29" i="2"/>
  <c r="X29" i="2"/>
  <c r="W29" i="2"/>
  <c r="V29" i="2"/>
  <c r="U29" i="2"/>
  <c r="T29" i="2"/>
  <c r="S29" i="2"/>
  <c r="R29" i="2"/>
  <c r="AB28" i="2"/>
  <c r="AA28" i="2"/>
  <c r="Z28" i="2"/>
  <c r="Y28" i="2"/>
  <c r="X28" i="2"/>
  <c r="W28" i="2"/>
  <c r="V28" i="2"/>
  <c r="U28" i="2"/>
  <c r="T28" i="2"/>
  <c r="S28" i="2"/>
  <c r="R28" i="2"/>
  <c r="S12" i="3"/>
  <c r="T7" i="2"/>
  <c r="BB8" i="2"/>
  <c r="BA9" i="2"/>
  <c r="BA8" i="2"/>
  <c r="BA7" i="2"/>
  <c r="AA10" i="2"/>
  <c r="R8" i="2"/>
  <c r="S8" i="2"/>
  <c r="T8" i="2"/>
  <c r="U8" i="2"/>
  <c r="V8" i="2"/>
  <c r="W8" i="2"/>
  <c r="X8" i="2"/>
  <c r="Y8" i="2"/>
  <c r="Z8" i="2"/>
  <c r="AA8" i="2"/>
  <c r="AB8" i="2"/>
  <c r="R9" i="2"/>
  <c r="S9" i="2"/>
  <c r="T9" i="2"/>
  <c r="U9" i="2"/>
  <c r="V9" i="2"/>
  <c r="W9" i="2"/>
  <c r="X9" i="2"/>
  <c r="Y9" i="2"/>
  <c r="Z9" i="2"/>
  <c r="AA9" i="2"/>
  <c r="AB9" i="2"/>
  <c r="R10" i="2"/>
  <c r="S10" i="2"/>
  <c r="T10" i="2"/>
  <c r="U10" i="2"/>
  <c r="V10" i="2"/>
  <c r="W10" i="2"/>
  <c r="X10" i="2"/>
  <c r="Y10" i="2"/>
  <c r="Z10" i="2"/>
  <c r="AB10" i="2"/>
  <c r="R11" i="2"/>
  <c r="S11" i="2"/>
  <c r="T11" i="2"/>
  <c r="U11" i="2"/>
  <c r="V11" i="2"/>
  <c r="W11" i="2"/>
  <c r="X11" i="2"/>
  <c r="Y11" i="2"/>
  <c r="Z11" i="2"/>
  <c r="AA11" i="2"/>
  <c r="AB11" i="2"/>
  <c r="R12" i="2"/>
  <c r="S12" i="2"/>
  <c r="T12" i="2"/>
  <c r="U12" i="2"/>
  <c r="V12" i="2"/>
  <c r="W12" i="2"/>
  <c r="X12" i="2"/>
  <c r="Y12" i="2"/>
  <c r="Z12" i="2"/>
  <c r="AA12" i="2"/>
  <c r="AB12" i="2"/>
  <c r="R13" i="2"/>
  <c r="S13" i="2"/>
  <c r="T13" i="2"/>
  <c r="U13" i="2"/>
  <c r="V13" i="2"/>
  <c r="W13" i="2"/>
  <c r="X13" i="2"/>
  <c r="Y13" i="2"/>
  <c r="Z13" i="2"/>
  <c r="AA13" i="2"/>
  <c r="AB13" i="2"/>
  <c r="R14" i="2"/>
  <c r="S14" i="2"/>
  <c r="T14" i="2"/>
  <c r="U14" i="2"/>
  <c r="V14" i="2"/>
  <c r="W14" i="2"/>
  <c r="X14" i="2"/>
  <c r="Y14" i="2"/>
  <c r="Z14" i="2"/>
  <c r="AA14" i="2"/>
  <c r="AB14" i="2"/>
  <c r="S7" i="2"/>
  <c r="U7" i="2"/>
  <c r="V7" i="2"/>
  <c r="W7" i="2"/>
  <c r="X7" i="2"/>
  <c r="Y7" i="2"/>
  <c r="Z7" i="2"/>
  <c r="AA7" i="2"/>
  <c r="AB7" i="2"/>
  <c r="R7" i="2"/>
  <c r="AF28" i="1"/>
</calcChain>
</file>

<file path=xl/sharedStrings.xml><?xml version="1.0" encoding="utf-8"?>
<sst xmlns="http://schemas.openxmlformats.org/spreadsheetml/2006/main" count="1543" uniqueCount="225">
  <si>
    <t>UniqueID</t>
  </si>
  <si>
    <t>FormYear</t>
  </si>
  <si>
    <t>RoundYear</t>
  </si>
  <si>
    <t>UniqueGroupID</t>
  </si>
  <si>
    <t>JoinKey</t>
  </si>
  <si>
    <t>Function_Name</t>
  </si>
  <si>
    <t>Function_SubType</t>
  </si>
  <si>
    <t>Scoring_Group</t>
  </si>
  <si>
    <t>SharePoint_List</t>
  </si>
  <si>
    <t>Item_ID</t>
  </si>
  <si>
    <t>Title</t>
  </si>
  <si>
    <t>SubmissionTime</t>
  </si>
  <si>
    <t>ResponderEmail</t>
  </si>
  <si>
    <t>Level1</t>
  </si>
  <si>
    <t>Level2</t>
  </si>
  <si>
    <t>Level3</t>
  </si>
  <si>
    <t>Pur_Grp</t>
  </si>
  <si>
    <t>Plant</t>
  </si>
  <si>
    <t>Product</t>
  </si>
  <si>
    <t>Vendor_Name</t>
  </si>
  <si>
    <t>Comment</t>
  </si>
  <si>
    <t>Above1MB</t>
  </si>
  <si>
    <t>Group_Question</t>
  </si>
  <si>
    <t>Question_Order</t>
  </si>
  <si>
    <t>Question_Number</t>
  </si>
  <si>
    <t>Question_Name</t>
  </si>
  <si>
    <t>Response</t>
  </si>
  <si>
    <t>Response_Value</t>
  </si>
  <si>
    <t>Max_Response_Value</t>
  </si>
  <si>
    <t>Raw_Score</t>
  </si>
  <si>
    <t>Weight_UniqueID</t>
  </si>
  <si>
    <t>Score_UniqueID</t>
  </si>
  <si>
    <t>Weight_Source</t>
  </si>
  <si>
    <t>Weight</t>
  </si>
  <si>
    <t>Score</t>
  </si>
  <si>
    <t>WeightTotal</t>
  </si>
  <si>
    <t>Weight_Calc</t>
  </si>
  <si>
    <t>Score_Calc</t>
  </si>
  <si>
    <t>Score_Calc_Format</t>
  </si>
  <si>
    <t>Weight_RM</t>
  </si>
  <si>
    <t>Score_RM</t>
  </si>
  <si>
    <t>Score_RM_Format</t>
  </si>
  <si>
    <t>Weight_PCM</t>
  </si>
  <si>
    <t>Score_PCM</t>
  </si>
  <si>
    <t>Score_PCM_Format</t>
  </si>
  <si>
    <t>GradeByUniqueID</t>
  </si>
  <si>
    <t>RawVendorScore</t>
  </si>
  <si>
    <t>RawVendorFormCount</t>
  </si>
  <si>
    <t>SumScoreByVendor</t>
  </si>
  <si>
    <t>GradeByVendor</t>
  </si>
  <si>
    <t>RawVendorLevelScore</t>
  </si>
  <si>
    <t>RawVendorLevelFormCount</t>
  </si>
  <si>
    <t>SumScoreByVendorLevel</t>
  </si>
  <si>
    <t>GradeByVendorLevel</t>
  </si>
  <si>
    <t>CURRENT_YEAR_INDEX</t>
  </si>
  <si>
    <t>MS_FORM2_PROPERTY_0015</t>
  </si>
  <si>
    <t>PROPERTY__PROPERTY_9000104647 บริษัท ซี.พี.แลนด์ จำกัด (มหาชน)_Property__1999</t>
  </si>
  <si>
    <t>PROPERTY__9000104647 บริษัท ซี.พี.แลนด์ จำกัด (มหาชน)_Property__1999_1</t>
  </si>
  <si>
    <t>PROPERTY</t>
  </si>
  <si>
    <t>MS_FORM2_PROPERTY</t>
  </si>
  <si>
    <t>Sutripat.Ng@thainamthip.co.th</t>
  </si>
  <si>
    <t>Property</t>
  </si>
  <si>
    <t>QA</t>
  </si>
  <si>
    <t>NULL</t>
  </si>
  <si>
    <t>9000104647 บริษัท ซี.พี.แลนด์ จำกัด (มหาชน)</t>
  </si>
  <si>
    <t>Service</t>
  </si>
  <si>
    <t>Q01</t>
  </si>
  <si>
    <t>1.1 ความร่วมมือในการติดต่อราชการ</t>
  </si>
  <si>
    <t>1.00 x 10.00</t>
  </si>
  <si>
    <t>D</t>
  </si>
  <si>
    <t>B</t>
  </si>
  <si>
    <t>MS_FORM2_PROPERTY_0016</t>
  </si>
  <si>
    <t>Store</t>
  </si>
  <si>
    <t>Q02</t>
  </si>
  <si>
    <t>1.2 ให้บริการปรับปรุงแก้ไขปัญหา</t>
  </si>
  <si>
    <t>Q03</t>
  </si>
  <si>
    <t>1.3 ติดต่อผู้ประสานงานผู้ให้เช่า</t>
  </si>
  <si>
    <t>MS_FORM2_PROPERTY_0017</t>
  </si>
  <si>
    <t>Buyer</t>
  </si>
  <si>
    <t>Price</t>
  </si>
  <si>
    <t>Q04</t>
  </si>
  <si>
    <t>2.1 ราคาเหมาะสมเมื่อเปรียบเทียบกับสถานที่อื่น</t>
  </si>
  <si>
    <t>Quality</t>
  </si>
  <si>
    <t>Q05</t>
  </si>
  <si>
    <t>3.1 ขนาดของพื้นที่ตรงตามความต้องการ</t>
  </si>
  <si>
    <t>Q06</t>
  </si>
  <si>
    <t>3.2 โครงสร้างตัวอาคารได้มาตรฐานปลอดภัย และปฎิบัติตามกฎหมาย</t>
  </si>
  <si>
    <t>Q07</t>
  </si>
  <si>
    <t>3.3 ทำเลที่ตั้ง</t>
  </si>
  <si>
    <t>1.00 x 15.00</t>
  </si>
  <si>
    <t>Sum of Score</t>
  </si>
  <si>
    <t>Sum of Weight</t>
  </si>
  <si>
    <t>Grand Total</t>
  </si>
  <si>
    <t>กรณีมีมากกว่า 1 คนกรอก</t>
  </si>
  <si>
    <t>ตัวอย่างที่ยกมานี้คือตัวอย่างสำหรับ Vendor ที่ Packaging ไม่ประเมิน</t>
  </si>
  <si>
    <t>สรุป เราจะแก้ที่ Power BI โดย Concept คือ</t>
  </si>
  <si>
    <t>1. เราจะ Group By Pur_Grp, Title &gt;&gt; SUM(Score) SUM(Weight) ก่อน</t>
  </si>
  <si>
    <t>Average of Sum of Score</t>
  </si>
  <si>
    <t>Average of Sum of Weight</t>
  </si>
  <si>
    <t>2. จากนั้นค่อยเอาแต่ละ Pur_Grp แต่ละ Group มาหา Avg(Score) &gt;&gt; จากนั้นเอาทั้งหมดมา Sum</t>
  </si>
  <si>
    <t>3. จากนั้นค่อยเอาแต่ละ Pur_Grp แต่ละ Group มาหา Avg(Weight) &gt;&gt; จากนั้นเอาทั้งหมดมา Sum</t>
  </si>
  <si>
    <t>4. เอา (2.)/(3.)</t>
  </si>
  <si>
    <t>Sum of Average of Sum of Score</t>
  </si>
  <si>
    <t>Sum of Average of Sum of Weight</t>
  </si>
  <si>
    <t>3.1 เหตุที่ Avg จริงๆต้องบอกได้ค่าเดิม เช่นจากตัวอย่าง (Cell-HignLight=Yellow) &gt;&gt; : Buyer จริงๆมีคะแนน 45คะแนน (45+45)/2</t>
  </si>
  <si>
    <t>วิธีทดสอบ</t>
  </si>
  <si>
    <t>ผู้ประเมิน</t>
  </si>
  <si>
    <t>VendorName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</si>
  <si>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</si>
  <si>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</si>
  <si>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</si>
  <si>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</si>
  <si>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</si>
  <si>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</si>
  <si>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</si>
  <si>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</si>
  <si>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</si>
  <si>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</si>
  <si>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</si>
  <si>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</si>
  <si>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</si>
  <si>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</si>
  <si>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</si>
  <si>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</si>
  <si>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</si>
  <si>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</si>
  <si>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Packaging</t>
  </si>
  <si>
    <t>Q10</t>
  </si>
  <si>
    <t>Q11</t>
  </si>
  <si>
    <t>ทดสอบกับ Form Agile</t>
  </si>
  <si>
    <t>Row Labels1</t>
  </si>
  <si>
    <t>Q.1</t>
  </si>
  <si>
    <t>Q.2</t>
  </si>
  <si>
    <t>Q.3</t>
  </si>
  <si>
    <t>Q.4</t>
  </si>
  <si>
    <t>Q.5</t>
  </si>
  <si>
    <t>Q.6</t>
  </si>
  <si>
    <t>Q.7</t>
  </si>
  <si>
    <t>Q.8</t>
  </si>
  <si>
    <t>Q.9</t>
  </si>
  <si>
    <t>S.1</t>
  </si>
  <si>
    <t>S.2</t>
  </si>
  <si>
    <t>S.3</t>
  </si>
  <si>
    <t>S.4</t>
  </si>
  <si>
    <t>S.5</t>
  </si>
  <si>
    <t>S.6</t>
  </si>
  <si>
    <t>S.7</t>
  </si>
  <si>
    <t>S.8</t>
  </si>
  <si>
    <t>S.9</t>
  </si>
  <si>
    <t>Total_Q</t>
  </si>
  <si>
    <t>Total_S</t>
  </si>
  <si>
    <t>S10</t>
  </si>
  <si>
    <t>S11</t>
  </si>
  <si>
    <t>-</t>
  </si>
  <si>
    <t>S.10</t>
  </si>
  <si>
    <t>S.11</t>
  </si>
  <si>
    <t>Q.10</t>
  </si>
  <si>
    <t>Q.11</t>
  </si>
  <si>
    <t>1. Vendor ที่ Packaging ไม่ประเมิน &gt;&gt; จะประเมิน 2 ชุด</t>
  </si>
  <si>
    <t>บริษัท แอสเซนด์ แทรเวิล</t>
  </si>
  <si>
    <t>9000103356 บริษัท ดีเอพีพี ยูนิฟอร์ม จำกัด</t>
  </si>
  <si>
    <t>บริษัท ดีเอพีพี ยูนิฟอร์ม จำกัด</t>
  </si>
  <si>
    <t>QueryPart</t>
  </si>
  <si>
    <t>Question_Number_Sort</t>
  </si>
  <si>
    <t>Cell_Value</t>
  </si>
  <si>
    <t>Weight_Total_Line</t>
  </si>
  <si>
    <t>21_SCORE_WEIGHT_SUM</t>
  </si>
  <si>
    <t>AGILE__9000103356 บริษัท ดีเอพีพี ยูนิฟอร์ม จำกัด_Uniform__1999_1</t>
  </si>
  <si>
    <t>MS_FORM2_AGILE_0040</t>
  </si>
  <si>
    <t>AGILE</t>
  </si>
  <si>
    <t>MS_FORM2_AGILE</t>
  </si>
  <si>
    <t>Uniform</t>
  </si>
  <si>
    <t>T1T1T1</t>
  </si>
  <si>
    <t>Score Total</t>
  </si>
  <si>
    <t>TOTAL_SCORE</t>
  </si>
  <si>
    <t>MS_FORM2_AGILE_0041</t>
  </si>
  <si>
    <t>MS_FORM2_AGILE_0042</t>
  </si>
  <si>
    <t>T1T1</t>
  </si>
  <si>
    <t>MS_FORM2_AGILE_0044</t>
  </si>
  <si>
    <t>MS_FORM2_AGILE_0045</t>
  </si>
  <si>
    <t>MS_FORM2_AGILE_0046</t>
  </si>
  <si>
    <t>Average of Cell_Value</t>
  </si>
  <si>
    <t>Average of Weight_Source</t>
  </si>
  <si>
    <t>Sum of Average of Cell_Value</t>
  </si>
  <si>
    <t>Sum of Average of Weight_Source</t>
  </si>
  <si>
    <t>1. Vendor ที่ Packaging ไม่ประเมิน &gt;&gt; จะประเมิน 3 ชุด</t>
  </si>
  <si>
    <t>โดยชุดที่ 3 Packaging ไม่ประเมินเลย</t>
  </si>
  <si>
    <t>พิสูจน์แล้วว่า Vendor ที่ Packaging ไม่ประเมิน</t>
  </si>
  <si>
    <t>หากว่า Vendor เข้ามาประเมินแบบ "-" กับ ไม่เข้ามาประเมินเลย &gt;&gt; ให้ผลลัพธ์เท่ากัน</t>
  </si>
  <si>
    <t>3. เหมือนตัวอย่างที่ 2 แต่ทดสอบ สองปี</t>
  </si>
  <si>
    <t>ปี</t>
  </si>
  <si>
    <t>Row Labels</t>
  </si>
  <si>
    <t>PURCHASING</t>
  </si>
  <si>
    <t>USER</t>
  </si>
  <si>
    <t>Commercial</t>
  </si>
  <si>
    <t>Total</t>
  </si>
  <si>
    <t>Concept หน้ารวม</t>
  </si>
  <si>
    <t>(All)</t>
  </si>
  <si>
    <t>4. ต่อจาก 3. กรณีที่ Packaing บางคนดันให้คะแนน</t>
  </si>
  <si>
    <t>AGILE__9000103356 บริษัท ดีเอพีพี ยูนิฟอร์ม จำกัด_Uniform__1998_1</t>
  </si>
  <si>
    <t>MS_FORM2_AGILE_0059</t>
  </si>
  <si>
    <t>T3T3T3</t>
  </si>
  <si>
    <t>MS_FORM2_AGILE_0060</t>
  </si>
  <si>
    <t>MS_FORM2_AGILE_0061</t>
  </si>
  <si>
    <t>T3T3</t>
  </si>
  <si>
    <t>MS_FORM2_AGILE_0062</t>
  </si>
  <si>
    <t>AGILE__9000103503 บริษัท แอสเซนด์ แทรเวิล จำกัด_Misscellaneous__1998_1</t>
  </si>
  <si>
    <t>MS_FORM2_AGILE_0051</t>
  </si>
  <si>
    <t>Misscellaneous</t>
  </si>
  <si>
    <t>9000103503 บริษัท แอสเซนด์ แทรเวิล จำกัด</t>
  </si>
  <si>
    <t>MS_FORM2_AGILE_0052</t>
  </si>
  <si>
    <t>MS_FORM2_AGILE_0053</t>
  </si>
  <si>
    <t>MS_FORM2_AGILE_0055</t>
  </si>
  <si>
    <t>MS_FORM2_AGILE_0056</t>
  </si>
  <si>
    <t>MS_FORM2_AGILE_0057</t>
  </si>
  <si>
    <t>MS_FORM2_AGILE_0063</t>
  </si>
  <si>
    <t>Power.Bi@thainamthip.co.th</t>
  </si>
  <si>
    <t>Test4Test4Test4</t>
  </si>
  <si>
    <t>MS_FORM2_AGILE_0064</t>
  </si>
  <si>
    <t>MS_FORM2_AGILE_0065</t>
  </si>
  <si>
    <t>Test4Test4</t>
  </si>
  <si>
    <t>MS_FORM2_AGILE_0066</t>
  </si>
  <si>
    <t>Test4</t>
  </si>
  <si>
    <t>สรุป case นี้ คำนวณผิดพลาด &gt;&gt; ดูวิธีการคิดได้ดังนี้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</si>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</sst>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color rgb="FFFF0000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2" borderId="0" xfId="0" applyNumberFormat="1" applyFill="1"/>
    <xf numFmtId="43" fontId="0" fillId="0" borderId="0" xfId="1" applyFont="1"/>
    <xf numFmtId="0" fontId="0" fillId="0" borderId="0" xfId="1" applyNumberFormat="1" applyFont="1"/>
    <xf numFmtId="0" fontId="0" fillId="0" borderId="0" xfId="0" applyAlignment="1">
      <alignment vertical="center"/>
    </xf>
    <xf numFmtId="0" fontId="0" fillId="3" borderId="2" xfId="0" applyFill="1" applyBorder="1"/>
    <xf numFmtId="59" fontId="0" fillId="3" borderId="2" xfId="0" applyNumberFormat="1" applyFill="1" applyBorder="1"/>
    <xf numFmtId="0" fontId="0" fillId="4" borderId="2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0" fillId="0" borderId="0" xfId="0" pivotButton="1" applyNumberFormat="1"/>
    <xf numFmtId="0" fontId="0" fillId="3" borderId="1" xfId="0" applyFill="1" applyBorder="1"/>
    <xf numFmtId="59" fontId="0" fillId="3" borderId="3" xfId="0" applyNumberFormat="1" applyFill="1" applyBorder="1"/>
    <xf numFmtId="0" fontId="0" fillId="0" borderId="0" xfId="0" applyBorder="1"/>
    <xf numFmtId="0" fontId="0" fillId="2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4" borderId="1" xfId="0" applyFill="1" applyBorder="1"/>
    <xf numFmtId="59" fontId="0" fillId="4" borderId="2" xfId="0" applyNumberFormat="1" applyFill="1" applyBorder="1"/>
    <xf numFmtId="59" fontId="0" fillId="4" borderId="3" xfId="0" applyNumberFormat="1" applyFill="1" applyBorder="1"/>
    <xf numFmtId="0" fontId="0" fillId="0" borderId="14" xfId="0" applyBorder="1"/>
    <xf numFmtId="0" fontId="0" fillId="0" borderId="15" xfId="0" applyBorder="1"/>
    <xf numFmtId="0" fontId="3" fillId="5" borderId="12" xfId="0" applyFont="1" applyFill="1" applyBorder="1"/>
    <xf numFmtId="0" fontId="0" fillId="0" borderId="0" xfId="0" applyFill="1"/>
    <xf numFmtId="0" fontId="0" fillId="0" borderId="0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 applyAlignment="1">
      <alignment horizontal="left"/>
    </xf>
    <xf numFmtId="0" fontId="5" fillId="0" borderId="10" xfId="0" applyFont="1" applyBorder="1"/>
    <xf numFmtId="0" fontId="6" fillId="0" borderId="0" xfId="2" applyFill="1"/>
  </cellXfs>
  <cellStyles count="3">
    <cellStyle name="Comma" xfId="1" builtinId="3"/>
    <cellStyle name="Hyperlink" xfId="2" builtinId="8"/>
    <cellStyle name="Normal" xfId="0" builtinId="0"/>
  </cellStyles>
  <dxfs count="2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265546</xdr:colOff>
      <xdr:row>94</xdr:row>
      <xdr:rowOff>69273</xdr:rowOff>
    </xdr:from>
    <xdr:to>
      <xdr:col>51</xdr:col>
      <xdr:colOff>46182</xdr:colOff>
      <xdr:row>114</xdr:row>
      <xdr:rowOff>161897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D66D1-7538-40EF-9393-FABACF86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09546" y="16613909"/>
          <a:ext cx="13069454" cy="36139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12738657411" createdVersion="7" refreshedVersion="7" minRefreshableVersion="3" recordCount="7" xr:uid="{604520EB-CD5D-43D4-A158-D408699E65A6}">
  <cacheSource type="worksheet">
    <worksheetSource ref="B15:E22" sheet="VW_FACT_MS_FORM_V2"/>
  </cacheSource>
  <cacheFields count="4">
    <cacheField name="Pur_Grp" numFmtId="0">
      <sharedItems count="3">
        <s v="QA"/>
        <s v="Store"/>
        <s v="Buyer"/>
      </sharedItems>
    </cacheField>
    <cacheField name="Vendor_Name" numFmtId="0">
      <sharedItems count="1">
        <s v="9000104647 บริษัท ซี.พี.แลนด์ จำกัด (มหาชน)"/>
      </sharedItems>
    </cacheField>
    <cacheField name="Score" numFmtId="0">
      <sharedItems containsSemiMixedTypes="0" containsString="0" containsNumber="1" containsInteger="1" minValue="10" maxValue="15"/>
    </cacheField>
    <cacheField name="Weight" numFmtId="0">
      <sharedItems containsSemiMixedTypes="0" containsString="0" containsNumber="1" containsInteger="1" minValue="1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22236805556" createdVersion="7" refreshedVersion="7" minRefreshableVersion="3" recordCount="14" xr:uid="{1A00327B-BCB2-4D4C-8351-E0160AA9192F}">
  <cacheSource type="worksheet">
    <worksheetSource ref="B28:F42" sheet="VW_FACT_MS_FORM_V2"/>
  </cacheSource>
  <cacheFields count="5">
    <cacheField name="Title" numFmtId="0">
      <sharedItems containsSemiMixedTypes="0" containsString="0" containsNumber="1" containsInteger="1" minValue="12" maxValue="47" count="8">
        <n v="42"/>
        <n v="44"/>
        <n v="43"/>
        <n v="45"/>
        <n v="47"/>
        <n v="46"/>
        <n v="13" u="1"/>
        <n v="12" u="1"/>
      </sharedItems>
    </cacheField>
    <cacheField name="Pur_Grp" numFmtId="0">
      <sharedItems count="3">
        <s v="QA"/>
        <s v="Store"/>
        <s v="Buyer"/>
      </sharedItems>
    </cacheField>
    <cacheField name="Vendor_Name" numFmtId="0">
      <sharedItems count="1">
        <s v="9000104647 บริษัท ซี.พี.แลนด์ จำกัด (มหาชน)"/>
      </sharedItems>
    </cacheField>
    <cacheField name="Score" numFmtId="0">
      <sharedItems containsSemiMixedTypes="0" containsString="0" containsNumber="1" containsInteger="1" minValue="8" maxValue="15"/>
    </cacheField>
    <cacheField name="Weight" numFmtId="0">
      <sharedItems containsSemiMixedTypes="0" containsString="0" containsNumber="1" containsInteger="1" minValue="1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22534027777" createdVersion="7" refreshedVersion="7" minRefreshableVersion="3" recordCount="6" xr:uid="{999E6C7E-B202-477D-ABEE-B472B3334CC1}">
  <cacheSource type="worksheet">
    <worksheetSource ref="N27:R33" sheet="VW_FACT_MS_FORM_V2"/>
  </cacheSource>
  <cacheFields count="5">
    <cacheField name="Pur_Grp" numFmtId="0">
      <sharedItems count="3">
        <s v="Buyer"/>
        <s v="QA"/>
        <s v="Store"/>
      </sharedItems>
    </cacheField>
    <cacheField name="Vendor_Name" numFmtId="0">
      <sharedItems/>
    </cacheField>
    <cacheField name="Title" numFmtId="0">
      <sharedItems containsSemiMixedTypes="0" containsString="0" containsNumber="1" containsInteger="1" minValue="42" maxValue="47"/>
    </cacheField>
    <cacheField name="Sum of Score" numFmtId="0">
      <sharedItems containsSemiMixedTypes="0" containsString="0" containsNumber="1" containsInteger="1" minValue="8" maxValue="45"/>
    </cacheField>
    <cacheField name="Sum of Weight" numFmtId="0">
      <sharedItems containsSemiMixedTypes="0" containsString="0" containsNumber="1" containsInteger="1" minValue="1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22679050927" createdVersion="7" refreshedVersion="7" minRefreshableVersion="3" recordCount="3" xr:uid="{4B85A288-1285-425D-8A98-F0FB6F77E559}">
  <cacheSource type="worksheet">
    <worksheetSource ref="X27:Z30" sheet="VW_FACT_MS_FORM_V2"/>
  </cacheSource>
  <cacheFields count="3">
    <cacheField name="Pur_Grp" numFmtId="0">
      <sharedItems/>
    </cacheField>
    <cacheField name="Average of Sum of Score" numFmtId="0">
      <sharedItems containsSemiMixedTypes="0" containsString="0" containsNumber="1" minValue="9" maxValue="40.5"/>
    </cacheField>
    <cacheField name="Average of Sum of Weight" numFmtId="0">
      <sharedItems containsSemiMixedTypes="0" containsString="0" containsNumber="1" containsInteger="1" minValue="1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63895138892" createdVersion="7" refreshedVersion="7" minRefreshableVersion="3" recordCount="12" xr:uid="{70B418A5-1A91-40EC-B4FB-A52D4D26D695}">
  <cacheSource type="worksheet">
    <worksheetSource ref="E6:AB18" sheet="Tester"/>
  </cacheSource>
  <cacheFields count="24">
    <cacheField name="ผู้ประเมิน" numFmtId="0">
      <sharedItems/>
    </cacheField>
    <cacheField name="VendorName" numFmtId="0">
      <sharedItems count="4">
        <s v="บริษัท แอสเซนด์ แทรเวิล"/>
        <s v="บริษัท ดีเอพีพี ยูนิฟอร์ม จำกัด"/>
        <s v="บริษัท ซี.พี.แลนด์" u="1"/>
        <s v="บริษัท ดีวอลล์" u="1"/>
      </sharedItems>
    </cacheField>
    <cacheField name="Q1" numFmtId="0">
      <sharedItems containsString="0" containsBlank="1" containsNumber="1" containsInteger="1" minValue="2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1" maxValue="2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1" maxValue="2"/>
    </cacheField>
    <cacheField name="Q7" numFmtId="0">
      <sharedItems containsString="0" containsBlank="1" containsNumber="1" containsInteger="1" minValue="2" maxValue="4"/>
    </cacheField>
    <cacheField name="Q8" numFmtId="0">
      <sharedItems containsString="0" containsBlank="1" containsNumber="1" containsInteger="1" minValue="2" maxValue="2"/>
    </cacheField>
    <cacheField name="Q9" numFmtId="0">
      <sharedItems containsBlank="1" containsMixedTypes="1" containsNumber="1" containsInteger="1" minValue="3" maxValue="3"/>
    </cacheField>
    <cacheField name="Q10" numFmtId="0">
      <sharedItems containsBlank="1" containsMixedTypes="1" containsNumber="1" containsInteger="1" minValue="4" maxValue="4"/>
    </cacheField>
    <cacheField name="Q11" numFmtId="0">
      <sharedItems containsBlank="1" containsMixedTypes="1" containsNumber="1" containsInteger="1" minValue="4" maxValue="4"/>
    </cacheField>
    <cacheField name="S1" numFmtId="0">
      <sharedItems containsMixedTypes="1" containsNumber="1" minValue="5" maxValue="10"/>
    </cacheField>
    <cacheField name="S2" numFmtId="0">
      <sharedItems containsMixedTypes="1" containsNumber="1" containsInteger="1" minValue="5" maxValue="10"/>
    </cacheField>
    <cacheField name="S3" numFmtId="0">
      <sharedItems containsMixedTypes="1" containsNumber="1" minValue="2.5" maxValue="5"/>
    </cacheField>
    <cacheField name="S4" numFmtId="0">
      <sharedItems containsMixedTypes="1" containsNumber="1" minValue="7.5" maxValue="10"/>
    </cacheField>
    <cacheField name="S5" numFmtId="0">
      <sharedItems containsMixedTypes="1" containsNumber="1" minValue="7.5" maxValue="10"/>
    </cacheField>
    <cacheField name="S6" numFmtId="0">
      <sharedItems containsMixedTypes="1" containsNumber="1" minValue="2.5" maxValue="5"/>
    </cacheField>
    <cacheField name="S7" numFmtId="0">
      <sharedItems containsMixedTypes="1" containsNumber="1" minValue="5" maxValue="10"/>
    </cacheField>
    <cacheField name="S8" numFmtId="0">
      <sharedItems containsMixedTypes="1" containsNumber="1" minValue="2.5" maxValue="2.5"/>
    </cacheField>
    <cacheField name="S9" numFmtId="0">
      <sharedItems containsMixedTypes="1" containsNumber="1" minValue="3.75" maxValue="3.75"/>
    </cacheField>
    <cacheField name="S10" numFmtId="0">
      <sharedItems containsMixedTypes="1" containsNumber="1" containsInteger="1" minValue="5" maxValue="5"/>
    </cacheField>
    <cacheField name="S11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68408796296" createdVersion="7" refreshedVersion="7" minRefreshableVersion="3" recordCount="6" xr:uid="{60DBC90B-3C22-4063-9BFA-73F33E08BDEA}">
  <cacheSource type="worksheet">
    <worksheetSource ref="C11:F17" sheet="VW_FACT_MS_FORM_REPORT_V2"/>
  </cacheSource>
  <cacheFields count="4">
    <cacheField name="Pur_Grp" numFmtId="0">
      <sharedItems count="3">
        <s v="QA"/>
        <s v="Store"/>
        <s v="Buyer"/>
      </sharedItems>
    </cacheField>
    <cacheField name="Vendor_Name" numFmtId="0">
      <sharedItems/>
    </cacheField>
    <cacheField name="Cell_Value" numFmtId="0">
      <sharedItems containsSemiMixedTypes="0" containsString="0" containsNumber="1" minValue="10" maxValue="22.5"/>
    </cacheField>
    <cacheField name="Weight_Source" numFmtId="0">
      <sharedItems containsSemiMixedTypes="0" containsString="0" containsNumber="1" containsInteger="1" minValue="1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69273726849" createdVersion="7" refreshedVersion="7" minRefreshableVersion="3" recordCount="3" xr:uid="{5C3A95D2-F172-40FA-AB89-531CD342F795}">
  <cacheSource type="worksheet">
    <worksheetSource ref="L11:N14" sheet="VW_FACT_MS_FORM_REPORT_V2"/>
  </cacheSource>
  <cacheFields count="3">
    <cacheField name="Pur_Grp" numFmtId="0">
      <sharedItems/>
    </cacheField>
    <cacheField name="Average of Cell_Value" numFmtId="0">
      <sharedItems containsSemiMixedTypes="0" containsString="0" containsNumber="1" minValue="11.25" maxValue="22.5"/>
    </cacheField>
    <cacheField name="Average of Weight_Source" numFmtId="0">
      <sharedItems containsSemiMixedTypes="0" containsString="0" containsNumber="1" containsInteger="1" minValue="1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95607407407" createdVersion="7" refreshedVersion="7" minRefreshableVersion="3" recordCount="16" xr:uid="{D0B2DB46-E33F-4815-A765-F6EF6A029D25}">
  <cacheSource type="worksheet">
    <worksheetSource ref="E27:AB43" sheet="Tester"/>
  </cacheSource>
  <cacheFields count="24"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2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1" maxValue="3"/>
    </cacheField>
    <cacheField name="Q4" numFmtId="0">
      <sharedItems containsString="0" containsBlank="1" containsNumber="1" containsInteger="1" minValue="2" maxValue="4"/>
    </cacheField>
    <cacheField name="Q5" numFmtId="0">
      <sharedItems containsString="0" containsBlank="1" containsNumber="1" containsInteger="1" minValue="2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2" maxValue="4"/>
    </cacheField>
    <cacheField name="Q8" numFmtId="0">
      <sharedItems containsString="0" containsBlank="1" containsNumber="1" containsInteger="1" minValue="1" maxValue="2"/>
    </cacheField>
    <cacheField name="Q9" numFmtId="0">
      <sharedItems containsBlank="1" containsMixedTypes="1" containsNumber="1" containsInteger="1" minValue="3" maxValue="3"/>
    </cacheField>
    <cacheField name="Q10" numFmtId="0">
      <sharedItems containsBlank="1" containsMixedTypes="1" containsNumber="1" containsInteger="1" minValue="4" maxValue="4"/>
    </cacheField>
    <cacheField name="Q11" numFmtId="0">
      <sharedItems containsBlank="1" containsMixedTypes="1" containsNumber="1" containsInteger="1" minValue="4" maxValue="4"/>
    </cacheField>
    <cacheField name="S1" numFmtId="0">
      <sharedItems containsMixedTypes="1" containsNumber="1" minValue="5" maxValue="10"/>
    </cacheField>
    <cacheField name="S2" numFmtId="0">
      <sharedItems containsMixedTypes="1" containsNumber="1" containsInteger="1" minValue="5" maxValue="10"/>
    </cacheField>
    <cacheField name="S3" numFmtId="0">
      <sharedItems containsMixedTypes="1" containsNumber="1" minValue="2.5" maxValue="7.5"/>
    </cacheField>
    <cacheField name="S4" numFmtId="0">
      <sharedItems containsMixedTypes="1" containsNumber="1" minValue="5" maxValue="10"/>
    </cacheField>
    <cacheField name="S5" numFmtId="0">
      <sharedItems containsMixedTypes="1" containsNumber="1" minValue="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5" maxValue="10"/>
    </cacheField>
    <cacheField name="S8" numFmtId="0">
      <sharedItems containsMixedTypes="1" containsNumber="1" minValue="1.25" maxValue="2.5"/>
    </cacheField>
    <cacheField name="S9" numFmtId="0">
      <sharedItems containsMixedTypes="1" containsNumber="1" minValue="3.75" maxValue="3.75"/>
    </cacheField>
    <cacheField name="S10" numFmtId="0">
      <sharedItems containsMixedTypes="1" containsNumber="1" containsInteger="1" minValue="5" maxValue="5"/>
    </cacheField>
    <cacheField name="S11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556760648149" createdVersion="7" refreshedVersion="7" minRefreshableVersion="3" recordCount="28" xr:uid="{D081605B-8D90-44B8-8043-4A0BFB6D34F6}">
  <cacheSource type="worksheet">
    <worksheetSource ref="D52:AB80" sheet="Tester"/>
  </cacheSource>
  <cacheFields count="25">
    <cacheField name="ปี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1" maxValue="4"/>
    </cacheField>
    <cacheField name="Q2" numFmtId="0">
      <sharedItems containsString="0" containsBlank="1" containsNumber="1" containsInteger="1" minValue="1" maxValue="4"/>
    </cacheField>
    <cacheField name="Q3" numFmtId="0">
      <sharedItems containsString="0" containsBlank="1" containsNumber="1" containsInteger="1" minValue="1" maxValue="4"/>
    </cacheField>
    <cacheField name="Q4" numFmtId="0">
      <sharedItems containsString="0" containsBlank="1" containsNumber="1" containsInteger="1" minValue="1" maxValue="4"/>
    </cacheField>
    <cacheField name="Q5" numFmtId="0">
      <sharedItems containsString="0" containsBlank="1" containsNumber="1" containsInteger="1" minValue="1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1" maxValue="4"/>
    </cacheField>
    <cacheField name="Q9" numFmtId="0">
      <sharedItems containsBlank="1" containsMixedTypes="1" containsNumber="1" containsInteger="1" minValue="1" maxValue="3"/>
    </cacheField>
    <cacheField name="Q10" numFmtId="0">
      <sharedItems containsBlank="1" containsMixedTypes="1" containsNumber="1" containsInteger="1" minValue="1" maxValue="4"/>
    </cacheField>
    <cacheField name="Q11" numFmtId="0">
      <sharedItems containsBlank="1" containsMixedTypes="1" containsNumber="1" containsInteger="1" minValue="2" maxValue="4"/>
    </cacheField>
    <cacheField name="S1" numFmtId="0">
      <sharedItems containsMixedTypes="1" containsNumber="1" minValue="2.5" maxValue="10"/>
    </cacheField>
    <cacheField name="S2" numFmtId="0">
      <sharedItems containsMixedTypes="1" containsNumber="1" minValue="2.5" maxValue="10"/>
    </cacheField>
    <cacheField name="S3" numFmtId="0">
      <sharedItems containsMixedTypes="1" containsNumber="1" minValue="2.5" maxValue="10"/>
    </cacheField>
    <cacheField name="S4" numFmtId="0">
      <sharedItems containsMixedTypes="1" containsNumber="1" minValue="2.5" maxValue="10"/>
    </cacheField>
    <cacheField name="S5" numFmtId="0">
      <sharedItems containsMixedTypes="1" containsNumber="1" minValue="2.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2.5" maxValue="10"/>
    </cacheField>
    <cacheField name="S8" numFmtId="0">
      <sharedItems containsMixedTypes="1" containsNumber="1" minValue="1.25" maxValue="5"/>
    </cacheField>
    <cacheField name="S9" numFmtId="0">
      <sharedItems containsMixedTypes="1" containsNumber="1" minValue="1.25" maxValue="3.75"/>
    </cacheField>
    <cacheField name="S10" numFmtId="0">
      <sharedItems containsMixedTypes="1" containsNumber="1" minValue="1.25" maxValue="5"/>
    </cacheField>
    <cacheField name="S11" numFmtId="0">
      <sharedItems containsMixedTypes="1" containsNumber="1" minValue="7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4.637916666667" createdVersion="7" refreshedVersion="7" minRefreshableVersion="3" recordCount="16" xr:uid="{9A773F73-AE87-49D4-85ED-6E0EAF180121}">
  <cacheSource type="worksheet">
    <worksheetSource ref="A62:D78" sheet="VW_FACT_MS_FORM_V2"/>
  </cacheSource>
  <cacheFields count="4">
    <cacheField name="Function_Name" numFmtId="0">
      <sharedItems count="2">
        <s v="AGILE"/>
        <s v="Commercial"/>
      </sharedItems>
    </cacheField>
    <cacheField name="Pur_Grp" numFmtId="0">
      <sharedItems count="6">
        <s v="QA"/>
        <s v="Store"/>
        <s v="Buyer"/>
        <s v="Packaging"/>
        <s v="PURCHASING"/>
        <s v="USER"/>
      </sharedItems>
    </cacheField>
    <cacheField name="Cell_Value" numFmtId="0">
      <sharedItems containsSemiMixedTypes="0" containsString="0" containsNumber="1" minValue="7.5" maxValue="83.75"/>
    </cacheField>
    <cacheField name="Weight_Source" numFmtId="0">
      <sharedItems containsSemiMixedTypes="0" containsString="0" containsNumber="1" containsInteger="1" minValue="1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4.644797222223" createdVersion="7" refreshedVersion="7" minRefreshableVersion="3" recordCount="32" xr:uid="{723C9BEA-AD62-4D9E-A4F5-6B7AC37A5D07}">
  <cacheSource type="worksheet">
    <worksheetSource ref="D88:AB116" sheet="Tester"/>
  </cacheSource>
  <cacheFields count="25">
    <cacheField name="ปี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1" maxValue="4"/>
    </cacheField>
    <cacheField name="Q2" numFmtId="0">
      <sharedItems containsString="0" containsBlank="1" containsNumber="1" containsInteger="1" minValue="1" maxValue="4"/>
    </cacheField>
    <cacheField name="Q3" numFmtId="0">
      <sharedItems containsString="0" containsBlank="1" containsNumber="1" containsInteger="1" minValue="1" maxValue="4"/>
    </cacheField>
    <cacheField name="Q4" numFmtId="0">
      <sharedItems containsString="0" containsBlank="1" containsNumber="1" containsInteger="1" minValue="1" maxValue="4"/>
    </cacheField>
    <cacheField name="Q5" numFmtId="0">
      <sharedItems containsString="0" containsBlank="1" containsNumber="1" containsInteger="1" minValue="1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1" maxValue="4"/>
    </cacheField>
    <cacheField name="Q9" numFmtId="0">
      <sharedItems containsBlank="1" containsMixedTypes="1" containsNumber="1" containsInteger="1" minValue="1" maxValue="4"/>
    </cacheField>
    <cacheField name="Q10" numFmtId="0">
      <sharedItems containsBlank="1" containsMixedTypes="1" containsNumber="1" containsInteger="1" minValue="1" maxValue="4"/>
    </cacheField>
    <cacheField name="Q11" numFmtId="0">
      <sharedItems containsBlank="1" containsMixedTypes="1" containsNumber="1" containsInteger="1" minValue="2" maxValue="4"/>
    </cacheField>
    <cacheField name="S1" numFmtId="0">
      <sharedItems containsMixedTypes="1" containsNumber="1" minValue="2.5" maxValue="10"/>
    </cacheField>
    <cacheField name="S2" numFmtId="0">
      <sharedItems containsMixedTypes="1" containsNumber="1" minValue="2.5" maxValue="10"/>
    </cacheField>
    <cacheField name="S3" numFmtId="0">
      <sharedItems containsMixedTypes="1" containsNumber="1" minValue="2.5" maxValue="10"/>
    </cacheField>
    <cacheField name="S4" numFmtId="0">
      <sharedItems containsMixedTypes="1" containsNumber="1" minValue="2.5" maxValue="10"/>
    </cacheField>
    <cacheField name="S5" numFmtId="0">
      <sharedItems containsMixedTypes="1" containsNumber="1" minValue="2.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2.5" maxValue="10"/>
    </cacheField>
    <cacheField name="S8" numFmtId="0">
      <sharedItems containsMixedTypes="1" containsNumber="1" minValue="1.25" maxValue="5"/>
    </cacheField>
    <cacheField name="S9" numFmtId="0">
      <sharedItems containsMixedTypes="1" containsNumber="1" minValue="1.25" maxValue="5"/>
    </cacheField>
    <cacheField name="S10" numFmtId="0">
      <sharedItems containsMixedTypes="1" containsNumber="1" minValue="1.25" maxValue="5"/>
    </cacheField>
    <cacheField name="S11" numFmtId="0">
      <sharedItems containsMixedTypes="1" containsNumber="1" minValue="7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4.669037962965" createdVersion="7" refreshedVersion="7" minRefreshableVersion="3" recordCount="14" xr:uid="{DFAFA9B1-3EE2-4B39-B29E-7F9D3614BB95}">
  <cacheSource type="worksheet">
    <worksheetSource ref="C40:F54" sheet="VW_FACT_MS_FORM_REPORT_V2"/>
  </cacheSource>
  <cacheFields count="4">
    <cacheField name="Pur_Grp" numFmtId="0">
      <sharedItems count="4">
        <s v="QA"/>
        <s v="Store"/>
        <s v="Buyer"/>
        <s v="Packaging"/>
      </sharedItems>
    </cacheField>
    <cacheField name="Vendor_Name" numFmtId="0">
      <sharedItems/>
    </cacheField>
    <cacheField name="Cell_Value" numFmtId="0">
      <sharedItems containsSemiMixedTypes="0" containsString="0" containsNumber="1" minValue="5" maxValue="25"/>
    </cacheField>
    <cacheField name="Weight_Source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4.669421759259" createdVersion="7" refreshedVersion="7" minRefreshableVersion="3" recordCount="4" xr:uid="{7A13FBCF-3DD2-440F-B51C-A46F7B2B8846}">
  <cacheSource type="worksheet">
    <worksheetSource ref="L40:N44" sheet="VW_FACT_MS_FORM_REPORT_V2"/>
  </cacheSource>
  <cacheFields count="3">
    <cacheField name="Pur_Grp" numFmtId="0">
      <sharedItems/>
    </cacheField>
    <cacheField name="Average of Cell_Value" numFmtId="0">
      <sharedItems containsSemiMixedTypes="0" containsString="0" containsNumber="1" minValue="7.5" maxValue="19.375"/>
    </cacheField>
    <cacheField name="Average of Weight_Source" numFmtId="0">
      <sharedItems containsSemiMixedTypes="0" containsString="0" containsNumber="1" containsInteger="1" minValue="1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0"/>
    <n v="10"/>
  </r>
  <r>
    <x v="1"/>
    <x v="0"/>
    <n v="10"/>
    <n v="10"/>
  </r>
  <r>
    <x v="1"/>
    <x v="0"/>
    <n v="10"/>
    <n v="10"/>
  </r>
  <r>
    <x v="2"/>
    <x v="0"/>
    <n v="10"/>
    <n v="10"/>
  </r>
  <r>
    <x v="2"/>
    <x v="0"/>
    <n v="10"/>
    <n v="10"/>
  </r>
  <r>
    <x v="2"/>
    <x v="0"/>
    <n v="10"/>
    <n v="10"/>
  </r>
  <r>
    <x v="2"/>
    <x v="0"/>
    <n v="15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n v="10"/>
    <n v="10"/>
  </r>
  <r>
    <x v="1"/>
    <x v="1"/>
    <x v="0"/>
    <n v="10"/>
    <n v="10"/>
  </r>
  <r>
    <x v="1"/>
    <x v="1"/>
    <x v="0"/>
    <n v="10"/>
    <n v="10"/>
  </r>
  <r>
    <x v="2"/>
    <x v="2"/>
    <x v="0"/>
    <n v="10"/>
    <n v="10"/>
  </r>
  <r>
    <x v="2"/>
    <x v="2"/>
    <x v="0"/>
    <n v="10"/>
    <n v="10"/>
  </r>
  <r>
    <x v="2"/>
    <x v="2"/>
    <x v="0"/>
    <n v="10"/>
    <n v="10"/>
  </r>
  <r>
    <x v="2"/>
    <x v="2"/>
    <x v="0"/>
    <n v="15"/>
    <n v="15"/>
  </r>
  <r>
    <x v="3"/>
    <x v="0"/>
    <x v="0"/>
    <n v="8"/>
    <n v="10"/>
  </r>
  <r>
    <x v="4"/>
    <x v="1"/>
    <x v="0"/>
    <n v="8"/>
    <n v="10"/>
  </r>
  <r>
    <x v="4"/>
    <x v="1"/>
    <x v="0"/>
    <n v="8"/>
    <n v="10"/>
  </r>
  <r>
    <x v="5"/>
    <x v="2"/>
    <x v="0"/>
    <n v="8"/>
    <n v="10"/>
  </r>
  <r>
    <x v="5"/>
    <x v="2"/>
    <x v="0"/>
    <n v="8"/>
    <n v="10"/>
  </r>
  <r>
    <x v="5"/>
    <x v="2"/>
    <x v="0"/>
    <n v="8"/>
    <n v="10"/>
  </r>
  <r>
    <x v="5"/>
    <x v="2"/>
    <x v="0"/>
    <n v="12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9000104647 บริษัท ซี.พี.แลนด์ จำกัด (มหาชน)"/>
    <n v="43"/>
    <n v="45"/>
    <n v="45"/>
  </r>
  <r>
    <x v="0"/>
    <s v="9000104647 บริษัท ซี.พี.แลนด์ จำกัด (มหาชน)"/>
    <n v="46"/>
    <n v="36"/>
    <n v="45"/>
  </r>
  <r>
    <x v="1"/>
    <s v="9000104647 บริษัท ซี.พี.แลนด์ จำกัด (มหาชน)"/>
    <n v="42"/>
    <n v="10"/>
    <n v="10"/>
  </r>
  <r>
    <x v="1"/>
    <s v="9000104647 บริษัท ซี.พี.แลนด์ จำกัด (มหาชน)"/>
    <n v="45"/>
    <n v="8"/>
    <n v="10"/>
  </r>
  <r>
    <x v="2"/>
    <s v="9000104647 บริษัท ซี.พี.แลนด์ จำกัด (มหาชน)"/>
    <n v="44"/>
    <n v="20"/>
    <n v="20"/>
  </r>
  <r>
    <x v="2"/>
    <s v="9000104647 บริษัท ซี.พี.แลนด์ จำกัด (มหาชน)"/>
    <n v="47"/>
    <n v="16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Buyer"/>
    <n v="40.5"/>
    <n v="45"/>
  </r>
  <r>
    <s v="QA"/>
    <n v="9"/>
    <n v="10"/>
  </r>
  <r>
    <s v="Store"/>
    <n v="18"/>
    <n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9000103356 บริษัท ดีเอพีพี ยูนิฟอร์ม จำกัด"/>
    <n v="17.5"/>
    <n v="30"/>
  </r>
  <r>
    <x v="1"/>
    <s v="9000103356 บริษัท ดีเอพีพี ยูนิฟอร์ม จำกัด"/>
    <n v="22.5"/>
    <n v="30"/>
  </r>
  <r>
    <x v="2"/>
    <s v="9000103356 บริษัท ดีเอพีพี ยูนิฟอร์ม จำกัด"/>
    <n v="12.5"/>
    <n v="15"/>
  </r>
  <r>
    <x v="0"/>
    <s v="9000103356 บริษัท ดีเอพีพี ยูนิฟอร์ม จำกัด"/>
    <n v="17.5"/>
    <n v="30"/>
  </r>
  <r>
    <x v="1"/>
    <s v="9000103356 บริษัท ดีเอพีพี ยูนิฟอร์ม จำกัด"/>
    <n v="22.5"/>
    <n v="30"/>
  </r>
  <r>
    <x v="2"/>
    <s v="9000103356 บริษัท ดีเอพีพี ยูนิฟอร์ม จำกัด"/>
    <n v="10"/>
    <n v="1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Buyer"/>
    <n v="11.25"/>
    <n v="15"/>
  </r>
  <r>
    <s v="QA"/>
    <n v="17.5"/>
    <n v="30"/>
  </r>
  <r>
    <s v="Store"/>
    <n v="22.5"/>
    <n v="3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x v="0"/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x v="0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0"/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x v="0"/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x v="0"/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x v="0"/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0"/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x v="0"/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x v="0"/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x v="0"/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0"/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x v="0"/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x v="0"/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1"/>
    <s v="QA"/>
    <x v="0"/>
    <n v="3"/>
    <n v="1"/>
    <n v="4"/>
    <m/>
    <m/>
    <m/>
    <m/>
    <m/>
    <m/>
    <m/>
    <m/>
    <n v="7.5"/>
    <n v="2.5"/>
    <n v="10"/>
    <s v=""/>
    <s v=""/>
    <s v=""/>
    <s v=""/>
    <s v=""/>
    <s v=""/>
    <s v=""/>
    <s v=""/>
  </r>
  <r>
    <x v="1"/>
    <s v="Store"/>
    <x v="0"/>
    <m/>
    <m/>
    <m/>
    <n v="4"/>
    <n v="4"/>
    <n v="2"/>
    <m/>
    <m/>
    <m/>
    <m/>
    <m/>
    <s v=""/>
    <s v=""/>
    <s v=""/>
    <n v="10"/>
    <n v="10"/>
    <n v="5"/>
    <s v=""/>
    <s v=""/>
    <s v=""/>
    <s v=""/>
    <s v=""/>
  </r>
  <r>
    <x v="1"/>
    <s v="Buyer"/>
    <x v="0"/>
    <m/>
    <m/>
    <m/>
    <m/>
    <m/>
    <m/>
    <n v="4"/>
    <n v="4"/>
    <m/>
    <m/>
    <m/>
    <s v=""/>
    <s v=""/>
    <s v=""/>
    <s v=""/>
    <s v=""/>
    <s v=""/>
    <n v="10"/>
    <n v="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0"/>
    <n v="1"/>
    <n v="2"/>
    <n v="2"/>
    <m/>
    <m/>
    <m/>
    <m/>
    <m/>
    <m/>
    <m/>
    <m/>
    <n v="2.5"/>
    <n v="5"/>
    <n v="5"/>
    <s v=""/>
    <s v=""/>
    <s v=""/>
    <s v=""/>
    <s v=""/>
    <s v=""/>
    <s v=""/>
    <s v=""/>
  </r>
  <r>
    <x v="1"/>
    <s v="Store"/>
    <x v="0"/>
    <m/>
    <m/>
    <m/>
    <n v="2"/>
    <n v="3"/>
    <n v="2"/>
    <m/>
    <m/>
    <m/>
    <m/>
    <m/>
    <s v=""/>
    <s v=""/>
    <s v=""/>
    <n v="5"/>
    <n v="7.5"/>
    <n v="5"/>
    <s v=""/>
    <s v=""/>
    <s v=""/>
    <s v=""/>
    <s v=""/>
  </r>
  <r>
    <x v="1"/>
    <s v="Buyer"/>
    <x v="0"/>
    <m/>
    <m/>
    <m/>
    <m/>
    <m/>
    <m/>
    <n v="1"/>
    <n v="2"/>
    <m/>
    <m/>
    <m/>
    <s v=""/>
    <s v=""/>
    <s v=""/>
    <s v=""/>
    <s v=""/>
    <s v=""/>
    <n v="2.5"/>
    <n v="2.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1"/>
    <n v="4"/>
    <n v="1"/>
    <n v="3"/>
    <m/>
    <m/>
    <m/>
    <m/>
    <m/>
    <m/>
    <m/>
    <m/>
    <n v="10"/>
    <n v="2.5"/>
    <n v="7.5"/>
    <s v=""/>
    <s v=""/>
    <s v=""/>
    <s v=""/>
    <s v=""/>
    <s v=""/>
    <s v=""/>
    <s v=""/>
  </r>
  <r>
    <x v="1"/>
    <s v="Store"/>
    <x v="1"/>
    <m/>
    <m/>
    <m/>
    <n v="1"/>
    <n v="1"/>
    <n v="3"/>
    <m/>
    <m/>
    <m/>
    <m/>
    <m/>
    <s v=""/>
    <s v=""/>
    <s v=""/>
    <n v="2.5"/>
    <n v="2.5"/>
    <n v="7.5"/>
    <s v=""/>
    <s v=""/>
    <s v=""/>
    <s v=""/>
    <s v=""/>
  </r>
  <r>
    <x v="1"/>
    <s v="Buyer"/>
    <x v="1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1"/>
    <m/>
    <m/>
    <m/>
    <m/>
    <m/>
    <m/>
    <m/>
    <m/>
    <n v="1"/>
    <n v="1"/>
    <n v="2"/>
    <s v=""/>
    <s v=""/>
    <s v=""/>
    <s v=""/>
    <s v=""/>
    <s v=""/>
    <s v=""/>
    <s v=""/>
    <n v="1.25"/>
    <n v="1.25"/>
    <n v="7.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17.5"/>
    <n v="30"/>
  </r>
  <r>
    <x v="0"/>
    <x v="1"/>
    <n v="22.5"/>
    <n v="30"/>
  </r>
  <r>
    <x v="0"/>
    <x v="2"/>
    <n v="12.5"/>
    <n v="15"/>
  </r>
  <r>
    <x v="0"/>
    <x v="0"/>
    <n v="17.5"/>
    <n v="30"/>
  </r>
  <r>
    <x v="0"/>
    <x v="1"/>
    <n v="22.5"/>
    <n v="30"/>
  </r>
  <r>
    <x v="0"/>
    <x v="2"/>
    <n v="10"/>
    <n v="15"/>
  </r>
  <r>
    <x v="0"/>
    <x v="0"/>
    <n v="27.5"/>
    <n v="30"/>
  </r>
  <r>
    <x v="0"/>
    <x v="1"/>
    <n v="20"/>
    <n v="30"/>
  </r>
  <r>
    <x v="0"/>
    <x v="2"/>
    <n v="8.75"/>
    <n v="15"/>
  </r>
  <r>
    <x v="0"/>
    <x v="0"/>
    <n v="25"/>
    <n v="30"/>
  </r>
  <r>
    <x v="0"/>
    <x v="1"/>
    <n v="17.5"/>
    <n v="30"/>
  </r>
  <r>
    <x v="0"/>
    <x v="2"/>
    <n v="7.5"/>
    <n v="15"/>
  </r>
  <r>
    <x v="0"/>
    <x v="3"/>
    <n v="23.75"/>
    <n v="25"/>
  </r>
  <r>
    <x v="1"/>
    <x v="4"/>
    <n v="10"/>
    <n v="10"/>
  </r>
  <r>
    <x v="1"/>
    <x v="5"/>
    <n v="83.75"/>
    <n v="90"/>
  </r>
  <r>
    <x v="1"/>
    <x v="4"/>
    <n v="10"/>
    <n v="1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x v="0"/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x v="0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0"/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x v="0"/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x v="0"/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x v="0"/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0"/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x v="0"/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x v="0"/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x v="0"/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0"/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x v="0"/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x v="0"/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1"/>
    <s v="QA"/>
    <x v="0"/>
    <n v="3"/>
    <n v="1"/>
    <n v="4"/>
    <m/>
    <m/>
    <m/>
    <m/>
    <m/>
    <m/>
    <m/>
    <m/>
    <n v="7.5"/>
    <n v="2.5"/>
    <n v="10"/>
    <s v=""/>
    <s v=""/>
    <s v=""/>
    <s v=""/>
    <s v=""/>
    <s v=""/>
    <s v=""/>
    <s v=""/>
  </r>
  <r>
    <x v="1"/>
    <s v="Store"/>
    <x v="0"/>
    <m/>
    <m/>
    <m/>
    <n v="4"/>
    <n v="4"/>
    <n v="2"/>
    <m/>
    <m/>
    <m/>
    <m/>
    <m/>
    <s v=""/>
    <s v=""/>
    <s v=""/>
    <n v="10"/>
    <n v="10"/>
    <n v="5"/>
    <s v=""/>
    <s v=""/>
    <s v=""/>
    <s v=""/>
    <s v=""/>
  </r>
  <r>
    <x v="1"/>
    <s v="Buyer"/>
    <x v="0"/>
    <m/>
    <m/>
    <m/>
    <m/>
    <m/>
    <m/>
    <n v="4"/>
    <n v="4"/>
    <m/>
    <m/>
    <m/>
    <s v=""/>
    <s v=""/>
    <s v=""/>
    <s v=""/>
    <s v=""/>
    <s v=""/>
    <n v="10"/>
    <n v="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0"/>
    <n v="1"/>
    <n v="2"/>
    <n v="2"/>
    <m/>
    <m/>
    <m/>
    <m/>
    <m/>
    <m/>
    <m/>
    <m/>
    <n v="2.5"/>
    <n v="5"/>
    <n v="5"/>
    <s v=""/>
    <s v=""/>
    <s v=""/>
    <s v=""/>
    <s v=""/>
    <s v=""/>
    <s v=""/>
    <s v=""/>
  </r>
  <r>
    <x v="1"/>
    <s v="Store"/>
    <x v="0"/>
    <m/>
    <m/>
    <m/>
    <n v="2"/>
    <n v="3"/>
    <n v="2"/>
    <m/>
    <m/>
    <m/>
    <m/>
    <m/>
    <s v=""/>
    <s v=""/>
    <s v=""/>
    <n v="5"/>
    <n v="7.5"/>
    <n v="5"/>
    <s v=""/>
    <s v=""/>
    <s v=""/>
    <s v=""/>
    <s v=""/>
  </r>
  <r>
    <x v="1"/>
    <s v="Buyer"/>
    <x v="0"/>
    <m/>
    <m/>
    <m/>
    <m/>
    <m/>
    <m/>
    <n v="1"/>
    <n v="2"/>
    <m/>
    <m/>
    <m/>
    <s v=""/>
    <s v=""/>
    <s v=""/>
    <s v=""/>
    <s v=""/>
    <s v=""/>
    <n v="2.5"/>
    <n v="2.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1"/>
    <n v="4"/>
    <n v="1"/>
    <n v="3"/>
    <m/>
    <m/>
    <m/>
    <m/>
    <m/>
    <m/>
    <m/>
    <m/>
    <n v="10"/>
    <n v="2.5"/>
    <n v="7.5"/>
    <s v=""/>
    <s v=""/>
    <s v=""/>
    <s v=""/>
    <s v=""/>
    <s v=""/>
    <s v=""/>
    <s v=""/>
  </r>
  <r>
    <x v="1"/>
    <s v="Store"/>
    <x v="1"/>
    <m/>
    <m/>
    <m/>
    <n v="1"/>
    <n v="1"/>
    <n v="3"/>
    <m/>
    <m/>
    <m/>
    <m/>
    <m/>
    <s v=""/>
    <s v=""/>
    <s v=""/>
    <n v="2.5"/>
    <n v="2.5"/>
    <n v="7.5"/>
    <s v=""/>
    <s v=""/>
    <s v=""/>
    <s v=""/>
    <s v=""/>
  </r>
  <r>
    <x v="1"/>
    <s v="Buyer"/>
    <x v="1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1"/>
    <m/>
    <m/>
    <m/>
    <m/>
    <m/>
    <m/>
    <m/>
    <m/>
    <n v="1"/>
    <n v="1"/>
    <n v="2"/>
    <s v=""/>
    <s v=""/>
    <s v=""/>
    <s v=""/>
    <s v=""/>
    <s v=""/>
    <s v=""/>
    <s v=""/>
    <n v="1.25"/>
    <n v="1.25"/>
    <n v="7.5"/>
  </r>
  <r>
    <x v="1"/>
    <s v="QA"/>
    <x v="0"/>
    <n v="4"/>
    <n v="2"/>
    <n v="4"/>
    <m/>
    <m/>
    <m/>
    <m/>
    <m/>
    <m/>
    <m/>
    <m/>
    <n v="10"/>
    <n v="5"/>
    <n v="10"/>
    <s v=""/>
    <s v=""/>
    <s v=""/>
    <s v=""/>
    <s v=""/>
    <s v=""/>
    <s v=""/>
    <s v=""/>
  </r>
  <r>
    <x v="1"/>
    <s v="Store"/>
    <x v="0"/>
    <m/>
    <m/>
    <m/>
    <n v="2"/>
    <n v="3"/>
    <n v="1"/>
    <m/>
    <m/>
    <m/>
    <m/>
    <m/>
    <s v=""/>
    <s v=""/>
    <s v=""/>
    <n v="5"/>
    <n v="7.5"/>
    <n v="2.5"/>
    <s v=""/>
    <s v=""/>
    <s v=""/>
    <s v=""/>
    <s v=""/>
  </r>
  <r>
    <x v="1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0"/>
    <m/>
    <m/>
    <m/>
    <m/>
    <m/>
    <m/>
    <m/>
    <m/>
    <n v="4"/>
    <s v="-"/>
    <s v="-"/>
    <s v=""/>
    <s v=""/>
    <s v=""/>
    <s v=""/>
    <s v=""/>
    <s v=""/>
    <s v=""/>
    <s v=""/>
    <n v="5"/>
    <s v=""/>
    <s v="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9000103356 บริษัท ดีเอพีพี ยูนิฟอร์ม จำกัด"/>
    <n v="20"/>
    <n v="30"/>
  </r>
  <r>
    <x v="1"/>
    <s v="9000103356 บริษัท ดีเอพีพี ยูนิฟอร์ม จำกัด"/>
    <n v="12.5"/>
    <n v="30"/>
  </r>
  <r>
    <x v="2"/>
    <s v="9000103356 บริษัท ดีเอพีพี ยูนิฟอร์ม จำกัด"/>
    <n v="7.5"/>
    <n v="15"/>
  </r>
  <r>
    <x v="3"/>
    <s v="9000103356 บริษัท ดีเอพีพี ยูนิฟอร์ม จำกัด"/>
    <n v="10"/>
    <n v="25"/>
  </r>
  <r>
    <x v="0"/>
    <s v="9000103503 บริษัท แอสเซนด์ แทรเวิล จำกัด"/>
    <n v="20"/>
    <n v="30"/>
  </r>
  <r>
    <x v="1"/>
    <s v="9000103503 บริษัท แอสเซนด์ แทรเวิล จำกัด"/>
    <n v="25"/>
    <n v="30"/>
  </r>
  <r>
    <x v="2"/>
    <s v="9000103503 บริษัท แอสเซนด์ แทรเวิล จำกัด"/>
    <n v="15"/>
    <n v="15"/>
  </r>
  <r>
    <x v="0"/>
    <s v="9000103503 บริษัท แอสเซนด์ แทรเวิล จำกัด"/>
    <n v="12.5"/>
    <n v="30"/>
  </r>
  <r>
    <x v="1"/>
    <s v="9000103503 บริษัท แอสเซนด์ แทรเวิล จำกัด"/>
    <n v="17.5"/>
    <n v="30"/>
  </r>
  <r>
    <x v="2"/>
    <s v="9000103503 บริษัท แอสเซนด์ แทรเวิล จำกัด"/>
    <n v="5"/>
    <n v="15"/>
  </r>
  <r>
    <x v="0"/>
    <s v="9000103503 บริษัท แอสเซนด์ แทรเวิล จำกัด"/>
    <n v="25"/>
    <n v="30"/>
  </r>
  <r>
    <x v="1"/>
    <s v="9000103503 บริษัท แอสเซนด์ แทรเวิล จำกัด"/>
    <n v="15"/>
    <n v="30"/>
  </r>
  <r>
    <x v="2"/>
    <s v="9000103503 บริษัท แอสเซนด์ แทรเวิล จำกัด"/>
    <n v="7.5"/>
    <n v="15"/>
  </r>
  <r>
    <x v="3"/>
    <s v="9000103503 บริษัท แอสเซนด์ แทรเวิล จำกัด"/>
    <n v="5"/>
    <n v="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Buyer"/>
    <n v="8.75"/>
    <n v="15"/>
  </r>
  <r>
    <s v="QA"/>
    <n v="19.375"/>
    <n v="30"/>
  </r>
  <r>
    <s v="Store"/>
    <n v="17.5"/>
    <n v="30"/>
  </r>
  <r>
    <s v="Packaging"/>
    <n v="7.5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FBA65-4FE0-498A-B69C-A8F08F0E04D3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C27:AD28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verage of Sum of Score" fld="1" baseField="0" baseItem="0"/>
    <dataField name="Sum of Average of Sum of Weigh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9198A-CD74-4386-AD40-4740D1ADA7D2}" name="PivotTable5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62:H69" firstHeaderRow="0" firstDataRow="1" firstDataCol="1" rowPageCount="1" colPageCount="1"/>
  <pivotFields count="4">
    <pivotField axis="axisPage" showAll="0">
      <items count="3">
        <item x="0"/>
        <item x="1"/>
        <item t="default"/>
      </items>
    </pivotField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verage of Cell_Value" fld="2" subtotal="average" baseField="1" baseItem="0"/>
    <dataField name="Average of Weight_Sourc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87F3E-63B6-47AF-BBF2-3ED65AE24AE7}" name="PivotTable6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ur_Grp">
  <location ref="T27:V31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um of Score" fld="3" subtotal="average" baseField="0" baseItem="0"/>
    <dataField name="Average of Sum of Weigh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2DBB6-1089-4A4D-B122-626A2A821C9A}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27:L34" firstHeaderRow="0" firstDataRow="1" firstDataCol="3"/>
  <pivotFields count="5">
    <pivotField axis="axisRow" compact="0" outline="0" subtotalTop="0" showAll="0" defaultSubtotal="0">
      <items count="8">
        <item m="1" x="7"/>
        <item m="1" x="6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7">
    <i>
      <x/>
      <x/>
      <x v="4"/>
    </i>
    <i r="2">
      <x v="7"/>
    </i>
    <i>
      <x v="1"/>
      <x/>
      <x v="2"/>
    </i>
    <i r="2">
      <x v="5"/>
    </i>
    <i>
      <x v="2"/>
      <x/>
      <x v="3"/>
    </i>
    <i r="2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ore" fld="3" baseField="0" baseItem="0"/>
    <dataField name="Sum of Weigh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DC5BD-0E48-48C0-8194-1EA69DB239DE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15:K19" firstHeaderRow="0" firstDataRow="1" firstDataCol="2"/>
  <pivotFields count="4">
    <pivotField axis="axisRow" compact="0" outline="0" subtotalTop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">
    <i>
      <x/>
      <x/>
    </i>
    <i>
      <x v="1"/>
      <x/>
    </i>
    <i>
      <x v="2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ore" fld="2" baseField="0" baseItem="0"/>
    <dataField name="Sum of Weight" fld="3" baseField="0" baseItem="0"/>
  </dataFields>
  <formats count="1">
    <format dxfId="26">
      <pivotArea outline="0" fieldPosition="0">
        <references count="3">
          <reference field="4294967294" count="1" selected="0">
            <x v="1"/>
          </reference>
          <reference field="0" count="2" selected="0">
            <x v="0"/>
            <x v="1"/>
          </reference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1BF5F-46F9-47A3-B7E1-1E651993A982}" name="PivotTable8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40:Q41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verage of Cell_Value" fld="1" baseField="0" baseItem="0"/>
    <dataField name="Sum of Average of Weight_Sour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9D94E-425F-40B3-80E2-7685C3E686A6}" name="PivotTable7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ur_Grp">
  <location ref="H40:J45" firstHeaderRow="0" firstDataRow="1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ell_Value" fld="2" subtotal="average" baseField="0" baseItem="0"/>
    <dataField name="Average of Weight_Sourc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507C5-DBB2-4AB3-AA5A-1F1FF73F4CA8}" name="PivotTable10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ur_Grp">
  <location ref="H11:J15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ell_Value" fld="2" subtotal="average" baseField="0" baseItem="0"/>
    <dataField name="Average of Weight_Sourc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791E5-6796-4F34-B3FA-6D532F77C0C1}" name="PivotTable1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1:Q12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verage of Cell_Value" fld="1" baseField="0" baseItem="0"/>
    <dataField name="Sum of Average of Weight_Sour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DB6DF-98A2-45A7-8E41-815AB4D15BBA}" name="PivotTable12" cacheId="13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28:AZ31" firstHeaderRow="0" firstDataRow="1" firstDataCol="1"/>
  <pivotFields count="24"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Q.1" fld="2" subtotal="average" baseField="1" baseItem="0"/>
    <dataField name="Q.2" fld="3" subtotal="average" baseField="1" baseItem="0"/>
    <dataField name="Q.3" fld="4" subtotal="average" baseField="1" baseItem="0"/>
    <dataField name="Q.4" fld="5" subtotal="average" baseField="1" baseItem="0"/>
    <dataField name="Q.5" fld="6" subtotal="average" baseField="1" baseItem="0"/>
    <dataField name="Q.6" fld="7" subtotal="average" baseField="1" baseItem="0"/>
    <dataField name="Q.7" fld="8" subtotal="average" baseField="1" baseItem="0"/>
    <dataField name="Q.8" fld="9" subtotal="average" baseField="1" baseItem="0"/>
    <dataField name="Q.9" fld="10" subtotal="average" baseField="1" baseItem="0"/>
    <dataField name="Q.10" fld="11" subtotal="average" baseField="1" baseItem="0"/>
    <dataField name="Q.11" fld="12" subtotal="average" baseField="1" baseItem="2"/>
    <dataField name="S.1" fld="13" subtotal="average" baseField="1" baseItem="0"/>
    <dataField name="S.2" fld="14" subtotal="average" baseField="1" baseItem="0"/>
    <dataField name="S.3" fld="15" subtotal="average" baseField="1" baseItem="0"/>
    <dataField name="S.4" fld="16" subtotal="average" baseField="1" baseItem="0"/>
    <dataField name="S.5" fld="17" subtotal="average" baseField="1" baseItem="0"/>
    <dataField name="S.6" fld="18" subtotal="average" baseField="1" baseItem="0"/>
    <dataField name="S.7" fld="19" subtotal="average" baseField="1" baseItem="0"/>
    <dataField name="S.8" fld="20" subtotal="average" baseField="1" baseItem="0"/>
    <dataField name="S.9" fld="21" subtotal="average" baseField="1" baseItem="0"/>
    <dataField name="S.10" fld="22" subtotal="average" baseField="1" baseItem="0"/>
    <dataField name="S.11" fld="23" subtotal="average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DDACD-37D5-40B7-84A9-818E75C6455F}" name="PivotTable9" cacheId="10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6:AZ9" firstHeaderRow="0" firstDataRow="1" firstDataCol="1"/>
  <pivotFields count="24">
    <pivotField showAll="0"/>
    <pivotField axis="axisRow" showAll="0" sortType="ascending">
      <items count="5">
        <item m="1" x="2"/>
        <item m="1" x="3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 v="2"/>
    </i>
    <i>
      <x v="3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Q.1" fld="2" subtotal="average" baseField="1" baseItem="0"/>
    <dataField name="Q.2" fld="3" subtotal="average" baseField="1" baseItem="0"/>
    <dataField name="Q.3" fld="4" subtotal="average" baseField="1" baseItem="0"/>
    <dataField name="Q.4" fld="5" subtotal="average" baseField="1" baseItem="0"/>
    <dataField name="Q.5" fld="6" subtotal="average" baseField="1" baseItem="0"/>
    <dataField name="Q.6" fld="7" subtotal="average" baseField="1" baseItem="0"/>
    <dataField name="Q.7" fld="8" subtotal="average" baseField="1" baseItem="0"/>
    <dataField name="Q.8" fld="9" subtotal="average" baseField="1" baseItem="0"/>
    <dataField name="Q.9" fld="10" subtotal="average" baseField="1" baseItem="0"/>
    <dataField name="Q.10" fld="11" subtotal="average" baseField="1" baseItem="0"/>
    <dataField name="Q.11" fld="12" subtotal="average" baseField="1" baseItem="2"/>
    <dataField name="S.1" fld="13" subtotal="average" baseField="1" baseItem="0"/>
    <dataField name="S.2" fld="14" subtotal="average" baseField="1" baseItem="0"/>
    <dataField name="S.3" fld="15" subtotal="average" baseField="1" baseItem="0"/>
    <dataField name="S.4" fld="16" subtotal="average" baseField="1" baseItem="0"/>
    <dataField name="S.5" fld="17" subtotal="average" baseField="1" baseItem="0"/>
    <dataField name="S.6" fld="18" subtotal="average" baseField="1" baseItem="0"/>
    <dataField name="S.7" fld="19" subtotal="average" baseField="1" baseItem="0"/>
    <dataField name="S.8" fld="20" subtotal="average" baseField="1" baseItem="0"/>
    <dataField name="S.9" fld="21" subtotal="average" baseField="1" baseItem="0"/>
    <dataField name="S.10" fld="22" subtotal="average" baseField="1" baseItem="0"/>
    <dataField name="S.11" fld="23" subtotal="average" baseField="1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A071C-2DD0-4144-88A2-0BA4F0659951}" name="PivotTable6" cacheId="16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89:AZ92" firstHeaderRow="0" firstDataRow="1" firstDataCol="1" rowPageCount="1" colPageCount="1"/>
  <pivotFields count="25">
    <pivotField axis="axisPage" multipleItemSelectionAllowed="1" showAll="0">
      <items count="3">
        <item x="1"/>
        <item h="1"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1" baseItem="0"/>
    <dataField name="Q.11" fld="13" subtotal="average" baseField="1" baseItem="2"/>
    <dataField name="S.1" fld="14" subtotal="average" baseField="1" baseItem="0"/>
    <dataField name="S.2" fld="15" subtotal="average" baseField="1" baseItem="0"/>
    <dataField name="S.3" fld="16" subtotal="average" baseField="1" baseItem="0"/>
    <dataField name="S.4" fld="17" subtotal="average" baseField="1" baseItem="0"/>
    <dataField name="S.5" fld="18" subtotal="average" baseField="1" baseItem="0"/>
    <dataField name="S.6" fld="19" subtotal="average" baseField="1" baseItem="0"/>
    <dataField name="S.7" fld="20" subtotal="average" baseField="1" baseItem="0"/>
    <dataField name="S.8" fld="21" subtotal="average" baseField="1" baseItem="0"/>
    <dataField name="S.9" fld="22" subtotal="average" baseField="1" baseItem="0"/>
    <dataField name="S.10" fld="23" subtotal="average" baseField="1" baseItem="0"/>
    <dataField name="S.11" fld="24" subtotal="average" baseField="1" baseItem="0"/>
  </dataFields>
  <formats count="7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959D1-82E0-4CA7-B4FF-B2CFE3C1C489}" name="PivotTable13" cacheId="14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53:AZ56" firstHeaderRow="0" firstDataRow="1" firstDataCol="1" rowPageCount="1" colPageCount="1"/>
  <pivotFields count="25">
    <pivotField axis="axisPage" multipleItemSelectionAllowed="1" showAll="0">
      <items count="3">
        <item h="1" x="1"/>
        <item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1" baseItem="0"/>
    <dataField name="Q.11" fld="13" subtotal="average" baseField="1" baseItem="2"/>
    <dataField name="S.1" fld="14" subtotal="average" baseField="1" baseItem="0"/>
    <dataField name="S.2" fld="15" subtotal="average" baseField="1" baseItem="0"/>
    <dataField name="S.3" fld="16" subtotal="average" baseField="1" baseItem="0"/>
    <dataField name="S.4" fld="17" subtotal="average" baseField="1" baseItem="0"/>
    <dataField name="S.5" fld="18" subtotal="average" baseField="1" baseItem="0"/>
    <dataField name="S.6" fld="19" subtotal="average" baseField="1" baseItem="0"/>
    <dataField name="S.7" fld="20" subtotal="average" baseField="1" baseItem="0"/>
    <dataField name="S.8" fld="21" subtotal="average" baseField="1" baseItem="0"/>
    <dataField name="S.9" fld="22" subtotal="average" baseField="1" baseItem="0"/>
    <dataField name="S.10" fld="23" subtotal="average" baseField="1" baseItem="0"/>
    <dataField name="S.11" fld="24" subtotal="average" baseField="1" baseItem="0"/>
  </dataFields>
  <formats count="7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9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A1:BC79"/>
  <sheetViews>
    <sheetView topLeftCell="A21" zoomScale="40" zoomScaleNormal="40" workbookViewId="0">
      <selection activeCell="I62" sqref="I62"/>
    </sheetView>
  </sheetViews>
  <sheetFormatPr defaultRowHeight="14" x14ac:dyDescent="0.3"/>
  <cols>
    <col min="6" max="6" width="14.33203125" bestFit="1" customWidth="1"/>
    <col min="7" max="7" width="21.75" bestFit="1" customWidth="1"/>
    <col min="8" max="8" width="25.9140625" bestFit="1" customWidth="1"/>
    <col min="9" max="9" width="38.33203125" bestFit="1" customWidth="1"/>
    <col min="10" max="10" width="7.08203125" bestFit="1" customWidth="1"/>
    <col min="11" max="11" width="13.5" bestFit="1" customWidth="1"/>
    <col min="12" max="12" width="14.83203125" bestFit="1" customWidth="1"/>
    <col min="20" max="20" width="11.83203125" bestFit="1" customWidth="1"/>
    <col min="21" max="21" width="24.33203125" bestFit="1" customWidth="1"/>
    <col min="22" max="22" width="25.83203125" bestFit="1" customWidth="1"/>
    <col min="29" max="29" width="31.75" bestFit="1" customWidth="1"/>
    <col min="30" max="30" width="33.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1999</v>
      </c>
      <c r="C2">
        <v>1</v>
      </c>
      <c r="D2" t="s">
        <v>56</v>
      </c>
      <c r="E2" t="s">
        <v>57</v>
      </c>
      <c r="F2" t="s">
        <v>58</v>
      </c>
      <c r="H2" t="s">
        <v>58</v>
      </c>
      <c r="I2" t="s">
        <v>59</v>
      </c>
      <c r="J2">
        <v>15</v>
      </c>
      <c r="K2">
        <v>42</v>
      </c>
      <c r="L2" s="1">
        <v>45799.367361111108</v>
      </c>
      <c r="M2" t="s">
        <v>60</v>
      </c>
      <c r="N2" t="s">
        <v>61</v>
      </c>
      <c r="Q2" t="s">
        <v>62</v>
      </c>
      <c r="S2" t="s">
        <v>63</v>
      </c>
      <c r="T2" t="s">
        <v>64</v>
      </c>
      <c r="V2" t="s">
        <v>63</v>
      </c>
      <c r="W2" t="s">
        <v>65</v>
      </c>
      <c r="X2">
        <v>1</v>
      </c>
      <c r="Y2" t="s">
        <v>66</v>
      </c>
      <c r="Z2" t="s">
        <v>67</v>
      </c>
      <c r="AA2">
        <v>4</v>
      </c>
      <c r="AB2">
        <v>4</v>
      </c>
      <c r="AC2">
        <v>4</v>
      </c>
      <c r="AD2">
        <v>1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 t="s">
        <v>68</v>
      </c>
      <c r="AN2">
        <v>10</v>
      </c>
      <c r="AO2">
        <v>10</v>
      </c>
      <c r="AP2" t="s">
        <v>68</v>
      </c>
      <c r="AQ2">
        <v>10</v>
      </c>
      <c r="AR2">
        <v>10</v>
      </c>
      <c r="AS2" t="s">
        <v>68</v>
      </c>
      <c r="AT2" t="s">
        <v>69</v>
      </c>
      <c r="AU2">
        <v>75</v>
      </c>
      <c r="AV2">
        <v>3</v>
      </c>
      <c r="AW2">
        <v>25</v>
      </c>
      <c r="AX2" t="s">
        <v>69</v>
      </c>
      <c r="AY2">
        <v>75</v>
      </c>
      <c r="AZ2">
        <v>1</v>
      </c>
      <c r="BA2">
        <v>75</v>
      </c>
      <c r="BB2" t="s">
        <v>70</v>
      </c>
      <c r="BC2">
        <v>-26</v>
      </c>
    </row>
    <row r="3" spans="1:55" x14ac:dyDescent="0.3">
      <c r="A3" t="s">
        <v>71</v>
      </c>
      <c r="B3">
        <v>1999</v>
      </c>
      <c r="C3">
        <v>1</v>
      </c>
      <c r="D3" t="s">
        <v>56</v>
      </c>
      <c r="E3" t="s">
        <v>57</v>
      </c>
      <c r="F3" t="s">
        <v>58</v>
      </c>
      <c r="H3" t="s">
        <v>58</v>
      </c>
      <c r="I3" t="s">
        <v>59</v>
      </c>
      <c r="J3">
        <v>16</v>
      </c>
      <c r="K3">
        <v>44</v>
      </c>
      <c r="L3" s="1">
        <v>45799.367361111108</v>
      </c>
      <c r="M3" t="s">
        <v>60</v>
      </c>
      <c r="N3" t="s">
        <v>61</v>
      </c>
      <c r="Q3" t="s">
        <v>72</v>
      </c>
      <c r="S3" t="s">
        <v>63</v>
      </c>
      <c r="T3" t="s">
        <v>64</v>
      </c>
      <c r="V3" t="s">
        <v>63</v>
      </c>
      <c r="W3" t="s">
        <v>65</v>
      </c>
      <c r="X3">
        <v>2</v>
      </c>
      <c r="Y3" t="s">
        <v>73</v>
      </c>
      <c r="Z3" t="s">
        <v>74</v>
      </c>
      <c r="AA3">
        <v>4</v>
      </c>
      <c r="AB3">
        <v>4</v>
      </c>
      <c r="AC3">
        <v>4</v>
      </c>
      <c r="AD3">
        <v>1</v>
      </c>
      <c r="AE3">
        <v>10</v>
      </c>
      <c r="AF3">
        <v>10</v>
      </c>
      <c r="AG3">
        <v>10</v>
      </c>
      <c r="AH3">
        <v>10</v>
      </c>
      <c r="AI3">
        <v>10</v>
      </c>
      <c r="AJ3">
        <v>20</v>
      </c>
      <c r="AK3">
        <v>10</v>
      </c>
      <c r="AL3">
        <v>10</v>
      </c>
      <c r="AM3" t="s">
        <v>68</v>
      </c>
      <c r="AN3">
        <v>10</v>
      </c>
      <c r="AO3">
        <v>10</v>
      </c>
      <c r="AP3" t="s">
        <v>68</v>
      </c>
      <c r="AQ3">
        <v>10</v>
      </c>
      <c r="AR3">
        <v>10</v>
      </c>
      <c r="AS3" t="s">
        <v>68</v>
      </c>
      <c r="AT3" t="s">
        <v>69</v>
      </c>
      <c r="AU3">
        <v>75</v>
      </c>
      <c r="AV3">
        <v>3</v>
      </c>
      <c r="AW3">
        <v>25</v>
      </c>
      <c r="AX3" t="s">
        <v>69</v>
      </c>
      <c r="AY3">
        <v>75</v>
      </c>
      <c r="AZ3">
        <v>1</v>
      </c>
      <c r="BA3">
        <v>75</v>
      </c>
      <c r="BB3" t="s">
        <v>70</v>
      </c>
      <c r="BC3">
        <v>-26</v>
      </c>
    </row>
    <row r="4" spans="1:55" x14ac:dyDescent="0.3">
      <c r="A4" t="s">
        <v>71</v>
      </c>
      <c r="B4">
        <v>1999</v>
      </c>
      <c r="C4">
        <v>1</v>
      </c>
      <c r="D4" t="s">
        <v>56</v>
      </c>
      <c r="E4" t="s">
        <v>57</v>
      </c>
      <c r="F4" t="s">
        <v>58</v>
      </c>
      <c r="H4" t="s">
        <v>58</v>
      </c>
      <c r="I4" t="s">
        <v>59</v>
      </c>
      <c r="J4">
        <v>16</v>
      </c>
      <c r="K4">
        <v>44</v>
      </c>
      <c r="L4" s="1">
        <v>45799.367361111108</v>
      </c>
      <c r="M4" t="s">
        <v>60</v>
      </c>
      <c r="N4" t="s">
        <v>61</v>
      </c>
      <c r="Q4" t="s">
        <v>72</v>
      </c>
      <c r="S4" t="s">
        <v>63</v>
      </c>
      <c r="T4" t="s">
        <v>64</v>
      </c>
      <c r="V4" t="s">
        <v>63</v>
      </c>
      <c r="W4" t="s">
        <v>65</v>
      </c>
      <c r="X4">
        <v>3</v>
      </c>
      <c r="Y4" t="s">
        <v>75</v>
      </c>
      <c r="Z4" t="s">
        <v>76</v>
      </c>
      <c r="AA4">
        <v>4</v>
      </c>
      <c r="AB4">
        <v>4</v>
      </c>
      <c r="AC4">
        <v>4</v>
      </c>
      <c r="AD4">
        <v>1</v>
      </c>
      <c r="AE4">
        <v>10</v>
      </c>
      <c r="AF4">
        <v>10</v>
      </c>
      <c r="AG4">
        <v>10</v>
      </c>
      <c r="AH4">
        <v>10</v>
      </c>
      <c r="AI4">
        <v>10</v>
      </c>
      <c r="AJ4">
        <v>20</v>
      </c>
      <c r="AK4">
        <v>10</v>
      </c>
      <c r="AL4">
        <v>10</v>
      </c>
      <c r="AM4" t="s">
        <v>68</v>
      </c>
      <c r="AN4">
        <v>10</v>
      </c>
      <c r="AO4">
        <v>10</v>
      </c>
      <c r="AP4" t="s">
        <v>68</v>
      </c>
      <c r="AQ4">
        <v>10</v>
      </c>
      <c r="AR4">
        <v>10</v>
      </c>
      <c r="AS4" t="s">
        <v>68</v>
      </c>
      <c r="AT4" t="s">
        <v>69</v>
      </c>
      <c r="AU4">
        <v>75</v>
      </c>
      <c r="AV4">
        <v>3</v>
      </c>
      <c r="AW4">
        <v>25</v>
      </c>
      <c r="AX4" t="s">
        <v>69</v>
      </c>
      <c r="AY4">
        <v>75</v>
      </c>
      <c r="AZ4">
        <v>1</v>
      </c>
      <c r="BA4">
        <v>75</v>
      </c>
      <c r="BB4" t="s">
        <v>70</v>
      </c>
      <c r="BC4">
        <v>-26</v>
      </c>
    </row>
    <row r="5" spans="1:55" x14ac:dyDescent="0.3">
      <c r="A5" t="s">
        <v>77</v>
      </c>
      <c r="B5">
        <v>1999</v>
      </c>
      <c r="C5">
        <v>1</v>
      </c>
      <c r="D5" t="s">
        <v>56</v>
      </c>
      <c r="E5" t="s">
        <v>57</v>
      </c>
      <c r="F5" t="s">
        <v>58</v>
      </c>
      <c r="H5" t="s">
        <v>58</v>
      </c>
      <c r="I5" t="s">
        <v>59</v>
      </c>
      <c r="J5">
        <v>17</v>
      </c>
      <c r="K5">
        <v>43</v>
      </c>
      <c r="L5" s="1">
        <v>45799.367361111108</v>
      </c>
      <c r="M5" t="s">
        <v>60</v>
      </c>
      <c r="N5" t="s">
        <v>61</v>
      </c>
      <c r="Q5" t="s">
        <v>78</v>
      </c>
      <c r="S5" t="s">
        <v>63</v>
      </c>
      <c r="T5" t="s">
        <v>64</v>
      </c>
      <c r="V5" t="s">
        <v>63</v>
      </c>
      <c r="W5" t="s">
        <v>79</v>
      </c>
      <c r="X5">
        <v>4</v>
      </c>
      <c r="Y5" t="s">
        <v>80</v>
      </c>
      <c r="Z5" t="s">
        <v>81</v>
      </c>
      <c r="AA5">
        <v>4</v>
      </c>
      <c r="AB5">
        <v>4</v>
      </c>
      <c r="AC5">
        <v>4</v>
      </c>
      <c r="AD5">
        <v>1</v>
      </c>
      <c r="AE5">
        <v>10</v>
      </c>
      <c r="AF5">
        <v>10</v>
      </c>
      <c r="AG5">
        <v>10</v>
      </c>
      <c r="AH5">
        <v>10</v>
      </c>
      <c r="AI5">
        <v>10</v>
      </c>
      <c r="AJ5">
        <v>45</v>
      </c>
      <c r="AK5">
        <v>10</v>
      </c>
      <c r="AL5">
        <v>10</v>
      </c>
      <c r="AM5" t="s">
        <v>68</v>
      </c>
      <c r="AN5">
        <v>10</v>
      </c>
      <c r="AO5">
        <v>10</v>
      </c>
      <c r="AP5" t="s">
        <v>68</v>
      </c>
      <c r="AQ5">
        <v>10</v>
      </c>
      <c r="AR5">
        <v>10</v>
      </c>
      <c r="AS5" t="s">
        <v>68</v>
      </c>
      <c r="AT5" t="s">
        <v>69</v>
      </c>
      <c r="AU5">
        <v>75</v>
      </c>
      <c r="AV5">
        <v>3</v>
      </c>
      <c r="AW5">
        <v>25</v>
      </c>
      <c r="AX5" t="s">
        <v>69</v>
      </c>
      <c r="AY5">
        <v>75</v>
      </c>
      <c r="AZ5">
        <v>1</v>
      </c>
      <c r="BA5">
        <v>75</v>
      </c>
      <c r="BB5" t="s">
        <v>70</v>
      </c>
      <c r="BC5">
        <v>-26</v>
      </c>
    </row>
    <row r="6" spans="1:55" x14ac:dyDescent="0.3">
      <c r="A6" t="s">
        <v>77</v>
      </c>
      <c r="B6">
        <v>1999</v>
      </c>
      <c r="C6">
        <v>1</v>
      </c>
      <c r="D6" t="s">
        <v>56</v>
      </c>
      <c r="E6" t="s">
        <v>57</v>
      </c>
      <c r="F6" t="s">
        <v>58</v>
      </c>
      <c r="H6" t="s">
        <v>58</v>
      </c>
      <c r="I6" t="s">
        <v>59</v>
      </c>
      <c r="J6">
        <v>17</v>
      </c>
      <c r="K6">
        <v>43</v>
      </c>
      <c r="L6" s="1">
        <v>45799.367361111108</v>
      </c>
      <c r="M6" t="s">
        <v>60</v>
      </c>
      <c r="N6" t="s">
        <v>61</v>
      </c>
      <c r="Q6" t="s">
        <v>78</v>
      </c>
      <c r="S6" t="s">
        <v>63</v>
      </c>
      <c r="T6" t="s">
        <v>64</v>
      </c>
      <c r="V6" t="s">
        <v>63</v>
      </c>
      <c r="W6" t="s">
        <v>82</v>
      </c>
      <c r="X6">
        <v>5</v>
      </c>
      <c r="Y6" t="s">
        <v>83</v>
      </c>
      <c r="Z6" t="s">
        <v>84</v>
      </c>
      <c r="AA6">
        <v>4</v>
      </c>
      <c r="AB6">
        <v>4</v>
      </c>
      <c r="AC6">
        <v>4</v>
      </c>
      <c r="AD6">
        <v>1</v>
      </c>
      <c r="AE6">
        <v>10</v>
      </c>
      <c r="AF6">
        <v>10</v>
      </c>
      <c r="AG6">
        <v>10</v>
      </c>
      <c r="AH6">
        <v>10</v>
      </c>
      <c r="AI6">
        <v>10</v>
      </c>
      <c r="AJ6">
        <v>45</v>
      </c>
      <c r="AK6">
        <v>10</v>
      </c>
      <c r="AL6">
        <v>10</v>
      </c>
      <c r="AM6" t="s">
        <v>68</v>
      </c>
      <c r="AN6">
        <v>10</v>
      </c>
      <c r="AO6">
        <v>10</v>
      </c>
      <c r="AP6" t="s">
        <v>68</v>
      </c>
      <c r="AQ6">
        <v>10</v>
      </c>
      <c r="AR6">
        <v>10</v>
      </c>
      <c r="AS6" t="s">
        <v>68</v>
      </c>
      <c r="AT6" t="s">
        <v>69</v>
      </c>
      <c r="AU6">
        <v>75</v>
      </c>
      <c r="AV6">
        <v>3</v>
      </c>
      <c r="AW6">
        <v>25</v>
      </c>
      <c r="AX6" t="s">
        <v>69</v>
      </c>
      <c r="AY6">
        <v>75</v>
      </c>
      <c r="AZ6">
        <v>1</v>
      </c>
      <c r="BA6">
        <v>75</v>
      </c>
      <c r="BB6" t="s">
        <v>70</v>
      </c>
      <c r="BC6">
        <v>-26</v>
      </c>
    </row>
    <row r="7" spans="1:55" x14ac:dyDescent="0.3">
      <c r="A7" t="s">
        <v>77</v>
      </c>
      <c r="B7">
        <v>1999</v>
      </c>
      <c r="C7">
        <v>1</v>
      </c>
      <c r="D7" t="s">
        <v>56</v>
      </c>
      <c r="E7" t="s">
        <v>57</v>
      </c>
      <c r="F7" t="s">
        <v>58</v>
      </c>
      <c r="H7" t="s">
        <v>58</v>
      </c>
      <c r="I7" t="s">
        <v>59</v>
      </c>
      <c r="J7">
        <v>17</v>
      </c>
      <c r="K7">
        <v>43</v>
      </c>
      <c r="L7" s="1">
        <v>45799.367361111108</v>
      </c>
      <c r="M7" t="s">
        <v>60</v>
      </c>
      <c r="N7" t="s">
        <v>61</v>
      </c>
      <c r="Q7" t="s">
        <v>78</v>
      </c>
      <c r="S7" t="s">
        <v>63</v>
      </c>
      <c r="T7" t="s">
        <v>64</v>
      </c>
      <c r="V7" t="s">
        <v>63</v>
      </c>
      <c r="W7" t="s">
        <v>82</v>
      </c>
      <c r="X7">
        <v>6</v>
      </c>
      <c r="Y7" t="s">
        <v>85</v>
      </c>
      <c r="Z7" t="s">
        <v>86</v>
      </c>
      <c r="AA7">
        <v>4</v>
      </c>
      <c r="AB7">
        <v>4</v>
      </c>
      <c r="AC7">
        <v>4</v>
      </c>
      <c r="AD7">
        <v>1</v>
      </c>
      <c r="AE7">
        <v>10</v>
      </c>
      <c r="AF7">
        <v>10</v>
      </c>
      <c r="AG7">
        <v>10</v>
      </c>
      <c r="AH7">
        <v>10</v>
      </c>
      <c r="AI7">
        <v>10</v>
      </c>
      <c r="AJ7">
        <v>45</v>
      </c>
      <c r="AK7">
        <v>10</v>
      </c>
      <c r="AL7">
        <v>10</v>
      </c>
      <c r="AM7" t="s">
        <v>68</v>
      </c>
      <c r="AN7">
        <v>10</v>
      </c>
      <c r="AO7">
        <v>10</v>
      </c>
      <c r="AP7" t="s">
        <v>68</v>
      </c>
      <c r="AQ7">
        <v>10</v>
      </c>
      <c r="AR7">
        <v>10</v>
      </c>
      <c r="AS7" t="s">
        <v>68</v>
      </c>
      <c r="AT7" t="s">
        <v>69</v>
      </c>
      <c r="AU7">
        <v>75</v>
      </c>
      <c r="AV7">
        <v>3</v>
      </c>
      <c r="AW7">
        <v>25</v>
      </c>
      <c r="AX7" t="s">
        <v>69</v>
      </c>
      <c r="AY7">
        <v>75</v>
      </c>
      <c r="AZ7">
        <v>1</v>
      </c>
      <c r="BA7">
        <v>75</v>
      </c>
      <c r="BB7" t="s">
        <v>70</v>
      </c>
      <c r="BC7">
        <v>-26</v>
      </c>
    </row>
    <row r="8" spans="1:55" x14ac:dyDescent="0.3">
      <c r="A8" t="s">
        <v>77</v>
      </c>
      <c r="B8">
        <v>1999</v>
      </c>
      <c r="C8">
        <v>1</v>
      </c>
      <c r="D8" t="s">
        <v>56</v>
      </c>
      <c r="E8" t="s">
        <v>57</v>
      </c>
      <c r="F8" t="s">
        <v>58</v>
      </c>
      <c r="H8" t="s">
        <v>58</v>
      </c>
      <c r="I8" t="s">
        <v>59</v>
      </c>
      <c r="J8">
        <v>17</v>
      </c>
      <c r="K8">
        <v>43</v>
      </c>
      <c r="L8" s="1">
        <v>45799.367361111108</v>
      </c>
      <c r="M8" t="s">
        <v>60</v>
      </c>
      <c r="N8" t="s">
        <v>61</v>
      </c>
      <c r="Q8" t="s">
        <v>78</v>
      </c>
      <c r="S8" t="s">
        <v>63</v>
      </c>
      <c r="T8" t="s">
        <v>64</v>
      </c>
      <c r="V8" t="s">
        <v>63</v>
      </c>
      <c r="W8" t="s">
        <v>82</v>
      </c>
      <c r="X8">
        <v>7</v>
      </c>
      <c r="Y8" t="s">
        <v>87</v>
      </c>
      <c r="Z8" t="s">
        <v>88</v>
      </c>
      <c r="AA8">
        <v>4</v>
      </c>
      <c r="AB8">
        <v>4</v>
      </c>
      <c r="AC8">
        <v>4</v>
      </c>
      <c r="AD8">
        <v>1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45</v>
      </c>
      <c r="AK8">
        <v>15</v>
      </c>
      <c r="AL8">
        <v>15</v>
      </c>
      <c r="AM8" t="s">
        <v>89</v>
      </c>
      <c r="AN8">
        <v>15</v>
      </c>
      <c r="AO8">
        <v>15</v>
      </c>
      <c r="AP8" t="s">
        <v>89</v>
      </c>
      <c r="AQ8">
        <v>15</v>
      </c>
      <c r="AR8">
        <v>15</v>
      </c>
      <c r="AS8" t="s">
        <v>89</v>
      </c>
      <c r="AT8" t="s">
        <v>69</v>
      </c>
      <c r="AU8">
        <v>75</v>
      </c>
      <c r="AV8">
        <v>3</v>
      </c>
      <c r="AW8">
        <v>25</v>
      </c>
      <c r="AX8" t="s">
        <v>69</v>
      </c>
      <c r="AY8">
        <v>75</v>
      </c>
      <c r="AZ8">
        <v>1</v>
      </c>
      <c r="BA8">
        <v>75</v>
      </c>
      <c r="BB8" t="s">
        <v>70</v>
      </c>
      <c r="BC8">
        <v>-26</v>
      </c>
    </row>
    <row r="10" spans="1:55" x14ac:dyDescent="0.3">
      <c r="B10" s="4" t="s">
        <v>94</v>
      </c>
    </row>
    <row r="15" spans="1:55" x14ac:dyDescent="0.3">
      <c r="B15" t="s">
        <v>16</v>
      </c>
      <c r="C15" t="s">
        <v>19</v>
      </c>
      <c r="D15" t="s">
        <v>34</v>
      </c>
      <c r="E15" t="s">
        <v>33</v>
      </c>
      <c r="H15" s="2" t="s">
        <v>16</v>
      </c>
      <c r="I15" s="2" t="s">
        <v>19</v>
      </c>
      <c r="J15" t="s">
        <v>90</v>
      </c>
      <c r="K15" t="s">
        <v>91</v>
      </c>
    </row>
    <row r="16" spans="1:55" x14ac:dyDescent="0.3">
      <c r="B16" t="s">
        <v>62</v>
      </c>
      <c r="C16" t="s">
        <v>64</v>
      </c>
      <c r="D16">
        <v>10</v>
      </c>
      <c r="E16">
        <v>10</v>
      </c>
      <c r="H16" t="s">
        <v>78</v>
      </c>
      <c r="I16" t="s">
        <v>64</v>
      </c>
      <c r="J16" s="3">
        <v>45</v>
      </c>
      <c r="K16" s="8">
        <v>45</v>
      </c>
    </row>
    <row r="17" spans="2:32" x14ac:dyDescent="0.3">
      <c r="B17" t="s">
        <v>72</v>
      </c>
      <c r="C17" t="s">
        <v>64</v>
      </c>
      <c r="D17">
        <v>10</v>
      </c>
      <c r="E17">
        <v>10</v>
      </c>
      <c r="H17" t="s">
        <v>62</v>
      </c>
      <c r="I17" t="s">
        <v>64</v>
      </c>
      <c r="J17" s="3">
        <v>10</v>
      </c>
      <c r="K17" s="8">
        <v>10</v>
      </c>
    </row>
    <row r="18" spans="2:32" x14ac:dyDescent="0.3">
      <c r="B18" t="s">
        <v>72</v>
      </c>
      <c r="C18" t="s">
        <v>64</v>
      </c>
      <c r="D18">
        <v>10</v>
      </c>
      <c r="E18">
        <v>10</v>
      </c>
      <c r="H18" t="s">
        <v>72</v>
      </c>
      <c r="I18" t="s">
        <v>64</v>
      </c>
      <c r="J18" s="3">
        <v>20</v>
      </c>
      <c r="K18" s="3">
        <v>20</v>
      </c>
    </row>
    <row r="19" spans="2:32" x14ac:dyDescent="0.3">
      <c r="B19" t="s">
        <v>78</v>
      </c>
      <c r="C19" t="s">
        <v>64</v>
      </c>
      <c r="D19">
        <v>10</v>
      </c>
      <c r="E19">
        <v>10</v>
      </c>
      <c r="H19" t="s">
        <v>92</v>
      </c>
      <c r="J19" s="3">
        <v>75</v>
      </c>
      <c r="K19" s="3">
        <v>75</v>
      </c>
    </row>
    <row r="20" spans="2:32" x14ac:dyDescent="0.3">
      <c r="B20" t="s">
        <v>78</v>
      </c>
      <c r="C20" t="s">
        <v>64</v>
      </c>
      <c r="D20">
        <v>10</v>
      </c>
      <c r="E20">
        <v>10</v>
      </c>
    </row>
    <row r="21" spans="2:32" x14ac:dyDescent="0.3">
      <c r="B21" t="s">
        <v>78</v>
      </c>
      <c r="C21" t="s">
        <v>64</v>
      </c>
      <c r="D21">
        <v>10</v>
      </c>
      <c r="E21">
        <v>10</v>
      </c>
    </row>
    <row r="22" spans="2:32" x14ac:dyDescent="0.3">
      <c r="B22" t="s">
        <v>78</v>
      </c>
      <c r="C22" t="s">
        <v>64</v>
      </c>
      <c r="D22">
        <v>15</v>
      </c>
      <c r="E22">
        <v>15</v>
      </c>
    </row>
    <row r="26" spans="2:32" x14ac:dyDescent="0.3">
      <c r="B26" t="s">
        <v>93</v>
      </c>
    </row>
    <row r="27" spans="2:32" x14ac:dyDescent="0.3">
      <c r="H27" s="2" t="s">
        <v>16</v>
      </c>
      <c r="I27" s="2" t="s">
        <v>19</v>
      </c>
      <c r="J27" s="2" t="s">
        <v>10</v>
      </c>
      <c r="K27" t="s">
        <v>90</v>
      </c>
      <c r="L27" t="s">
        <v>91</v>
      </c>
      <c r="N27" t="s">
        <v>16</v>
      </c>
      <c r="O27" t="s">
        <v>19</v>
      </c>
      <c r="P27" t="s">
        <v>10</v>
      </c>
      <c r="Q27" t="s">
        <v>90</v>
      </c>
      <c r="R27" t="s">
        <v>91</v>
      </c>
      <c r="T27" s="2" t="s">
        <v>16</v>
      </c>
      <c r="U27" t="s">
        <v>97</v>
      </c>
      <c r="V27" t="s">
        <v>98</v>
      </c>
      <c r="X27" t="s">
        <v>16</v>
      </c>
      <c r="Y27" t="s">
        <v>97</v>
      </c>
      <c r="Z27" t="s">
        <v>98</v>
      </c>
      <c r="AC27" t="s">
        <v>102</v>
      </c>
      <c r="AD27" t="s">
        <v>103</v>
      </c>
    </row>
    <row r="28" spans="2:32" x14ac:dyDescent="0.3">
      <c r="B28" t="s">
        <v>10</v>
      </c>
      <c r="C28" t="s">
        <v>16</v>
      </c>
      <c r="D28" t="s">
        <v>19</v>
      </c>
      <c r="E28" t="s">
        <v>34</v>
      </c>
      <c r="F28" t="s">
        <v>33</v>
      </c>
      <c r="H28" t="s">
        <v>78</v>
      </c>
      <c r="I28" t="s">
        <v>64</v>
      </c>
      <c r="J28">
        <v>43</v>
      </c>
      <c r="K28" s="3">
        <v>45</v>
      </c>
      <c r="L28" s="3">
        <v>45</v>
      </c>
      <c r="N28" t="s">
        <v>78</v>
      </c>
      <c r="O28" t="s">
        <v>64</v>
      </c>
      <c r="P28">
        <v>43</v>
      </c>
      <c r="Q28">
        <v>45</v>
      </c>
      <c r="R28">
        <v>45</v>
      </c>
      <c r="T28" s="7" t="s">
        <v>78</v>
      </c>
      <c r="U28" s="3">
        <v>40.5</v>
      </c>
      <c r="V28" s="3">
        <v>45</v>
      </c>
      <c r="X28" t="s">
        <v>78</v>
      </c>
      <c r="Y28">
        <v>40.5</v>
      </c>
      <c r="Z28">
        <v>45</v>
      </c>
      <c r="AC28" s="3">
        <v>67.5</v>
      </c>
      <c r="AD28" s="3">
        <v>75</v>
      </c>
      <c r="AF28">
        <f>AC28/AD28*100</f>
        <v>90</v>
      </c>
    </row>
    <row r="29" spans="2:32" x14ac:dyDescent="0.3">
      <c r="B29">
        <v>42</v>
      </c>
      <c r="C29" t="s">
        <v>62</v>
      </c>
      <c r="D29" t="s">
        <v>64</v>
      </c>
      <c r="E29">
        <v>10</v>
      </c>
      <c r="F29">
        <v>10</v>
      </c>
      <c r="H29" t="s">
        <v>78</v>
      </c>
      <c r="I29" t="s">
        <v>64</v>
      </c>
      <c r="J29">
        <v>46</v>
      </c>
      <c r="K29" s="3">
        <v>36</v>
      </c>
      <c r="L29" s="3">
        <v>45</v>
      </c>
      <c r="N29" t="s">
        <v>78</v>
      </c>
      <c r="O29" t="s">
        <v>64</v>
      </c>
      <c r="P29">
        <v>46</v>
      </c>
      <c r="Q29">
        <v>36</v>
      </c>
      <c r="R29">
        <v>45</v>
      </c>
      <c r="T29" s="7" t="s">
        <v>62</v>
      </c>
      <c r="U29" s="3">
        <v>9</v>
      </c>
      <c r="V29" s="3">
        <v>10</v>
      </c>
      <c r="X29" t="s">
        <v>62</v>
      </c>
      <c r="Y29">
        <v>9</v>
      </c>
      <c r="Z29">
        <v>10</v>
      </c>
    </row>
    <row r="30" spans="2:32" x14ac:dyDescent="0.3">
      <c r="B30">
        <v>44</v>
      </c>
      <c r="C30" t="s">
        <v>72</v>
      </c>
      <c r="D30" t="s">
        <v>64</v>
      </c>
      <c r="E30">
        <v>10</v>
      </c>
      <c r="F30">
        <v>10</v>
      </c>
      <c r="H30" t="s">
        <v>62</v>
      </c>
      <c r="I30" t="s">
        <v>64</v>
      </c>
      <c r="J30">
        <v>42</v>
      </c>
      <c r="K30" s="3">
        <v>10</v>
      </c>
      <c r="L30" s="3">
        <v>10</v>
      </c>
      <c r="N30" t="s">
        <v>62</v>
      </c>
      <c r="O30" t="s">
        <v>64</v>
      </c>
      <c r="P30">
        <v>42</v>
      </c>
      <c r="Q30">
        <v>10</v>
      </c>
      <c r="R30">
        <v>10</v>
      </c>
      <c r="T30" s="7" t="s">
        <v>72</v>
      </c>
      <c r="U30" s="3">
        <v>18</v>
      </c>
      <c r="V30" s="3">
        <v>20</v>
      </c>
      <c r="X30" t="s">
        <v>72</v>
      </c>
      <c r="Y30">
        <v>18</v>
      </c>
      <c r="Z30">
        <v>20</v>
      </c>
    </row>
    <row r="31" spans="2:32" x14ac:dyDescent="0.3">
      <c r="B31">
        <v>44</v>
      </c>
      <c r="C31" t="s">
        <v>72</v>
      </c>
      <c r="D31" t="s">
        <v>64</v>
      </c>
      <c r="E31">
        <v>10</v>
      </c>
      <c r="F31">
        <v>10</v>
      </c>
      <c r="H31" t="s">
        <v>62</v>
      </c>
      <c r="I31" t="s">
        <v>64</v>
      </c>
      <c r="J31">
        <v>45</v>
      </c>
      <c r="K31" s="3">
        <v>8</v>
      </c>
      <c r="L31" s="3">
        <v>10</v>
      </c>
      <c r="N31" t="s">
        <v>62</v>
      </c>
      <c r="O31" t="s">
        <v>64</v>
      </c>
      <c r="P31">
        <v>45</v>
      </c>
      <c r="Q31">
        <v>8</v>
      </c>
      <c r="R31">
        <v>10</v>
      </c>
      <c r="T31" s="7" t="s">
        <v>92</v>
      </c>
      <c r="U31" s="3">
        <v>22.5</v>
      </c>
      <c r="V31" s="3">
        <v>25</v>
      </c>
      <c r="X31" t="s">
        <v>92</v>
      </c>
      <c r="Y31">
        <v>22.5</v>
      </c>
      <c r="Z31">
        <v>25</v>
      </c>
    </row>
    <row r="32" spans="2:32" x14ac:dyDescent="0.3">
      <c r="B32">
        <v>43</v>
      </c>
      <c r="C32" t="s">
        <v>78</v>
      </c>
      <c r="D32" t="s">
        <v>64</v>
      </c>
      <c r="E32">
        <v>10</v>
      </c>
      <c r="F32">
        <v>10</v>
      </c>
      <c r="H32" t="s">
        <v>72</v>
      </c>
      <c r="I32" t="s">
        <v>64</v>
      </c>
      <c r="J32">
        <v>44</v>
      </c>
      <c r="K32" s="3">
        <v>20</v>
      </c>
      <c r="L32" s="3">
        <v>20</v>
      </c>
      <c r="N32" t="s">
        <v>72</v>
      </c>
      <c r="O32" t="s">
        <v>64</v>
      </c>
      <c r="P32">
        <v>44</v>
      </c>
      <c r="Q32">
        <v>20</v>
      </c>
      <c r="R32">
        <v>20</v>
      </c>
    </row>
    <row r="33" spans="1:18" x14ac:dyDescent="0.3">
      <c r="B33">
        <v>43</v>
      </c>
      <c r="C33" t="s">
        <v>78</v>
      </c>
      <c r="D33" t="s">
        <v>64</v>
      </c>
      <c r="E33">
        <v>10</v>
      </c>
      <c r="F33">
        <v>10</v>
      </c>
      <c r="H33" t="s">
        <v>72</v>
      </c>
      <c r="I33" t="s">
        <v>64</v>
      </c>
      <c r="J33">
        <v>47</v>
      </c>
      <c r="K33" s="3">
        <v>16</v>
      </c>
      <c r="L33" s="3">
        <v>20</v>
      </c>
      <c r="N33" t="s">
        <v>72</v>
      </c>
      <c r="O33" t="s">
        <v>64</v>
      </c>
      <c r="P33">
        <v>47</v>
      </c>
      <c r="Q33">
        <v>16</v>
      </c>
      <c r="R33">
        <v>20</v>
      </c>
    </row>
    <row r="34" spans="1:18" x14ac:dyDescent="0.3">
      <c r="B34">
        <v>43</v>
      </c>
      <c r="C34" t="s">
        <v>78</v>
      </c>
      <c r="D34" t="s">
        <v>64</v>
      </c>
      <c r="E34">
        <v>10</v>
      </c>
      <c r="F34">
        <v>10</v>
      </c>
      <c r="H34" t="s">
        <v>92</v>
      </c>
      <c r="K34" s="3">
        <v>135</v>
      </c>
      <c r="L34" s="3">
        <v>150</v>
      </c>
      <c r="N34" t="s">
        <v>92</v>
      </c>
      <c r="Q34">
        <v>135</v>
      </c>
      <c r="R34">
        <v>150</v>
      </c>
    </row>
    <row r="35" spans="1:18" x14ac:dyDescent="0.3">
      <c r="B35">
        <v>43</v>
      </c>
      <c r="C35" t="s">
        <v>78</v>
      </c>
      <c r="D35" t="s">
        <v>64</v>
      </c>
      <c r="E35">
        <v>15</v>
      </c>
      <c r="F35">
        <v>15</v>
      </c>
    </row>
    <row r="36" spans="1:18" x14ac:dyDescent="0.3">
      <c r="B36">
        <v>45</v>
      </c>
      <c r="C36" t="s">
        <v>62</v>
      </c>
      <c r="D36" t="s">
        <v>64</v>
      </c>
      <c r="E36">
        <v>8</v>
      </c>
      <c r="F36">
        <v>10</v>
      </c>
    </row>
    <row r="37" spans="1:18" x14ac:dyDescent="0.3">
      <c r="B37">
        <v>47</v>
      </c>
      <c r="C37" t="s">
        <v>72</v>
      </c>
      <c r="D37" t="s">
        <v>64</v>
      </c>
      <c r="E37">
        <v>8</v>
      </c>
      <c r="F37">
        <v>10</v>
      </c>
    </row>
    <row r="38" spans="1:18" x14ac:dyDescent="0.3">
      <c r="B38">
        <v>47</v>
      </c>
      <c r="C38" t="s">
        <v>72</v>
      </c>
      <c r="D38" t="s">
        <v>64</v>
      </c>
      <c r="E38">
        <v>8</v>
      </c>
      <c r="F38">
        <v>10</v>
      </c>
    </row>
    <row r="39" spans="1:18" x14ac:dyDescent="0.3">
      <c r="B39">
        <v>46</v>
      </c>
      <c r="C39" t="s">
        <v>78</v>
      </c>
      <c r="D39" t="s">
        <v>64</v>
      </c>
      <c r="E39">
        <v>8</v>
      </c>
      <c r="F39">
        <v>10</v>
      </c>
    </row>
    <row r="40" spans="1:18" x14ac:dyDescent="0.3">
      <c r="B40">
        <v>46</v>
      </c>
      <c r="C40" t="s">
        <v>78</v>
      </c>
      <c r="D40" t="s">
        <v>64</v>
      </c>
      <c r="E40">
        <v>8</v>
      </c>
      <c r="F40">
        <v>10</v>
      </c>
    </row>
    <row r="41" spans="1:18" x14ac:dyDescent="0.3">
      <c r="B41">
        <v>46</v>
      </c>
      <c r="C41" t="s">
        <v>78</v>
      </c>
      <c r="D41" t="s">
        <v>64</v>
      </c>
      <c r="E41">
        <v>8</v>
      </c>
      <c r="F41">
        <v>10</v>
      </c>
    </row>
    <row r="42" spans="1:18" x14ac:dyDescent="0.3">
      <c r="B42">
        <v>46</v>
      </c>
      <c r="C42" t="s">
        <v>78</v>
      </c>
      <c r="D42" t="s">
        <v>64</v>
      </c>
      <c r="E42">
        <v>12</v>
      </c>
      <c r="F42">
        <v>15</v>
      </c>
    </row>
    <row r="45" spans="1:18" x14ac:dyDescent="0.3">
      <c r="A45" t="s">
        <v>95</v>
      </c>
    </row>
    <row r="46" spans="1:18" x14ac:dyDescent="0.3">
      <c r="A46" s="5" t="s">
        <v>96</v>
      </c>
    </row>
    <row r="47" spans="1:18" x14ac:dyDescent="0.3">
      <c r="A47" s="5" t="s">
        <v>99</v>
      </c>
    </row>
    <row r="48" spans="1:18" x14ac:dyDescent="0.3">
      <c r="A48" s="5" t="s">
        <v>100</v>
      </c>
    </row>
    <row r="49" spans="1:8" x14ac:dyDescent="0.3">
      <c r="A49" s="6" t="s">
        <v>104</v>
      </c>
    </row>
    <row r="50" spans="1:8" x14ac:dyDescent="0.3">
      <c r="A50" s="5" t="s">
        <v>101</v>
      </c>
    </row>
    <row r="60" spans="1:8" x14ac:dyDescent="0.3">
      <c r="A60" t="s">
        <v>196</v>
      </c>
      <c r="C60" s="39"/>
      <c r="F60" s="2" t="s">
        <v>5</v>
      </c>
      <c r="G60" t="s">
        <v>197</v>
      </c>
    </row>
    <row r="61" spans="1:8" x14ac:dyDescent="0.3">
      <c r="C61" s="39"/>
    </row>
    <row r="62" spans="1:8" x14ac:dyDescent="0.3">
      <c r="A62" t="s">
        <v>5</v>
      </c>
      <c r="B62" t="s">
        <v>16</v>
      </c>
      <c r="C62" t="s">
        <v>164</v>
      </c>
      <c r="D62" t="s">
        <v>32</v>
      </c>
      <c r="F62" s="2" t="s">
        <v>191</v>
      </c>
      <c r="G62" t="s">
        <v>181</v>
      </c>
      <c r="H62" t="s">
        <v>182</v>
      </c>
    </row>
    <row r="63" spans="1:8" x14ac:dyDescent="0.3">
      <c r="A63" t="s">
        <v>169</v>
      </c>
      <c r="B63" t="s">
        <v>62</v>
      </c>
      <c r="C63">
        <v>17.5</v>
      </c>
      <c r="D63">
        <v>30</v>
      </c>
      <c r="F63" s="7" t="s">
        <v>78</v>
      </c>
      <c r="G63" s="3">
        <v>9.6875</v>
      </c>
      <c r="H63" s="3">
        <v>15</v>
      </c>
    </row>
    <row r="64" spans="1:8" x14ac:dyDescent="0.3">
      <c r="A64" t="s">
        <v>169</v>
      </c>
      <c r="B64" t="s">
        <v>72</v>
      </c>
      <c r="C64">
        <v>22.5</v>
      </c>
      <c r="D64">
        <v>30</v>
      </c>
      <c r="F64" s="7" t="s">
        <v>126</v>
      </c>
      <c r="G64" s="3">
        <v>23.75</v>
      </c>
      <c r="H64" s="3">
        <v>25</v>
      </c>
    </row>
    <row r="65" spans="1:14" x14ac:dyDescent="0.3">
      <c r="A65" t="s">
        <v>169</v>
      </c>
      <c r="B65" t="s">
        <v>78</v>
      </c>
      <c r="C65">
        <v>12.5</v>
      </c>
      <c r="D65">
        <v>15</v>
      </c>
      <c r="F65" s="7" t="s">
        <v>192</v>
      </c>
      <c r="G65" s="3">
        <v>10</v>
      </c>
      <c r="H65" s="3">
        <v>10</v>
      </c>
    </row>
    <row r="66" spans="1:14" x14ac:dyDescent="0.3">
      <c r="A66" t="s">
        <v>169</v>
      </c>
      <c r="B66" t="s">
        <v>62</v>
      </c>
      <c r="C66">
        <v>17.5</v>
      </c>
      <c r="D66">
        <v>30</v>
      </c>
      <c r="F66" s="7" t="s">
        <v>62</v>
      </c>
      <c r="G66" s="3">
        <v>21.875</v>
      </c>
      <c r="H66" s="3">
        <v>30</v>
      </c>
    </row>
    <row r="67" spans="1:14" x14ac:dyDescent="0.3">
      <c r="A67" t="s">
        <v>169</v>
      </c>
      <c r="B67" t="s">
        <v>72</v>
      </c>
      <c r="C67">
        <v>22.5</v>
      </c>
      <c r="D67">
        <v>30</v>
      </c>
      <c r="F67" s="7" t="s">
        <v>72</v>
      </c>
      <c r="G67" s="3">
        <v>20.625</v>
      </c>
      <c r="H67" s="3">
        <v>30</v>
      </c>
    </row>
    <row r="68" spans="1:14" x14ac:dyDescent="0.3">
      <c r="A68" t="s">
        <v>169</v>
      </c>
      <c r="B68" t="s">
        <v>78</v>
      </c>
      <c r="C68">
        <v>10</v>
      </c>
      <c r="D68">
        <v>15</v>
      </c>
      <c r="F68" s="7" t="s">
        <v>193</v>
      </c>
      <c r="G68" s="3">
        <v>83.75</v>
      </c>
      <c r="H68" s="3">
        <v>90</v>
      </c>
    </row>
    <row r="69" spans="1:14" x14ac:dyDescent="0.3">
      <c r="A69" t="s">
        <v>169</v>
      </c>
      <c r="B69" t="s">
        <v>62</v>
      </c>
      <c r="C69">
        <v>27.5</v>
      </c>
      <c r="D69">
        <v>30</v>
      </c>
      <c r="F69" s="7" t="s">
        <v>92</v>
      </c>
      <c r="G69" s="3">
        <v>21.015625</v>
      </c>
      <c r="H69" s="3">
        <v>27.1875</v>
      </c>
    </row>
    <row r="70" spans="1:14" x14ac:dyDescent="0.3">
      <c r="A70" t="s">
        <v>169</v>
      </c>
      <c r="B70" t="s">
        <v>72</v>
      </c>
      <c r="C70">
        <v>20</v>
      </c>
      <c r="D70">
        <v>30</v>
      </c>
    </row>
    <row r="71" spans="1:14" x14ac:dyDescent="0.3">
      <c r="A71" t="s">
        <v>169</v>
      </c>
      <c r="B71" t="s">
        <v>78</v>
      </c>
      <c r="C71">
        <v>8.75</v>
      </c>
      <c r="D71">
        <v>15</v>
      </c>
      <c r="F71" s="7" t="s">
        <v>78</v>
      </c>
      <c r="G71">
        <v>9.6875</v>
      </c>
      <c r="H71">
        <v>15</v>
      </c>
      <c r="K71" s="7" t="s">
        <v>78</v>
      </c>
      <c r="L71">
        <v>9.6875</v>
      </c>
      <c r="M71">
        <v>15</v>
      </c>
    </row>
    <row r="72" spans="1:14" x14ac:dyDescent="0.3">
      <c r="A72" t="s">
        <v>169</v>
      </c>
      <c r="B72" t="s">
        <v>62</v>
      </c>
      <c r="C72">
        <v>25</v>
      </c>
      <c r="D72">
        <v>30</v>
      </c>
      <c r="F72" s="7" t="s">
        <v>126</v>
      </c>
      <c r="G72">
        <v>23.75</v>
      </c>
      <c r="H72">
        <v>25</v>
      </c>
      <c r="K72" s="7" t="s">
        <v>126</v>
      </c>
      <c r="L72">
        <v>23.75</v>
      </c>
      <c r="M72">
        <v>25</v>
      </c>
    </row>
    <row r="73" spans="1:14" x14ac:dyDescent="0.3">
      <c r="A73" t="s">
        <v>169</v>
      </c>
      <c r="B73" t="s">
        <v>72</v>
      </c>
      <c r="C73">
        <v>17.5</v>
      </c>
      <c r="D73">
        <v>30</v>
      </c>
      <c r="F73" s="7" t="s">
        <v>192</v>
      </c>
      <c r="G73">
        <v>10</v>
      </c>
      <c r="H73">
        <v>10</v>
      </c>
      <c r="K73" s="7" t="s">
        <v>62</v>
      </c>
      <c r="L73">
        <v>21.875</v>
      </c>
      <c r="M73">
        <v>30</v>
      </c>
    </row>
    <row r="74" spans="1:14" x14ac:dyDescent="0.3">
      <c r="A74" t="s">
        <v>169</v>
      </c>
      <c r="B74" t="s">
        <v>78</v>
      </c>
      <c r="C74">
        <v>7.5</v>
      </c>
      <c r="D74">
        <v>15</v>
      </c>
      <c r="F74" s="7" t="s">
        <v>62</v>
      </c>
      <c r="G74">
        <v>21.875</v>
      </c>
      <c r="H74">
        <v>30</v>
      </c>
      <c r="K74" s="7" t="s">
        <v>72</v>
      </c>
      <c r="L74">
        <v>20.625</v>
      </c>
      <c r="M74">
        <v>30</v>
      </c>
    </row>
    <row r="75" spans="1:14" x14ac:dyDescent="0.3">
      <c r="A75" t="s">
        <v>169</v>
      </c>
      <c r="B75" t="s">
        <v>126</v>
      </c>
      <c r="C75">
        <v>23.75</v>
      </c>
      <c r="D75">
        <v>25</v>
      </c>
      <c r="F75" s="7" t="s">
        <v>72</v>
      </c>
      <c r="G75">
        <v>20.625</v>
      </c>
      <c r="H75">
        <v>30</v>
      </c>
      <c r="K75" s="7" t="s">
        <v>195</v>
      </c>
      <c r="L75">
        <f>SUM(L71:L74)</f>
        <v>75.9375</v>
      </c>
      <c r="M75">
        <f>SUM(M71:M74)</f>
        <v>100</v>
      </c>
      <c r="N75">
        <f>L75/M75*100</f>
        <v>75.9375</v>
      </c>
    </row>
    <row r="76" spans="1:14" x14ac:dyDescent="0.3">
      <c r="A76" t="s">
        <v>194</v>
      </c>
      <c r="B76" t="s">
        <v>192</v>
      </c>
      <c r="C76">
        <v>10</v>
      </c>
      <c r="D76">
        <v>10</v>
      </c>
      <c r="F76" s="7" t="s">
        <v>193</v>
      </c>
      <c r="G76">
        <v>83.75</v>
      </c>
      <c r="H76">
        <v>90</v>
      </c>
    </row>
    <row r="77" spans="1:14" x14ac:dyDescent="0.3">
      <c r="A77" t="s">
        <v>194</v>
      </c>
      <c r="B77" t="s">
        <v>193</v>
      </c>
      <c r="C77">
        <v>83.75</v>
      </c>
      <c r="D77">
        <v>90</v>
      </c>
      <c r="F77" s="7" t="s">
        <v>195</v>
      </c>
      <c r="G77">
        <f>SUM(G71:G76)</f>
        <v>169.6875</v>
      </c>
      <c r="H77">
        <f>SUM(H71:H76)</f>
        <v>200</v>
      </c>
      <c r="I77">
        <f>G77/H77*100</f>
        <v>84.84375</v>
      </c>
      <c r="K77" s="7" t="s">
        <v>192</v>
      </c>
      <c r="L77">
        <v>10</v>
      </c>
      <c r="M77">
        <v>10</v>
      </c>
    </row>
    <row r="78" spans="1:14" x14ac:dyDescent="0.3">
      <c r="A78" t="s">
        <v>194</v>
      </c>
      <c r="B78" t="s">
        <v>192</v>
      </c>
      <c r="C78">
        <v>10</v>
      </c>
      <c r="D78">
        <v>10</v>
      </c>
      <c r="K78" s="7" t="s">
        <v>193</v>
      </c>
      <c r="L78">
        <v>83.75</v>
      </c>
      <c r="M78">
        <v>90</v>
      </c>
    </row>
    <row r="79" spans="1:14" x14ac:dyDescent="0.3">
      <c r="K79" s="7" t="s">
        <v>195</v>
      </c>
      <c r="L79">
        <f>SUM(L77:L78)</f>
        <v>93.75</v>
      </c>
      <c r="M79">
        <f>SUM(M77:M78)</f>
        <v>100</v>
      </c>
      <c r="N79">
        <f>L79/M79*100</f>
        <v>93.75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BDC-67CA-460C-AFF4-7721EE948B3B}">
  <sheetPr codeName="Sheet2">
    <tabColor theme="1"/>
  </sheetPr>
  <dimension ref="A1:AD54"/>
  <sheetViews>
    <sheetView zoomScale="115" zoomScaleNormal="115" workbookViewId="0">
      <selection activeCell="F37" sqref="F37"/>
    </sheetView>
  </sheetViews>
  <sheetFormatPr defaultRowHeight="14" x14ac:dyDescent="0.3"/>
  <cols>
    <col min="8" max="8" width="12.33203125" bestFit="1" customWidth="1"/>
    <col min="9" max="9" width="21.4140625" bestFit="1" customWidth="1"/>
    <col min="10" max="10" width="26.4140625" bestFit="1" customWidth="1"/>
    <col min="16" max="16" width="29" bestFit="1" customWidth="1"/>
    <col min="17" max="17" width="34" bestFit="1" customWidth="1"/>
  </cols>
  <sheetData>
    <row r="1" spans="1:30" x14ac:dyDescent="0.3">
      <c r="A1" t="s">
        <v>162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2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19</v>
      </c>
      <c r="P1" t="s">
        <v>17</v>
      </c>
      <c r="Q1" t="s">
        <v>18</v>
      </c>
      <c r="R1" t="s">
        <v>20</v>
      </c>
      <c r="S1" t="s">
        <v>21</v>
      </c>
      <c r="T1" t="s">
        <v>16</v>
      </c>
      <c r="U1" t="s">
        <v>22</v>
      </c>
      <c r="V1" t="s">
        <v>24</v>
      </c>
      <c r="W1" t="s">
        <v>163</v>
      </c>
      <c r="X1" t="s">
        <v>25</v>
      </c>
      <c r="Y1" t="s">
        <v>164</v>
      </c>
      <c r="Z1" t="s">
        <v>27</v>
      </c>
      <c r="AA1" t="s">
        <v>28</v>
      </c>
      <c r="AB1" t="s">
        <v>32</v>
      </c>
      <c r="AC1" t="s">
        <v>36</v>
      </c>
      <c r="AD1" t="s">
        <v>165</v>
      </c>
    </row>
    <row r="2" spans="1:30" x14ac:dyDescent="0.3">
      <c r="A2" t="s">
        <v>166</v>
      </c>
      <c r="B2" t="s">
        <v>167</v>
      </c>
      <c r="C2" t="s">
        <v>168</v>
      </c>
      <c r="D2">
        <v>1999</v>
      </c>
      <c r="E2" t="s">
        <v>169</v>
      </c>
      <c r="G2" t="s">
        <v>169</v>
      </c>
      <c r="H2">
        <v>1</v>
      </c>
      <c r="I2" t="s">
        <v>170</v>
      </c>
      <c r="J2" s="1">
        <v>45800.449305555558</v>
      </c>
      <c r="K2" t="s">
        <v>60</v>
      </c>
      <c r="L2" t="s">
        <v>171</v>
      </c>
      <c r="O2" t="s">
        <v>160</v>
      </c>
      <c r="Q2" t="s">
        <v>63</v>
      </c>
      <c r="R2" t="s">
        <v>172</v>
      </c>
      <c r="S2" t="s">
        <v>63</v>
      </c>
      <c r="T2" t="s">
        <v>62</v>
      </c>
      <c r="V2" t="s">
        <v>173</v>
      </c>
      <c r="W2" t="s">
        <v>173</v>
      </c>
      <c r="X2" t="s">
        <v>174</v>
      </c>
      <c r="Y2">
        <v>17.5</v>
      </c>
      <c r="Z2">
        <v>7</v>
      </c>
      <c r="AA2">
        <v>4</v>
      </c>
      <c r="AB2">
        <v>30</v>
      </c>
      <c r="AC2">
        <v>10</v>
      </c>
      <c r="AD2">
        <v>10</v>
      </c>
    </row>
    <row r="3" spans="1:30" x14ac:dyDescent="0.3">
      <c r="A3" t="s">
        <v>166</v>
      </c>
      <c r="B3" t="s">
        <v>167</v>
      </c>
      <c r="C3" t="s">
        <v>175</v>
      </c>
      <c r="D3">
        <v>1999</v>
      </c>
      <c r="E3" t="s">
        <v>169</v>
      </c>
      <c r="G3" t="s">
        <v>169</v>
      </c>
      <c r="H3">
        <v>1</v>
      </c>
      <c r="I3" t="s">
        <v>170</v>
      </c>
      <c r="J3" s="1">
        <v>45800.449305555558</v>
      </c>
      <c r="K3" t="s">
        <v>60</v>
      </c>
      <c r="L3" t="s">
        <v>171</v>
      </c>
      <c r="O3" t="s">
        <v>160</v>
      </c>
      <c r="Q3" t="s">
        <v>63</v>
      </c>
      <c r="R3" t="s">
        <v>172</v>
      </c>
      <c r="S3" t="s">
        <v>63</v>
      </c>
      <c r="T3" t="s">
        <v>72</v>
      </c>
      <c r="V3" t="s">
        <v>173</v>
      </c>
      <c r="W3" t="s">
        <v>173</v>
      </c>
      <c r="X3" t="s">
        <v>174</v>
      </c>
      <c r="Y3">
        <v>22.5</v>
      </c>
      <c r="Z3">
        <v>9</v>
      </c>
      <c r="AA3">
        <v>4</v>
      </c>
      <c r="AB3">
        <v>30</v>
      </c>
      <c r="AC3">
        <v>10</v>
      </c>
      <c r="AD3">
        <v>10</v>
      </c>
    </row>
    <row r="4" spans="1:30" x14ac:dyDescent="0.3">
      <c r="A4" t="s">
        <v>166</v>
      </c>
      <c r="B4" t="s">
        <v>167</v>
      </c>
      <c r="C4" t="s">
        <v>176</v>
      </c>
      <c r="D4">
        <v>1999</v>
      </c>
      <c r="E4" t="s">
        <v>169</v>
      </c>
      <c r="G4" t="s">
        <v>169</v>
      </c>
      <c r="H4">
        <v>1</v>
      </c>
      <c r="I4" t="s">
        <v>170</v>
      </c>
      <c r="J4" s="1">
        <v>45800.449305555558</v>
      </c>
      <c r="K4" t="s">
        <v>60</v>
      </c>
      <c r="L4" t="s">
        <v>171</v>
      </c>
      <c r="O4" t="s">
        <v>160</v>
      </c>
      <c r="Q4" t="s">
        <v>63</v>
      </c>
      <c r="R4" t="s">
        <v>177</v>
      </c>
      <c r="S4" t="s">
        <v>63</v>
      </c>
      <c r="T4" t="s">
        <v>78</v>
      </c>
      <c r="V4" t="s">
        <v>173</v>
      </c>
      <c r="W4" t="s">
        <v>173</v>
      </c>
      <c r="X4" t="s">
        <v>174</v>
      </c>
      <c r="Y4">
        <v>12.5</v>
      </c>
      <c r="Z4">
        <v>6</v>
      </c>
      <c r="AA4">
        <v>4</v>
      </c>
      <c r="AB4">
        <v>15</v>
      </c>
      <c r="AC4">
        <v>10</v>
      </c>
      <c r="AD4">
        <v>10</v>
      </c>
    </row>
    <row r="5" spans="1:30" x14ac:dyDescent="0.3">
      <c r="A5" t="s">
        <v>166</v>
      </c>
      <c r="B5" t="s">
        <v>167</v>
      </c>
      <c r="C5" t="s">
        <v>178</v>
      </c>
      <c r="D5">
        <v>1999</v>
      </c>
      <c r="E5" t="s">
        <v>169</v>
      </c>
      <c r="G5" t="s">
        <v>169</v>
      </c>
      <c r="H5">
        <v>1</v>
      </c>
      <c r="I5" t="s">
        <v>170</v>
      </c>
      <c r="J5" s="1">
        <v>45800.45</v>
      </c>
      <c r="K5" t="s">
        <v>60</v>
      </c>
      <c r="L5" t="s">
        <v>171</v>
      </c>
      <c r="O5" t="s">
        <v>160</v>
      </c>
      <c r="Q5" t="s">
        <v>63</v>
      </c>
      <c r="R5" t="s">
        <v>172</v>
      </c>
      <c r="S5" t="s">
        <v>63</v>
      </c>
      <c r="T5" t="s">
        <v>62</v>
      </c>
      <c r="V5" t="s">
        <v>173</v>
      </c>
      <c r="W5" t="s">
        <v>173</v>
      </c>
      <c r="X5" t="s">
        <v>174</v>
      </c>
      <c r="Y5">
        <v>17.5</v>
      </c>
      <c r="Z5">
        <v>7</v>
      </c>
      <c r="AA5">
        <v>4</v>
      </c>
      <c r="AB5">
        <v>30</v>
      </c>
      <c r="AC5">
        <v>10</v>
      </c>
      <c r="AD5">
        <v>10</v>
      </c>
    </row>
    <row r="6" spans="1:30" x14ac:dyDescent="0.3">
      <c r="A6" t="s">
        <v>166</v>
      </c>
      <c r="B6" t="s">
        <v>167</v>
      </c>
      <c r="C6" t="s">
        <v>179</v>
      </c>
      <c r="D6">
        <v>1999</v>
      </c>
      <c r="E6" t="s">
        <v>169</v>
      </c>
      <c r="G6" t="s">
        <v>169</v>
      </c>
      <c r="H6">
        <v>1</v>
      </c>
      <c r="I6" t="s">
        <v>170</v>
      </c>
      <c r="J6" s="1">
        <v>45800.45</v>
      </c>
      <c r="K6" t="s">
        <v>60</v>
      </c>
      <c r="L6" t="s">
        <v>171</v>
      </c>
      <c r="O6" t="s">
        <v>160</v>
      </c>
      <c r="Q6" t="s">
        <v>63</v>
      </c>
      <c r="R6" t="s">
        <v>172</v>
      </c>
      <c r="S6" t="s">
        <v>63</v>
      </c>
      <c r="T6" t="s">
        <v>72</v>
      </c>
      <c r="V6" t="s">
        <v>173</v>
      </c>
      <c r="W6" t="s">
        <v>173</v>
      </c>
      <c r="X6" t="s">
        <v>174</v>
      </c>
      <c r="Y6">
        <v>22.5</v>
      </c>
      <c r="Z6">
        <v>9</v>
      </c>
      <c r="AA6">
        <v>4</v>
      </c>
      <c r="AB6">
        <v>30</v>
      </c>
      <c r="AC6">
        <v>10</v>
      </c>
      <c r="AD6">
        <v>10</v>
      </c>
    </row>
    <row r="7" spans="1:30" x14ac:dyDescent="0.3">
      <c r="A7" t="s">
        <v>166</v>
      </c>
      <c r="B7" t="s">
        <v>167</v>
      </c>
      <c r="C7" t="s">
        <v>180</v>
      </c>
      <c r="D7">
        <v>1999</v>
      </c>
      <c r="E7" t="s">
        <v>169</v>
      </c>
      <c r="G7" t="s">
        <v>169</v>
      </c>
      <c r="H7">
        <v>1</v>
      </c>
      <c r="I7" t="s">
        <v>170</v>
      </c>
      <c r="J7" s="1">
        <v>45800.45</v>
      </c>
      <c r="K7" t="s">
        <v>60</v>
      </c>
      <c r="L7" t="s">
        <v>171</v>
      </c>
      <c r="O7" t="s">
        <v>160</v>
      </c>
      <c r="Q7" t="s">
        <v>63</v>
      </c>
      <c r="R7" t="s">
        <v>177</v>
      </c>
      <c r="S7" t="s">
        <v>63</v>
      </c>
      <c r="T7" t="s">
        <v>78</v>
      </c>
      <c r="V7" t="s">
        <v>173</v>
      </c>
      <c r="W7" t="s">
        <v>173</v>
      </c>
      <c r="X7" t="s">
        <v>174</v>
      </c>
      <c r="Y7">
        <v>10</v>
      </c>
      <c r="Z7">
        <v>5</v>
      </c>
      <c r="AA7">
        <v>4</v>
      </c>
      <c r="AB7">
        <v>15</v>
      </c>
      <c r="AC7">
        <v>10</v>
      </c>
      <c r="AD7">
        <v>10</v>
      </c>
    </row>
    <row r="11" spans="1:30" x14ac:dyDescent="0.3">
      <c r="C11" t="s">
        <v>16</v>
      </c>
      <c r="D11" t="s">
        <v>19</v>
      </c>
      <c r="E11" t="s">
        <v>164</v>
      </c>
      <c r="F11" t="s">
        <v>32</v>
      </c>
      <c r="H11" s="2" t="s">
        <v>16</v>
      </c>
      <c r="I11" t="s">
        <v>181</v>
      </c>
      <c r="J11" t="s">
        <v>182</v>
      </c>
      <c r="L11" s="38" t="s">
        <v>16</v>
      </c>
      <c r="M11" s="38" t="s">
        <v>181</v>
      </c>
      <c r="N11" s="38" t="s">
        <v>182</v>
      </c>
      <c r="P11" t="s">
        <v>183</v>
      </c>
      <c r="Q11" t="s">
        <v>184</v>
      </c>
    </row>
    <row r="12" spans="1:30" x14ac:dyDescent="0.3">
      <c r="C12" t="s">
        <v>62</v>
      </c>
      <c r="D12" t="s">
        <v>160</v>
      </c>
      <c r="E12">
        <v>17.5</v>
      </c>
      <c r="F12">
        <v>30</v>
      </c>
      <c r="H12" s="7" t="s">
        <v>78</v>
      </c>
      <c r="I12" s="3">
        <v>11.25</v>
      </c>
      <c r="J12" s="3">
        <v>15</v>
      </c>
      <c r="L12" s="7" t="s">
        <v>78</v>
      </c>
      <c r="M12" s="3">
        <v>11.25</v>
      </c>
      <c r="N12" s="3">
        <v>15</v>
      </c>
      <c r="P12" s="3">
        <v>51.25</v>
      </c>
      <c r="Q12" s="3">
        <v>75</v>
      </c>
      <c r="S12">
        <f>P12/Q12*100</f>
        <v>68.333333333333329</v>
      </c>
    </row>
    <row r="13" spans="1:30" x14ac:dyDescent="0.3">
      <c r="C13" t="s">
        <v>72</v>
      </c>
      <c r="D13" t="s">
        <v>160</v>
      </c>
      <c r="E13">
        <v>22.5</v>
      </c>
      <c r="F13">
        <v>30</v>
      </c>
      <c r="H13" s="7" t="s">
        <v>62</v>
      </c>
      <c r="I13" s="3">
        <v>17.5</v>
      </c>
      <c r="J13" s="3">
        <v>30</v>
      </c>
      <c r="L13" s="7" t="s">
        <v>62</v>
      </c>
      <c r="M13" s="3">
        <v>17.5</v>
      </c>
      <c r="N13" s="3">
        <v>30</v>
      </c>
    </row>
    <row r="14" spans="1:30" x14ac:dyDescent="0.3">
      <c r="C14" t="s">
        <v>78</v>
      </c>
      <c r="D14" t="s">
        <v>160</v>
      </c>
      <c r="E14">
        <v>12.5</v>
      </c>
      <c r="F14">
        <v>15</v>
      </c>
      <c r="H14" s="7" t="s">
        <v>72</v>
      </c>
      <c r="I14" s="3">
        <v>22.5</v>
      </c>
      <c r="J14" s="3">
        <v>30</v>
      </c>
      <c r="L14" s="7" t="s">
        <v>72</v>
      </c>
      <c r="M14" s="3">
        <v>22.5</v>
      </c>
      <c r="N14" s="3">
        <v>30</v>
      </c>
    </row>
    <row r="15" spans="1:30" x14ac:dyDescent="0.3">
      <c r="C15" t="s">
        <v>62</v>
      </c>
      <c r="D15" t="s">
        <v>160</v>
      </c>
      <c r="E15">
        <v>17.5</v>
      </c>
      <c r="F15">
        <v>30</v>
      </c>
      <c r="H15" s="7" t="s">
        <v>92</v>
      </c>
      <c r="I15" s="3">
        <v>17.083333333333332</v>
      </c>
      <c r="J15" s="3">
        <v>25</v>
      </c>
    </row>
    <row r="16" spans="1:30" x14ac:dyDescent="0.3">
      <c r="C16" t="s">
        <v>72</v>
      </c>
      <c r="D16" t="s">
        <v>160</v>
      </c>
      <c r="E16">
        <v>22.5</v>
      </c>
      <c r="F16">
        <v>30</v>
      </c>
    </row>
    <row r="17" spans="1:30" x14ac:dyDescent="0.3">
      <c r="C17" t="s">
        <v>78</v>
      </c>
      <c r="D17" t="s">
        <v>160</v>
      </c>
      <c r="E17">
        <v>10</v>
      </c>
      <c r="F17">
        <v>15</v>
      </c>
    </row>
    <row r="21" spans="1:30" x14ac:dyDescent="0.3">
      <c r="A21" t="s">
        <v>162</v>
      </c>
      <c r="B21" t="s">
        <v>4</v>
      </c>
      <c r="C21" t="s">
        <v>0</v>
      </c>
      <c r="D21" t="s">
        <v>1</v>
      </c>
      <c r="E21" t="s">
        <v>5</v>
      </c>
      <c r="F21" t="s">
        <v>6</v>
      </c>
      <c r="G21" t="s">
        <v>7</v>
      </c>
      <c r="H21" t="s">
        <v>2</v>
      </c>
      <c r="I21" t="s">
        <v>8</v>
      </c>
      <c r="J21" t="s">
        <v>11</v>
      </c>
      <c r="K21" t="s">
        <v>12</v>
      </c>
      <c r="L21" t="s">
        <v>13</v>
      </c>
      <c r="M21" t="s">
        <v>14</v>
      </c>
      <c r="N21" t="s">
        <v>15</v>
      </c>
      <c r="O21" t="s">
        <v>19</v>
      </c>
      <c r="P21" t="s">
        <v>17</v>
      </c>
      <c r="Q21" t="s">
        <v>18</v>
      </c>
      <c r="R21" t="s">
        <v>20</v>
      </c>
      <c r="S21" t="s">
        <v>21</v>
      </c>
      <c r="T21" t="s">
        <v>16</v>
      </c>
      <c r="U21" t="s">
        <v>22</v>
      </c>
      <c r="V21" t="s">
        <v>24</v>
      </c>
      <c r="W21" t="s">
        <v>163</v>
      </c>
      <c r="X21" t="s">
        <v>25</v>
      </c>
      <c r="Y21" t="s">
        <v>164</v>
      </c>
      <c r="Z21" t="s">
        <v>27</v>
      </c>
      <c r="AA21" t="s">
        <v>28</v>
      </c>
      <c r="AB21" t="s">
        <v>32</v>
      </c>
      <c r="AC21" t="s">
        <v>36</v>
      </c>
      <c r="AD21" t="s">
        <v>165</v>
      </c>
    </row>
    <row r="22" spans="1:30" x14ac:dyDescent="0.3">
      <c r="A22" t="s">
        <v>166</v>
      </c>
      <c r="B22" t="s">
        <v>199</v>
      </c>
      <c r="C22" t="s">
        <v>200</v>
      </c>
      <c r="D22">
        <v>1998</v>
      </c>
      <c r="E22" t="s">
        <v>169</v>
      </c>
      <c r="G22" t="s">
        <v>169</v>
      </c>
      <c r="H22">
        <v>1</v>
      </c>
      <c r="I22" t="s">
        <v>170</v>
      </c>
      <c r="J22" s="1">
        <v>45800.55972222222</v>
      </c>
      <c r="K22" t="s">
        <v>60</v>
      </c>
      <c r="L22" t="s">
        <v>171</v>
      </c>
      <c r="O22" t="s">
        <v>160</v>
      </c>
      <c r="Q22" t="s">
        <v>63</v>
      </c>
      <c r="R22" t="s">
        <v>201</v>
      </c>
      <c r="S22" t="s">
        <v>63</v>
      </c>
      <c r="T22" t="s">
        <v>62</v>
      </c>
      <c r="V22" t="s">
        <v>173</v>
      </c>
      <c r="W22" t="s">
        <v>173</v>
      </c>
      <c r="X22" t="s">
        <v>174</v>
      </c>
      <c r="Y22">
        <v>20</v>
      </c>
      <c r="Z22">
        <v>8</v>
      </c>
      <c r="AA22">
        <v>4</v>
      </c>
      <c r="AB22">
        <v>30</v>
      </c>
      <c r="AC22">
        <v>10</v>
      </c>
      <c r="AD22">
        <v>10</v>
      </c>
    </row>
    <row r="23" spans="1:30" x14ac:dyDescent="0.3">
      <c r="A23" t="s">
        <v>166</v>
      </c>
      <c r="B23" t="s">
        <v>199</v>
      </c>
      <c r="C23" t="s">
        <v>202</v>
      </c>
      <c r="D23">
        <v>1998</v>
      </c>
      <c r="E23" t="s">
        <v>169</v>
      </c>
      <c r="G23" t="s">
        <v>169</v>
      </c>
      <c r="H23">
        <v>1</v>
      </c>
      <c r="I23" t="s">
        <v>170</v>
      </c>
      <c r="J23" s="1">
        <v>45800.55972222222</v>
      </c>
      <c r="K23" t="s">
        <v>60</v>
      </c>
      <c r="L23" t="s">
        <v>171</v>
      </c>
      <c r="O23" t="s">
        <v>160</v>
      </c>
      <c r="Q23" t="s">
        <v>63</v>
      </c>
      <c r="R23" t="s">
        <v>201</v>
      </c>
      <c r="S23" t="s">
        <v>63</v>
      </c>
      <c r="T23" t="s">
        <v>72</v>
      </c>
      <c r="V23" t="s">
        <v>173</v>
      </c>
      <c r="W23" t="s">
        <v>173</v>
      </c>
      <c r="X23" t="s">
        <v>174</v>
      </c>
      <c r="Y23">
        <v>12.5</v>
      </c>
      <c r="Z23">
        <v>5</v>
      </c>
      <c r="AA23">
        <v>4</v>
      </c>
      <c r="AB23">
        <v>30</v>
      </c>
      <c r="AC23">
        <v>10</v>
      </c>
      <c r="AD23">
        <v>10</v>
      </c>
    </row>
    <row r="24" spans="1:30" x14ac:dyDescent="0.3">
      <c r="A24" t="s">
        <v>166</v>
      </c>
      <c r="B24" t="s">
        <v>199</v>
      </c>
      <c r="C24" t="s">
        <v>203</v>
      </c>
      <c r="D24">
        <v>1998</v>
      </c>
      <c r="E24" t="s">
        <v>169</v>
      </c>
      <c r="G24" t="s">
        <v>169</v>
      </c>
      <c r="H24">
        <v>1</v>
      </c>
      <c r="I24" t="s">
        <v>170</v>
      </c>
      <c r="J24" s="1">
        <v>45800.55972222222</v>
      </c>
      <c r="K24" t="s">
        <v>60</v>
      </c>
      <c r="L24" t="s">
        <v>171</v>
      </c>
      <c r="O24" t="s">
        <v>160</v>
      </c>
      <c r="Q24" t="s">
        <v>63</v>
      </c>
      <c r="R24" t="s">
        <v>204</v>
      </c>
      <c r="S24" t="s">
        <v>63</v>
      </c>
      <c r="T24" t="s">
        <v>78</v>
      </c>
      <c r="V24" t="s">
        <v>173</v>
      </c>
      <c r="W24" t="s">
        <v>173</v>
      </c>
      <c r="X24" t="s">
        <v>174</v>
      </c>
      <c r="Y24">
        <v>7.5</v>
      </c>
      <c r="Z24">
        <v>4</v>
      </c>
      <c r="AA24">
        <v>4</v>
      </c>
      <c r="AB24">
        <v>15</v>
      </c>
      <c r="AC24">
        <v>10</v>
      </c>
      <c r="AD24">
        <v>10</v>
      </c>
    </row>
    <row r="25" spans="1:30" x14ac:dyDescent="0.3">
      <c r="A25" t="s">
        <v>166</v>
      </c>
      <c r="B25" t="s">
        <v>199</v>
      </c>
      <c r="C25" t="s">
        <v>205</v>
      </c>
      <c r="D25">
        <v>1998</v>
      </c>
      <c r="E25" t="s">
        <v>169</v>
      </c>
      <c r="G25" t="s">
        <v>169</v>
      </c>
      <c r="H25">
        <v>1</v>
      </c>
      <c r="I25" t="s">
        <v>170</v>
      </c>
      <c r="J25" s="1">
        <v>45800.55972222222</v>
      </c>
      <c r="K25" t="s">
        <v>60</v>
      </c>
      <c r="L25" t="s">
        <v>171</v>
      </c>
      <c r="O25" t="s">
        <v>160</v>
      </c>
      <c r="Q25" t="s">
        <v>63</v>
      </c>
      <c r="R25" t="s">
        <v>201</v>
      </c>
      <c r="S25" t="s">
        <v>63</v>
      </c>
      <c r="T25" t="s">
        <v>126</v>
      </c>
      <c r="V25" t="s">
        <v>173</v>
      </c>
      <c r="W25" t="s">
        <v>173</v>
      </c>
      <c r="X25" t="s">
        <v>174</v>
      </c>
      <c r="Y25">
        <v>10</v>
      </c>
      <c r="Z25">
        <v>4</v>
      </c>
      <c r="AA25">
        <v>4</v>
      </c>
      <c r="AB25">
        <v>25</v>
      </c>
      <c r="AC25">
        <v>15</v>
      </c>
      <c r="AD25">
        <v>15</v>
      </c>
    </row>
    <row r="26" spans="1:30" x14ac:dyDescent="0.3">
      <c r="A26" t="s">
        <v>166</v>
      </c>
      <c r="B26" t="s">
        <v>206</v>
      </c>
      <c r="C26" t="s">
        <v>207</v>
      </c>
      <c r="D26">
        <v>1998</v>
      </c>
      <c r="E26" t="s">
        <v>169</v>
      </c>
      <c r="G26" t="s">
        <v>169</v>
      </c>
      <c r="H26">
        <v>1</v>
      </c>
      <c r="I26" t="s">
        <v>170</v>
      </c>
      <c r="J26" s="1">
        <v>45800.558333333334</v>
      </c>
      <c r="K26" t="s">
        <v>60</v>
      </c>
      <c r="L26" t="s">
        <v>208</v>
      </c>
      <c r="O26" t="s">
        <v>209</v>
      </c>
      <c r="Q26" t="s">
        <v>63</v>
      </c>
      <c r="R26" t="s">
        <v>201</v>
      </c>
      <c r="S26" t="s">
        <v>63</v>
      </c>
      <c r="T26" t="s">
        <v>62</v>
      </c>
      <c r="V26" t="s">
        <v>173</v>
      </c>
      <c r="W26" t="s">
        <v>173</v>
      </c>
      <c r="X26" t="s">
        <v>174</v>
      </c>
      <c r="Y26">
        <v>20</v>
      </c>
      <c r="Z26">
        <v>8</v>
      </c>
      <c r="AA26">
        <v>4</v>
      </c>
      <c r="AB26">
        <v>30</v>
      </c>
      <c r="AC26">
        <v>10</v>
      </c>
      <c r="AD26">
        <v>10</v>
      </c>
    </row>
    <row r="27" spans="1:30" x14ac:dyDescent="0.3">
      <c r="A27" t="s">
        <v>166</v>
      </c>
      <c r="B27" t="s">
        <v>206</v>
      </c>
      <c r="C27" t="s">
        <v>210</v>
      </c>
      <c r="D27">
        <v>1998</v>
      </c>
      <c r="E27" t="s">
        <v>169</v>
      </c>
      <c r="G27" t="s">
        <v>169</v>
      </c>
      <c r="H27">
        <v>1</v>
      </c>
      <c r="I27" t="s">
        <v>170</v>
      </c>
      <c r="J27" s="1">
        <v>45800.558333333334</v>
      </c>
      <c r="K27" t="s">
        <v>60</v>
      </c>
      <c r="L27" t="s">
        <v>208</v>
      </c>
      <c r="O27" t="s">
        <v>209</v>
      </c>
      <c r="Q27" t="s">
        <v>63</v>
      </c>
      <c r="R27" t="s">
        <v>201</v>
      </c>
      <c r="S27" t="s">
        <v>63</v>
      </c>
      <c r="T27" t="s">
        <v>72</v>
      </c>
      <c r="V27" t="s">
        <v>173</v>
      </c>
      <c r="W27" t="s">
        <v>173</v>
      </c>
      <c r="X27" t="s">
        <v>174</v>
      </c>
      <c r="Y27">
        <v>25</v>
      </c>
      <c r="Z27">
        <v>10</v>
      </c>
      <c r="AA27">
        <v>4</v>
      </c>
      <c r="AB27">
        <v>30</v>
      </c>
      <c r="AC27">
        <v>10</v>
      </c>
      <c r="AD27">
        <v>10</v>
      </c>
    </row>
    <row r="28" spans="1:30" x14ac:dyDescent="0.3">
      <c r="A28" t="s">
        <v>166</v>
      </c>
      <c r="B28" t="s">
        <v>206</v>
      </c>
      <c r="C28" t="s">
        <v>211</v>
      </c>
      <c r="D28">
        <v>1998</v>
      </c>
      <c r="E28" t="s">
        <v>169</v>
      </c>
      <c r="G28" t="s">
        <v>169</v>
      </c>
      <c r="H28">
        <v>1</v>
      </c>
      <c r="I28" t="s">
        <v>170</v>
      </c>
      <c r="J28" s="1">
        <v>45800.558333333334</v>
      </c>
      <c r="K28" t="s">
        <v>60</v>
      </c>
      <c r="L28" t="s">
        <v>208</v>
      </c>
      <c r="O28" t="s">
        <v>209</v>
      </c>
      <c r="Q28" t="s">
        <v>63</v>
      </c>
      <c r="R28" t="s">
        <v>204</v>
      </c>
      <c r="S28" t="s">
        <v>63</v>
      </c>
      <c r="T28" t="s">
        <v>78</v>
      </c>
      <c r="V28" t="s">
        <v>173</v>
      </c>
      <c r="W28" t="s">
        <v>173</v>
      </c>
      <c r="X28" t="s">
        <v>174</v>
      </c>
      <c r="Y28">
        <v>15</v>
      </c>
      <c r="Z28">
        <v>8</v>
      </c>
      <c r="AA28">
        <v>4</v>
      </c>
      <c r="AB28">
        <v>15</v>
      </c>
      <c r="AC28">
        <v>10</v>
      </c>
      <c r="AD28">
        <v>10</v>
      </c>
    </row>
    <row r="29" spans="1:30" x14ac:dyDescent="0.3">
      <c r="A29" t="s">
        <v>166</v>
      </c>
      <c r="B29" t="s">
        <v>206</v>
      </c>
      <c r="C29" t="s">
        <v>212</v>
      </c>
      <c r="D29">
        <v>1998</v>
      </c>
      <c r="E29" t="s">
        <v>169</v>
      </c>
      <c r="G29" t="s">
        <v>169</v>
      </c>
      <c r="H29">
        <v>1</v>
      </c>
      <c r="I29" t="s">
        <v>170</v>
      </c>
      <c r="J29" s="1">
        <v>45800.559027777781</v>
      </c>
      <c r="K29" t="s">
        <v>60</v>
      </c>
      <c r="L29" t="s">
        <v>208</v>
      </c>
      <c r="O29" t="s">
        <v>209</v>
      </c>
      <c r="Q29" t="s">
        <v>63</v>
      </c>
      <c r="R29" t="s">
        <v>201</v>
      </c>
      <c r="S29" t="s">
        <v>63</v>
      </c>
      <c r="T29" t="s">
        <v>62</v>
      </c>
      <c r="V29" t="s">
        <v>173</v>
      </c>
      <c r="W29" t="s">
        <v>173</v>
      </c>
      <c r="X29" t="s">
        <v>174</v>
      </c>
      <c r="Y29">
        <v>12.5</v>
      </c>
      <c r="Z29">
        <v>5</v>
      </c>
      <c r="AA29">
        <v>4</v>
      </c>
      <c r="AB29">
        <v>30</v>
      </c>
      <c r="AC29">
        <v>10</v>
      </c>
      <c r="AD29">
        <v>10</v>
      </c>
    </row>
    <row r="30" spans="1:30" x14ac:dyDescent="0.3">
      <c r="A30" t="s">
        <v>166</v>
      </c>
      <c r="B30" t="s">
        <v>206</v>
      </c>
      <c r="C30" t="s">
        <v>213</v>
      </c>
      <c r="D30">
        <v>1998</v>
      </c>
      <c r="E30" t="s">
        <v>169</v>
      </c>
      <c r="G30" t="s">
        <v>169</v>
      </c>
      <c r="H30">
        <v>1</v>
      </c>
      <c r="I30" t="s">
        <v>170</v>
      </c>
      <c r="J30" s="1">
        <v>45800.559027777781</v>
      </c>
      <c r="K30" t="s">
        <v>60</v>
      </c>
      <c r="L30" t="s">
        <v>208</v>
      </c>
      <c r="O30" t="s">
        <v>209</v>
      </c>
      <c r="Q30" t="s">
        <v>63</v>
      </c>
      <c r="R30" t="s">
        <v>201</v>
      </c>
      <c r="S30" t="s">
        <v>63</v>
      </c>
      <c r="T30" t="s">
        <v>72</v>
      </c>
      <c r="V30" t="s">
        <v>173</v>
      </c>
      <c r="W30" t="s">
        <v>173</v>
      </c>
      <c r="X30" t="s">
        <v>174</v>
      </c>
      <c r="Y30">
        <v>17.5</v>
      </c>
      <c r="Z30">
        <v>7</v>
      </c>
      <c r="AA30">
        <v>4</v>
      </c>
      <c r="AB30">
        <v>30</v>
      </c>
      <c r="AC30">
        <v>10</v>
      </c>
      <c r="AD30">
        <v>10</v>
      </c>
    </row>
    <row r="31" spans="1:30" x14ac:dyDescent="0.3">
      <c r="A31" t="s">
        <v>166</v>
      </c>
      <c r="B31" t="s">
        <v>206</v>
      </c>
      <c r="C31" t="s">
        <v>214</v>
      </c>
      <c r="D31">
        <v>1998</v>
      </c>
      <c r="E31" t="s">
        <v>169</v>
      </c>
      <c r="G31" t="s">
        <v>169</v>
      </c>
      <c r="H31">
        <v>1</v>
      </c>
      <c r="I31" t="s">
        <v>170</v>
      </c>
      <c r="J31" s="1">
        <v>45800.559027777781</v>
      </c>
      <c r="K31" t="s">
        <v>60</v>
      </c>
      <c r="L31" t="s">
        <v>208</v>
      </c>
      <c r="O31" t="s">
        <v>209</v>
      </c>
      <c r="Q31" t="s">
        <v>63</v>
      </c>
      <c r="R31" t="s">
        <v>204</v>
      </c>
      <c r="S31" t="s">
        <v>63</v>
      </c>
      <c r="T31" t="s">
        <v>78</v>
      </c>
      <c r="V31" t="s">
        <v>173</v>
      </c>
      <c r="W31" t="s">
        <v>173</v>
      </c>
      <c r="X31" t="s">
        <v>174</v>
      </c>
      <c r="Y31">
        <v>5</v>
      </c>
      <c r="Z31">
        <v>3</v>
      </c>
      <c r="AA31">
        <v>4</v>
      </c>
      <c r="AB31">
        <v>15</v>
      </c>
      <c r="AC31">
        <v>10</v>
      </c>
      <c r="AD31">
        <v>10</v>
      </c>
    </row>
    <row r="32" spans="1:30" x14ac:dyDescent="0.3">
      <c r="A32" t="s">
        <v>166</v>
      </c>
      <c r="B32" t="s">
        <v>206</v>
      </c>
      <c r="C32" t="s">
        <v>215</v>
      </c>
      <c r="D32">
        <v>1998</v>
      </c>
      <c r="E32" t="s">
        <v>169</v>
      </c>
      <c r="G32" t="s">
        <v>169</v>
      </c>
      <c r="H32">
        <v>1</v>
      </c>
      <c r="I32" t="s">
        <v>170</v>
      </c>
      <c r="J32" s="1">
        <v>45804.646527777775</v>
      </c>
      <c r="K32" t="s">
        <v>216</v>
      </c>
      <c r="L32" t="s">
        <v>208</v>
      </c>
      <c r="O32" t="s">
        <v>209</v>
      </c>
      <c r="Q32" t="s">
        <v>63</v>
      </c>
      <c r="R32" t="s">
        <v>217</v>
      </c>
      <c r="S32" t="s">
        <v>63</v>
      </c>
      <c r="T32" t="s">
        <v>62</v>
      </c>
      <c r="V32" t="s">
        <v>173</v>
      </c>
      <c r="W32" t="s">
        <v>173</v>
      </c>
      <c r="X32" t="s">
        <v>174</v>
      </c>
      <c r="Y32">
        <v>25</v>
      </c>
      <c r="Z32">
        <v>10</v>
      </c>
      <c r="AA32">
        <v>4</v>
      </c>
      <c r="AB32">
        <v>30</v>
      </c>
      <c r="AC32">
        <v>10</v>
      </c>
      <c r="AD32">
        <v>10</v>
      </c>
    </row>
    <row r="33" spans="1:30" x14ac:dyDescent="0.3">
      <c r="A33" t="s">
        <v>166</v>
      </c>
      <c r="B33" t="s">
        <v>206</v>
      </c>
      <c r="C33" t="s">
        <v>218</v>
      </c>
      <c r="D33">
        <v>1998</v>
      </c>
      <c r="E33" t="s">
        <v>169</v>
      </c>
      <c r="G33" t="s">
        <v>169</v>
      </c>
      <c r="H33">
        <v>1</v>
      </c>
      <c r="I33" t="s">
        <v>170</v>
      </c>
      <c r="J33" s="1">
        <v>45804.646527777775</v>
      </c>
      <c r="K33" t="s">
        <v>216</v>
      </c>
      <c r="L33" t="s">
        <v>208</v>
      </c>
      <c r="O33" t="s">
        <v>209</v>
      </c>
      <c r="Q33" t="s">
        <v>63</v>
      </c>
      <c r="R33" t="s">
        <v>217</v>
      </c>
      <c r="S33" t="s">
        <v>63</v>
      </c>
      <c r="T33" t="s">
        <v>72</v>
      </c>
      <c r="V33" t="s">
        <v>173</v>
      </c>
      <c r="W33" t="s">
        <v>173</v>
      </c>
      <c r="X33" t="s">
        <v>174</v>
      </c>
      <c r="Y33">
        <v>15</v>
      </c>
      <c r="Z33">
        <v>6</v>
      </c>
      <c r="AA33">
        <v>4</v>
      </c>
      <c r="AB33">
        <v>30</v>
      </c>
      <c r="AC33">
        <v>10</v>
      </c>
      <c r="AD33">
        <v>10</v>
      </c>
    </row>
    <row r="34" spans="1:30" x14ac:dyDescent="0.3">
      <c r="A34" t="s">
        <v>166</v>
      </c>
      <c r="B34" t="s">
        <v>206</v>
      </c>
      <c r="C34" t="s">
        <v>219</v>
      </c>
      <c r="D34">
        <v>1998</v>
      </c>
      <c r="E34" t="s">
        <v>169</v>
      </c>
      <c r="G34" t="s">
        <v>169</v>
      </c>
      <c r="H34">
        <v>1</v>
      </c>
      <c r="I34" t="s">
        <v>170</v>
      </c>
      <c r="J34" s="1">
        <v>45804.646527777775</v>
      </c>
      <c r="K34" t="s">
        <v>216</v>
      </c>
      <c r="L34" t="s">
        <v>208</v>
      </c>
      <c r="O34" t="s">
        <v>209</v>
      </c>
      <c r="Q34" t="s">
        <v>63</v>
      </c>
      <c r="R34" t="s">
        <v>220</v>
      </c>
      <c r="S34" t="s">
        <v>63</v>
      </c>
      <c r="T34" t="s">
        <v>78</v>
      </c>
      <c r="V34" t="s">
        <v>173</v>
      </c>
      <c r="W34" t="s">
        <v>173</v>
      </c>
      <c r="X34" t="s">
        <v>174</v>
      </c>
      <c r="Y34">
        <v>7.5</v>
      </c>
      <c r="Z34">
        <v>4</v>
      </c>
      <c r="AA34">
        <v>4</v>
      </c>
      <c r="AB34">
        <v>15</v>
      </c>
      <c r="AC34">
        <v>10</v>
      </c>
      <c r="AD34">
        <v>10</v>
      </c>
    </row>
    <row r="35" spans="1:30" x14ac:dyDescent="0.3">
      <c r="A35" t="s">
        <v>166</v>
      </c>
      <c r="B35" t="s">
        <v>206</v>
      </c>
      <c r="C35" t="s">
        <v>221</v>
      </c>
      <c r="D35">
        <v>1998</v>
      </c>
      <c r="E35" t="s">
        <v>169</v>
      </c>
      <c r="G35" t="s">
        <v>169</v>
      </c>
      <c r="H35">
        <v>1</v>
      </c>
      <c r="I35" t="s">
        <v>170</v>
      </c>
      <c r="J35" s="1">
        <v>45804.646527777775</v>
      </c>
      <c r="K35" t="s">
        <v>216</v>
      </c>
      <c r="L35" t="s">
        <v>208</v>
      </c>
      <c r="O35" t="s">
        <v>209</v>
      </c>
      <c r="Q35" t="s">
        <v>63</v>
      </c>
      <c r="R35" t="s">
        <v>222</v>
      </c>
      <c r="S35" t="s">
        <v>63</v>
      </c>
      <c r="T35" t="s">
        <v>126</v>
      </c>
      <c r="V35" t="s">
        <v>173</v>
      </c>
      <c r="W35" t="s">
        <v>173</v>
      </c>
      <c r="X35" t="s">
        <v>174</v>
      </c>
      <c r="Y35">
        <v>5</v>
      </c>
      <c r="Z35">
        <v>4</v>
      </c>
      <c r="AA35">
        <v>4</v>
      </c>
      <c r="AB35">
        <v>5</v>
      </c>
      <c r="AC35">
        <v>5</v>
      </c>
      <c r="AD35">
        <v>5</v>
      </c>
    </row>
    <row r="40" spans="1:30" x14ac:dyDescent="0.3">
      <c r="C40" t="s">
        <v>16</v>
      </c>
      <c r="D40" t="s">
        <v>19</v>
      </c>
      <c r="E40" t="s">
        <v>164</v>
      </c>
      <c r="F40" t="s">
        <v>32</v>
      </c>
      <c r="H40" s="2" t="s">
        <v>16</v>
      </c>
      <c r="I40" t="s">
        <v>181</v>
      </c>
      <c r="J40" t="s">
        <v>182</v>
      </c>
      <c r="L40" s="38" t="s">
        <v>16</v>
      </c>
      <c r="M40" s="38" t="s">
        <v>181</v>
      </c>
      <c r="N40" s="38" t="s">
        <v>182</v>
      </c>
      <c r="P40" t="s">
        <v>183</v>
      </c>
      <c r="Q40" t="s">
        <v>184</v>
      </c>
    </row>
    <row r="41" spans="1:30" x14ac:dyDescent="0.3">
      <c r="C41" t="s">
        <v>62</v>
      </c>
      <c r="D41" t="s">
        <v>160</v>
      </c>
      <c r="E41">
        <v>20</v>
      </c>
      <c r="F41">
        <v>30</v>
      </c>
      <c r="H41" s="7" t="s">
        <v>78</v>
      </c>
      <c r="I41" s="3">
        <v>8.75</v>
      </c>
      <c r="J41" s="3">
        <v>15</v>
      </c>
      <c r="L41" s="7" t="s">
        <v>78</v>
      </c>
      <c r="M41" s="3">
        <v>8.75</v>
      </c>
      <c r="N41" s="3">
        <v>15</v>
      </c>
      <c r="P41" s="3">
        <v>53.125</v>
      </c>
      <c r="Q41" s="3">
        <v>90</v>
      </c>
      <c r="S41">
        <f>P41/Q41*100</f>
        <v>59.027777777777779</v>
      </c>
    </row>
    <row r="42" spans="1:30" x14ac:dyDescent="0.3">
      <c r="C42" t="s">
        <v>72</v>
      </c>
      <c r="D42" t="s">
        <v>160</v>
      </c>
      <c r="E42">
        <v>12.5</v>
      </c>
      <c r="F42">
        <v>30</v>
      </c>
      <c r="H42" s="7" t="s">
        <v>62</v>
      </c>
      <c r="I42" s="3">
        <v>19.375</v>
      </c>
      <c r="J42" s="3">
        <v>30</v>
      </c>
      <c r="L42" s="7" t="s">
        <v>62</v>
      </c>
      <c r="M42" s="3">
        <v>19.375</v>
      </c>
      <c r="N42" s="3">
        <v>30</v>
      </c>
    </row>
    <row r="43" spans="1:30" x14ac:dyDescent="0.3">
      <c r="C43" t="s">
        <v>78</v>
      </c>
      <c r="D43" t="s">
        <v>160</v>
      </c>
      <c r="E43">
        <v>7.5</v>
      </c>
      <c r="F43">
        <v>15</v>
      </c>
      <c r="H43" s="7" t="s">
        <v>72</v>
      </c>
      <c r="I43" s="3">
        <v>17.5</v>
      </c>
      <c r="J43" s="3">
        <v>30</v>
      </c>
      <c r="L43" s="7" t="s">
        <v>72</v>
      </c>
      <c r="M43" s="3">
        <v>17.5</v>
      </c>
      <c r="N43" s="3">
        <v>30</v>
      </c>
    </row>
    <row r="44" spans="1:30" x14ac:dyDescent="0.3">
      <c r="C44" t="s">
        <v>126</v>
      </c>
      <c r="D44" t="s">
        <v>160</v>
      </c>
      <c r="E44">
        <v>10</v>
      </c>
      <c r="F44">
        <v>25</v>
      </c>
      <c r="H44" s="7" t="s">
        <v>126</v>
      </c>
      <c r="I44" s="3">
        <v>7.5</v>
      </c>
      <c r="J44" s="3">
        <v>15</v>
      </c>
      <c r="L44" s="7" t="s">
        <v>126</v>
      </c>
      <c r="M44" s="3">
        <v>7.5</v>
      </c>
      <c r="N44" s="3">
        <v>15</v>
      </c>
    </row>
    <row r="45" spans="1:30" x14ac:dyDescent="0.3">
      <c r="C45" t="s">
        <v>62</v>
      </c>
      <c r="D45" t="s">
        <v>209</v>
      </c>
      <c r="E45">
        <v>20</v>
      </c>
      <c r="F45">
        <v>30</v>
      </c>
      <c r="H45" s="7" t="s">
        <v>92</v>
      </c>
      <c r="I45" s="3">
        <v>14.107142857142858</v>
      </c>
      <c r="J45" s="3">
        <v>23.571428571428573</v>
      </c>
    </row>
    <row r="46" spans="1:30" x14ac:dyDescent="0.3">
      <c r="C46" t="s">
        <v>72</v>
      </c>
      <c r="D46" t="s">
        <v>209</v>
      </c>
      <c r="E46">
        <v>25</v>
      </c>
      <c r="F46">
        <v>30</v>
      </c>
    </row>
    <row r="47" spans="1:30" x14ac:dyDescent="0.3">
      <c r="C47" t="s">
        <v>78</v>
      </c>
      <c r="D47" t="s">
        <v>209</v>
      </c>
      <c r="E47">
        <v>15</v>
      </c>
      <c r="F47">
        <v>15</v>
      </c>
    </row>
    <row r="48" spans="1:30" x14ac:dyDescent="0.3">
      <c r="C48" t="s">
        <v>62</v>
      </c>
      <c r="D48" t="s">
        <v>209</v>
      </c>
      <c r="E48">
        <v>12.5</v>
      </c>
      <c r="F48">
        <v>30</v>
      </c>
    </row>
    <row r="49" spans="3:6" x14ac:dyDescent="0.3">
      <c r="C49" t="s">
        <v>72</v>
      </c>
      <c r="D49" t="s">
        <v>209</v>
      </c>
      <c r="E49">
        <v>17.5</v>
      </c>
      <c r="F49">
        <v>30</v>
      </c>
    </row>
    <row r="50" spans="3:6" x14ac:dyDescent="0.3">
      <c r="C50" t="s">
        <v>78</v>
      </c>
      <c r="D50" t="s">
        <v>209</v>
      </c>
      <c r="E50">
        <v>5</v>
      </c>
      <c r="F50">
        <v>15</v>
      </c>
    </row>
    <row r="51" spans="3:6" x14ac:dyDescent="0.3">
      <c r="C51" t="s">
        <v>62</v>
      </c>
      <c r="D51" t="s">
        <v>209</v>
      </c>
      <c r="E51">
        <v>25</v>
      </c>
      <c r="F51">
        <v>30</v>
      </c>
    </row>
    <row r="52" spans="3:6" x14ac:dyDescent="0.3">
      <c r="C52" t="s">
        <v>72</v>
      </c>
      <c r="D52" t="s">
        <v>209</v>
      </c>
      <c r="E52">
        <v>15</v>
      </c>
      <c r="F52">
        <v>30</v>
      </c>
    </row>
    <row r="53" spans="3:6" x14ac:dyDescent="0.3">
      <c r="C53" t="s">
        <v>78</v>
      </c>
      <c r="D53" t="s">
        <v>209</v>
      </c>
      <c r="E53">
        <v>7.5</v>
      </c>
      <c r="F53">
        <v>15</v>
      </c>
    </row>
    <row r="54" spans="3:6" x14ac:dyDescent="0.3">
      <c r="C54" t="s">
        <v>126</v>
      </c>
      <c r="D54" t="s">
        <v>209</v>
      </c>
      <c r="E54">
        <v>5</v>
      </c>
      <c r="F5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E660-B230-4499-97A8-64988539E1D7}">
  <sheetPr codeName="Sheet3">
    <tabColor rgb="FFC00000"/>
  </sheetPr>
  <dimension ref="A1:BD125"/>
  <sheetViews>
    <sheetView tabSelected="1" topLeftCell="Y1" zoomScale="85" zoomScaleNormal="85" workbookViewId="0">
      <selection activeCell="AM21" sqref="AM21"/>
    </sheetView>
  </sheetViews>
  <sheetFormatPr defaultRowHeight="14" x14ac:dyDescent="0.3"/>
  <cols>
    <col min="1" max="1" width="18.83203125" customWidth="1"/>
    <col min="2" max="2" width="16.08203125" customWidth="1"/>
    <col min="3" max="3" width="9.75" style="39" customWidth="1"/>
    <col min="6" max="6" width="23.33203125" bestFit="1" customWidth="1"/>
    <col min="7" max="7" width="11.6640625" customWidth="1"/>
    <col min="8" max="8" width="8.5" customWidth="1"/>
    <col min="30" max="30" width="26.25" bestFit="1" customWidth="1"/>
    <col min="31" max="31" width="8.5" bestFit="1" customWidth="1"/>
    <col min="32" max="39" width="7" bestFit="1" customWidth="1"/>
    <col min="40" max="41" width="7.08203125" bestFit="1" customWidth="1"/>
    <col min="42" max="51" width="7" bestFit="1" customWidth="1"/>
    <col min="52" max="52" width="8.9140625" bestFit="1" customWidth="1"/>
    <col min="53" max="53" width="15.08203125" bestFit="1" customWidth="1"/>
  </cols>
  <sheetData>
    <row r="1" spans="1:56" x14ac:dyDescent="0.3">
      <c r="A1" t="s">
        <v>105</v>
      </c>
    </row>
    <row r="3" spans="1:56" x14ac:dyDescent="0.3">
      <c r="A3" t="s">
        <v>158</v>
      </c>
      <c r="G3" s="32" t="s">
        <v>62</v>
      </c>
      <c r="H3" s="32" t="s">
        <v>62</v>
      </c>
      <c r="I3" s="32" t="s">
        <v>62</v>
      </c>
      <c r="J3" s="31" t="s">
        <v>72</v>
      </c>
      <c r="K3" s="31" t="s">
        <v>72</v>
      </c>
      <c r="L3" s="31" t="s">
        <v>72</v>
      </c>
      <c r="M3" s="30" t="s">
        <v>78</v>
      </c>
      <c r="N3" s="30" t="s">
        <v>78</v>
      </c>
      <c r="O3" s="29" t="s">
        <v>126</v>
      </c>
      <c r="P3" s="29" t="s">
        <v>126</v>
      </c>
      <c r="Q3" s="29" t="s">
        <v>126</v>
      </c>
      <c r="R3" s="32" t="s">
        <v>62</v>
      </c>
      <c r="S3" s="32" t="s">
        <v>62</v>
      </c>
      <c r="T3" s="32" t="s">
        <v>62</v>
      </c>
      <c r="U3" s="31" t="s">
        <v>72</v>
      </c>
      <c r="V3" s="31" t="s">
        <v>72</v>
      </c>
      <c r="W3" s="31" t="s">
        <v>72</v>
      </c>
      <c r="X3" s="30" t="s">
        <v>78</v>
      </c>
      <c r="Y3" s="30" t="s">
        <v>78</v>
      </c>
      <c r="Z3" s="29" t="s">
        <v>126</v>
      </c>
      <c r="AA3" s="29" t="s">
        <v>126</v>
      </c>
      <c r="AB3" s="29" t="s">
        <v>126</v>
      </c>
      <c r="AE3" s="32" t="s">
        <v>62</v>
      </c>
      <c r="AF3" s="32" t="s">
        <v>62</v>
      </c>
      <c r="AG3" s="32" t="s">
        <v>62</v>
      </c>
      <c r="AH3" s="31" t="s">
        <v>72</v>
      </c>
      <c r="AI3" s="31" t="s">
        <v>72</v>
      </c>
      <c r="AJ3" s="31" t="s">
        <v>72</v>
      </c>
      <c r="AK3" s="30" t="s">
        <v>78</v>
      </c>
      <c r="AL3" s="30" t="s">
        <v>78</v>
      </c>
      <c r="AM3" s="29" t="s">
        <v>126</v>
      </c>
      <c r="AN3" s="29" t="s">
        <v>126</v>
      </c>
      <c r="AO3" s="29" t="s">
        <v>126</v>
      </c>
      <c r="AP3" s="32" t="s">
        <v>62</v>
      </c>
      <c r="AQ3" s="32" t="s">
        <v>62</v>
      </c>
      <c r="AR3" s="32" t="s">
        <v>62</v>
      </c>
      <c r="AS3" s="31" t="s">
        <v>72</v>
      </c>
      <c r="AT3" s="31" t="s">
        <v>72</v>
      </c>
      <c r="AU3" s="31" t="s">
        <v>72</v>
      </c>
      <c r="AV3" s="30" t="s">
        <v>78</v>
      </c>
      <c r="AW3" s="30" t="s">
        <v>78</v>
      </c>
      <c r="AX3" s="29" t="s">
        <v>126</v>
      </c>
      <c r="AY3" s="29" t="s">
        <v>126</v>
      </c>
      <c r="AZ3" s="29" t="s">
        <v>126</v>
      </c>
    </row>
    <row r="4" spans="1:56" x14ac:dyDescent="0.3">
      <c r="E4" t="s">
        <v>129</v>
      </c>
      <c r="G4" s="9"/>
      <c r="H4" s="9"/>
      <c r="I4" s="9"/>
      <c r="J4" s="9"/>
      <c r="K4" s="9"/>
      <c r="L4" s="9"/>
      <c r="M4" s="9"/>
      <c r="N4" s="9"/>
      <c r="O4" s="10"/>
      <c r="P4" s="10"/>
      <c r="Q4" s="10"/>
      <c r="R4" s="9"/>
      <c r="S4" s="9"/>
      <c r="T4" s="9"/>
      <c r="U4" s="9"/>
      <c r="V4" s="9"/>
      <c r="W4" s="9"/>
      <c r="X4" s="9"/>
      <c r="Y4" s="9"/>
      <c r="Z4" s="10"/>
      <c r="AA4" s="10"/>
      <c r="AB4" s="10"/>
    </row>
    <row r="5" spans="1:56" ht="14.5" thickBot="1" x14ac:dyDescent="0.35">
      <c r="G5" s="11">
        <v>10</v>
      </c>
      <c r="H5" s="11">
        <v>10</v>
      </c>
      <c r="I5" s="11">
        <v>10</v>
      </c>
      <c r="J5" s="11">
        <v>10</v>
      </c>
      <c r="K5" s="11">
        <v>10</v>
      </c>
      <c r="L5" s="11">
        <v>10</v>
      </c>
      <c r="M5" s="11">
        <v>10</v>
      </c>
      <c r="N5" s="11">
        <v>5</v>
      </c>
      <c r="O5" s="11">
        <v>5</v>
      </c>
      <c r="P5" s="11">
        <v>5</v>
      </c>
      <c r="Q5" s="11">
        <v>15</v>
      </c>
      <c r="R5" s="11">
        <v>10</v>
      </c>
      <c r="S5" s="11">
        <v>10</v>
      </c>
      <c r="T5" s="11">
        <v>10</v>
      </c>
      <c r="U5" s="11">
        <v>10</v>
      </c>
      <c r="V5" s="11">
        <v>10</v>
      </c>
      <c r="W5" s="11">
        <v>10</v>
      </c>
      <c r="X5" s="11">
        <v>10</v>
      </c>
      <c r="Y5" s="11">
        <v>5</v>
      </c>
      <c r="Z5" s="11">
        <v>5</v>
      </c>
      <c r="AA5" s="11">
        <v>5</v>
      </c>
      <c r="AB5" s="11">
        <v>15</v>
      </c>
      <c r="AE5" s="11">
        <v>10</v>
      </c>
      <c r="AF5" s="11">
        <v>10</v>
      </c>
      <c r="AG5" s="11">
        <v>10</v>
      </c>
      <c r="AH5" s="11">
        <v>10</v>
      </c>
      <c r="AI5" s="11">
        <v>10</v>
      </c>
      <c r="AJ5" s="11">
        <v>10</v>
      </c>
      <c r="AK5" s="11">
        <v>10</v>
      </c>
      <c r="AL5" s="11">
        <v>5</v>
      </c>
      <c r="AM5" s="11">
        <v>5</v>
      </c>
      <c r="AN5" s="11">
        <v>5</v>
      </c>
      <c r="AO5" s="11">
        <v>15</v>
      </c>
      <c r="AP5" s="11">
        <v>10</v>
      </c>
      <c r="AQ5" s="11">
        <v>10</v>
      </c>
      <c r="AR5" s="11">
        <v>10</v>
      </c>
      <c r="AS5" s="11">
        <v>10</v>
      </c>
      <c r="AT5" s="11">
        <v>10</v>
      </c>
      <c r="AU5" s="11">
        <v>10</v>
      </c>
      <c r="AV5" s="11">
        <v>10</v>
      </c>
      <c r="AW5" s="11">
        <v>5</v>
      </c>
      <c r="AX5" s="11">
        <v>5</v>
      </c>
      <c r="AY5" s="11">
        <v>5</v>
      </c>
      <c r="AZ5" s="11">
        <v>15</v>
      </c>
      <c r="BA5" s="11"/>
    </row>
    <row r="6" spans="1:56" ht="14.5" thickBot="1" x14ac:dyDescent="0.35">
      <c r="E6" s="36" t="s">
        <v>106</v>
      </c>
      <c r="F6" s="37" t="s">
        <v>107</v>
      </c>
      <c r="G6" s="26" t="s">
        <v>108</v>
      </c>
      <c r="H6" s="12" t="s">
        <v>109</v>
      </c>
      <c r="I6" s="12" t="s">
        <v>110</v>
      </c>
      <c r="J6" s="12" t="s">
        <v>111</v>
      </c>
      <c r="K6" s="12" t="s">
        <v>112</v>
      </c>
      <c r="L6" s="12" t="s">
        <v>113</v>
      </c>
      <c r="M6" s="12" t="s">
        <v>114</v>
      </c>
      <c r="N6" s="12" t="s">
        <v>115</v>
      </c>
      <c r="O6" s="13" t="s">
        <v>116</v>
      </c>
      <c r="P6" s="13" t="s">
        <v>127</v>
      </c>
      <c r="Q6" s="27" t="s">
        <v>128</v>
      </c>
      <c r="R6" s="33" t="s">
        <v>117</v>
      </c>
      <c r="S6" s="14" t="s">
        <v>118</v>
      </c>
      <c r="T6" s="14" t="s">
        <v>119</v>
      </c>
      <c r="U6" s="14" t="s">
        <v>120</v>
      </c>
      <c r="V6" s="14" t="s">
        <v>121</v>
      </c>
      <c r="W6" s="14" t="s">
        <v>122</v>
      </c>
      <c r="X6" s="14" t="s">
        <v>123</v>
      </c>
      <c r="Y6" s="14" t="s">
        <v>124</v>
      </c>
      <c r="Z6" s="34" t="s">
        <v>125</v>
      </c>
      <c r="AA6" s="34" t="s">
        <v>151</v>
      </c>
      <c r="AB6" s="35" t="s">
        <v>152</v>
      </c>
      <c r="AD6" s="25" t="s">
        <v>130</v>
      </c>
      <c r="AE6" s="23" t="s">
        <v>131</v>
      </c>
      <c r="AF6" s="23" t="s">
        <v>132</v>
      </c>
      <c r="AG6" s="23" t="s">
        <v>133</v>
      </c>
      <c r="AH6" s="23" t="s">
        <v>134</v>
      </c>
      <c r="AI6" s="23" t="s">
        <v>135</v>
      </c>
      <c r="AJ6" s="23" t="s">
        <v>136</v>
      </c>
      <c r="AK6" s="23" t="s">
        <v>137</v>
      </c>
      <c r="AL6" s="23" t="s">
        <v>138</v>
      </c>
      <c r="AM6" s="23" t="s">
        <v>139</v>
      </c>
      <c r="AN6" s="23" t="s">
        <v>156</v>
      </c>
      <c r="AO6" s="23" t="s">
        <v>157</v>
      </c>
      <c r="AP6" s="23" t="s">
        <v>140</v>
      </c>
      <c r="AQ6" s="23" t="s">
        <v>141</v>
      </c>
      <c r="AR6" s="23" t="s">
        <v>142</v>
      </c>
      <c r="AS6" s="23" t="s">
        <v>143</v>
      </c>
      <c r="AT6" s="23" t="s">
        <v>144</v>
      </c>
      <c r="AU6" s="23" t="s">
        <v>145</v>
      </c>
      <c r="AV6" s="23" t="s">
        <v>146</v>
      </c>
      <c r="AW6" s="23" t="s">
        <v>147</v>
      </c>
      <c r="AX6" s="23" t="s">
        <v>148</v>
      </c>
      <c r="AY6" s="23" t="s">
        <v>154</v>
      </c>
      <c r="AZ6" s="23" t="s">
        <v>155</v>
      </c>
      <c r="BA6" s="23" t="s">
        <v>149</v>
      </c>
      <c r="BB6" s="23" t="s">
        <v>150</v>
      </c>
    </row>
    <row r="7" spans="1:56" x14ac:dyDescent="0.3">
      <c r="A7" s="32" t="s">
        <v>62</v>
      </c>
      <c r="B7" s="32" t="s">
        <v>108</v>
      </c>
      <c r="C7" s="40"/>
      <c r="E7" s="15" t="s">
        <v>62</v>
      </c>
      <c r="F7" s="17" t="s">
        <v>159</v>
      </c>
      <c r="G7" s="15">
        <v>4</v>
      </c>
      <c r="H7" s="16">
        <v>4</v>
      </c>
      <c r="I7" s="16">
        <v>2</v>
      </c>
      <c r="J7" s="16"/>
      <c r="K7" s="16"/>
      <c r="L7" s="16"/>
      <c r="M7" s="16"/>
      <c r="N7" s="16"/>
      <c r="O7" s="16"/>
      <c r="P7" s="16"/>
      <c r="Q7" s="16"/>
      <c r="R7" s="15">
        <f>IF(G7="-","",IF(G7/4*R$5=0, "",G7/4*R$5))</f>
        <v>10</v>
      </c>
      <c r="S7" s="16">
        <f t="shared" ref="S7:AB7" si="0">IF(H7="-","",IF(H7/4*S$5=0, "",H7/4*S$5))</f>
        <v>10</v>
      </c>
      <c r="T7" s="16">
        <f>IF(I7="-","",IF(I7/4*T$5=0, "",I7/4*T$5))</f>
        <v>5</v>
      </c>
      <c r="U7" s="16" t="str">
        <f t="shared" si="0"/>
        <v/>
      </c>
      <c r="V7" s="16" t="str">
        <f t="shared" si="0"/>
        <v/>
      </c>
      <c r="W7" s="16" t="str">
        <f t="shared" si="0"/>
        <v/>
      </c>
      <c r="X7" s="16" t="str">
        <f t="shared" si="0"/>
        <v/>
      </c>
      <c r="Y7" s="16" t="str">
        <f t="shared" si="0"/>
        <v/>
      </c>
      <c r="Z7" s="16" t="str">
        <f t="shared" si="0"/>
        <v/>
      </c>
      <c r="AA7" s="16" t="str">
        <f t="shared" si="0"/>
        <v/>
      </c>
      <c r="AB7" s="17" t="str">
        <f t="shared" si="0"/>
        <v/>
      </c>
      <c r="AD7" s="24" t="s">
        <v>161</v>
      </c>
      <c r="AE7" s="23">
        <v>2.5</v>
      </c>
      <c r="AF7" s="23">
        <v>3</v>
      </c>
      <c r="AG7" s="23">
        <v>1.5</v>
      </c>
      <c r="AH7" s="23">
        <v>3.5</v>
      </c>
      <c r="AI7" s="23">
        <v>4</v>
      </c>
      <c r="AJ7" s="23">
        <v>1.5</v>
      </c>
      <c r="AK7" s="23">
        <v>3.5</v>
      </c>
      <c r="AL7" s="23">
        <v>2</v>
      </c>
      <c r="AM7" s="23"/>
      <c r="AN7" s="23"/>
      <c r="AO7" s="23"/>
      <c r="AP7" s="23">
        <v>6.25</v>
      </c>
      <c r="AQ7" s="23">
        <v>7.5</v>
      </c>
      <c r="AR7" s="23">
        <v>3.75</v>
      </c>
      <c r="AS7" s="23">
        <v>8.75</v>
      </c>
      <c r="AT7" s="23">
        <v>10</v>
      </c>
      <c r="AU7" s="23">
        <v>3.75</v>
      </c>
      <c r="AV7" s="23">
        <v>8.75</v>
      </c>
      <c r="AW7" s="23">
        <v>2.5</v>
      </c>
      <c r="AX7" s="23"/>
      <c r="AY7" s="23"/>
      <c r="AZ7" s="23"/>
      <c r="BA7" s="23">
        <f>SUM(AE7:AO7)</f>
        <v>21.5</v>
      </c>
      <c r="BB7" s="23">
        <f>SUMIFS(AP7:AZ7, AP7:AZ7, "&lt;&gt;")/SUMIFS($AP$5:$AZ$5, AP7:AZ7, "&lt;&gt;")*100</f>
        <v>68.333333333333329</v>
      </c>
      <c r="BC7" s="23">
        <f>SUM(AP7:AW7)/SUM(AP5:AW5)*100</f>
        <v>68.333333333333329</v>
      </c>
      <c r="BD7" s="23"/>
    </row>
    <row r="8" spans="1:56" x14ac:dyDescent="0.3">
      <c r="A8" s="32" t="s">
        <v>62</v>
      </c>
      <c r="B8" s="32" t="s">
        <v>109</v>
      </c>
      <c r="C8" s="40"/>
      <c r="E8" s="18" t="s">
        <v>72</v>
      </c>
      <c r="F8" s="19" t="s">
        <v>159</v>
      </c>
      <c r="G8" s="18"/>
      <c r="H8" s="28"/>
      <c r="I8" s="28"/>
      <c r="J8" s="28">
        <v>3</v>
      </c>
      <c r="K8" s="28">
        <v>3</v>
      </c>
      <c r="L8" s="28">
        <v>1</v>
      </c>
      <c r="M8" s="28"/>
      <c r="N8" s="28"/>
      <c r="O8" s="28"/>
      <c r="P8" s="28"/>
      <c r="Q8" s="28"/>
      <c r="R8" s="18" t="str">
        <f t="shared" ref="R8:R14" si="1">IF(G8="-","",IF(G8/4*R$5=0, "",G8/4*R$5))</f>
        <v/>
      </c>
      <c r="S8" s="28" t="str">
        <f t="shared" ref="S8:S14" si="2">IF(H8="-","",IF(H8/4*S$5=0, "",H8/4*S$5))</f>
        <v/>
      </c>
      <c r="T8" s="28" t="str">
        <f t="shared" ref="T8:T14" si="3">IF(I8="-","",IF(I8/4*T$5=0, "",I8/4*T$5))</f>
        <v/>
      </c>
      <c r="U8" s="28">
        <f t="shared" ref="U8:U14" si="4">IF(J8="-","",IF(J8/4*U$5=0, "",J8/4*U$5))</f>
        <v>7.5</v>
      </c>
      <c r="V8" s="28">
        <f t="shared" ref="V8:V14" si="5">IF(K8="-","",IF(K8/4*V$5=0, "",K8/4*V$5))</f>
        <v>7.5</v>
      </c>
      <c r="W8" s="28">
        <f t="shared" ref="W8:W14" si="6">IF(L8="-","",IF(L8/4*W$5=0, "",L8/4*W$5))</f>
        <v>2.5</v>
      </c>
      <c r="X8" s="28" t="str">
        <f t="shared" ref="X8:X14" si="7">IF(M8="-","",IF(M8/4*X$5=0, "",M8/4*X$5))</f>
        <v/>
      </c>
      <c r="Y8" s="28" t="str">
        <f t="shared" ref="Y8:Y14" si="8">IF(N8="-","",IF(N8/4*Y$5=0, "",N8/4*Y$5))</f>
        <v/>
      </c>
      <c r="Z8" s="28" t="str">
        <f t="shared" ref="Z8:Z14" si="9">IF(O8="-","",IF(O8/4*Z$5=0, "",O8/4*Z$5))</f>
        <v/>
      </c>
      <c r="AA8" s="28" t="str">
        <f t="shared" ref="AA8:AA14" si="10">IF(P8="-","",IF(P8/4*AA$5=0, "",P8/4*AA$5))</f>
        <v/>
      </c>
      <c r="AB8" s="19" t="str">
        <f t="shared" ref="AB8:AB14" si="11">IF(Q8="-","",IF(Q8/4*AB$5=0, "",Q8/4*AB$5))</f>
        <v/>
      </c>
      <c r="AD8" s="24" t="s">
        <v>159</v>
      </c>
      <c r="AE8" s="23">
        <v>4</v>
      </c>
      <c r="AF8" s="23">
        <v>4</v>
      </c>
      <c r="AG8" s="23">
        <v>2</v>
      </c>
      <c r="AH8" s="23">
        <v>3</v>
      </c>
      <c r="AI8" s="23">
        <v>3</v>
      </c>
      <c r="AJ8" s="23">
        <v>1</v>
      </c>
      <c r="AK8" s="23">
        <v>2</v>
      </c>
      <c r="AL8" s="23">
        <v>2</v>
      </c>
      <c r="AM8" s="23">
        <v>3</v>
      </c>
      <c r="AN8" s="23">
        <v>4</v>
      </c>
      <c r="AO8" s="23">
        <v>4</v>
      </c>
      <c r="AP8" s="23">
        <v>10</v>
      </c>
      <c r="AQ8" s="23">
        <v>10</v>
      </c>
      <c r="AR8" s="23">
        <v>5</v>
      </c>
      <c r="AS8" s="23">
        <v>7.5</v>
      </c>
      <c r="AT8" s="23">
        <v>7.5</v>
      </c>
      <c r="AU8" s="23">
        <v>2.5</v>
      </c>
      <c r="AV8" s="23">
        <v>5</v>
      </c>
      <c r="AW8" s="23">
        <v>2.5</v>
      </c>
      <c r="AX8" s="23">
        <v>3.75</v>
      </c>
      <c r="AY8" s="23">
        <v>5</v>
      </c>
      <c r="AZ8" s="23">
        <v>15</v>
      </c>
      <c r="BA8" s="23">
        <f>SUM(AE8:AO8)</f>
        <v>32</v>
      </c>
      <c r="BB8" s="23">
        <f>SUMIFS(AP8:AZ8, AP8:AZ8, "&lt;&gt;")/SUMIFS($AP$5:$AZ$5, AP8:AZ8, "&lt;&gt;")*100</f>
        <v>73.75</v>
      </c>
    </row>
    <row r="9" spans="1:56" x14ac:dyDescent="0.3">
      <c r="A9" s="32" t="s">
        <v>62</v>
      </c>
      <c r="B9" s="32" t="s">
        <v>110</v>
      </c>
      <c r="C9" s="40"/>
      <c r="E9" s="18" t="s">
        <v>78</v>
      </c>
      <c r="F9" s="19" t="s">
        <v>159</v>
      </c>
      <c r="G9" s="18"/>
      <c r="H9" s="28"/>
      <c r="I9" s="28"/>
      <c r="J9" s="28"/>
      <c r="K9" s="28"/>
      <c r="L9" s="28"/>
      <c r="M9" s="28">
        <v>2</v>
      </c>
      <c r="N9" s="28">
        <v>2</v>
      </c>
      <c r="O9" s="28"/>
      <c r="P9" s="28"/>
      <c r="Q9" s="28"/>
      <c r="R9" s="18" t="str">
        <f t="shared" si="1"/>
        <v/>
      </c>
      <c r="S9" s="28" t="str">
        <f t="shared" si="2"/>
        <v/>
      </c>
      <c r="T9" s="28" t="str">
        <f t="shared" si="3"/>
        <v/>
      </c>
      <c r="U9" s="28" t="str">
        <f t="shared" si="4"/>
        <v/>
      </c>
      <c r="V9" s="28" t="str">
        <f t="shared" si="5"/>
        <v/>
      </c>
      <c r="W9" s="28" t="str">
        <f t="shared" si="6"/>
        <v/>
      </c>
      <c r="X9" s="28">
        <f t="shared" si="7"/>
        <v>5</v>
      </c>
      <c r="Y9" s="28">
        <f t="shared" si="8"/>
        <v>2.5</v>
      </c>
      <c r="Z9" s="28" t="str">
        <f t="shared" si="9"/>
        <v/>
      </c>
      <c r="AA9" s="28" t="str">
        <f t="shared" si="10"/>
        <v/>
      </c>
      <c r="AB9" s="19" t="str">
        <f t="shared" si="11"/>
        <v/>
      </c>
      <c r="AD9" s="24" t="s">
        <v>92</v>
      </c>
      <c r="AE9" s="23">
        <v>3</v>
      </c>
      <c r="AF9" s="23">
        <v>3.3333333333333335</v>
      </c>
      <c r="AG9" s="23">
        <v>1.6666666666666667</v>
      </c>
      <c r="AH9" s="23">
        <v>3.3333333333333335</v>
      </c>
      <c r="AI9" s="23">
        <v>3.6666666666666665</v>
      </c>
      <c r="AJ9" s="23">
        <v>1.3333333333333333</v>
      </c>
      <c r="AK9" s="23">
        <v>3</v>
      </c>
      <c r="AL9" s="23">
        <v>2</v>
      </c>
      <c r="AM9" s="23">
        <v>3</v>
      </c>
      <c r="AN9" s="23">
        <v>4</v>
      </c>
      <c r="AO9" s="23">
        <v>4</v>
      </c>
      <c r="AP9" s="23">
        <v>7.5</v>
      </c>
      <c r="AQ9" s="23">
        <v>8.3333333333333339</v>
      </c>
      <c r="AR9" s="23">
        <v>4.166666666666667</v>
      </c>
      <c r="AS9" s="23">
        <v>8.3333333333333339</v>
      </c>
      <c r="AT9" s="23">
        <v>9.1666666666666661</v>
      </c>
      <c r="AU9" s="23">
        <v>3.3333333333333335</v>
      </c>
      <c r="AV9" s="23">
        <v>7.5</v>
      </c>
      <c r="AW9" s="23">
        <v>2.5</v>
      </c>
      <c r="AX9" s="23">
        <v>3.75</v>
      </c>
      <c r="AY9" s="23">
        <v>5</v>
      </c>
      <c r="AZ9" s="23">
        <v>15</v>
      </c>
      <c r="BA9" s="23">
        <f>SUM(AE9:AO9)</f>
        <v>32.333333333333329</v>
      </c>
      <c r="BB9" s="23">
        <f>SUMIFS(AP9:AZ9, AP9:AZ9, "&lt;&gt;")/SUMIFS($AP$5:$AZ$5, AP9:AZ9, "&lt;&gt;")*100</f>
        <v>74.583333333333343</v>
      </c>
    </row>
    <row r="10" spans="1:56" ht="14.5" thickBot="1" x14ac:dyDescent="0.35">
      <c r="A10" s="31" t="s">
        <v>72</v>
      </c>
      <c r="B10" s="31" t="s">
        <v>111</v>
      </c>
      <c r="C10" s="40"/>
      <c r="E10" s="20" t="s">
        <v>126</v>
      </c>
      <c r="F10" s="22" t="s">
        <v>159</v>
      </c>
      <c r="G10" s="20"/>
      <c r="H10" s="21"/>
      <c r="I10" s="21"/>
      <c r="J10" s="21"/>
      <c r="K10" s="21"/>
      <c r="L10" s="21"/>
      <c r="M10" s="21"/>
      <c r="N10" s="21"/>
      <c r="O10" s="21">
        <v>3</v>
      </c>
      <c r="P10" s="21">
        <v>4</v>
      </c>
      <c r="Q10" s="21">
        <v>4</v>
      </c>
      <c r="R10" s="20" t="str">
        <f t="shared" si="1"/>
        <v/>
      </c>
      <c r="S10" s="21" t="str">
        <f t="shared" si="2"/>
        <v/>
      </c>
      <c r="T10" s="21" t="str">
        <f t="shared" si="3"/>
        <v/>
      </c>
      <c r="U10" s="21" t="str">
        <f t="shared" si="4"/>
        <v/>
      </c>
      <c r="V10" s="21" t="str">
        <f t="shared" si="5"/>
        <v/>
      </c>
      <c r="W10" s="21" t="str">
        <f t="shared" si="6"/>
        <v/>
      </c>
      <c r="X10" s="21" t="str">
        <f t="shared" si="7"/>
        <v/>
      </c>
      <c r="Y10" s="21" t="str">
        <f t="shared" si="8"/>
        <v/>
      </c>
      <c r="Z10" s="21">
        <f t="shared" si="9"/>
        <v>3.75</v>
      </c>
      <c r="AA10" s="21">
        <f>IF(P10="-","",IF(P10/4*AA$5=0, "",P10/4*AA$5))</f>
        <v>5</v>
      </c>
      <c r="AB10" s="22">
        <f t="shared" si="11"/>
        <v>15</v>
      </c>
      <c r="BB10" s="23"/>
    </row>
    <row r="11" spans="1:56" x14ac:dyDescent="0.3">
      <c r="A11" s="31" t="s">
        <v>72</v>
      </c>
      <c r="B11" s="31" t="s">
        <v>112</v>
      </c>
      <c r="C11" s="40"/>
      <c r="E11" s="15" t="s">
        <v>62</v>
      </c>
      <c r="F11" s="17" t="s">
        <v>161</v>
      </c>
      <c r="G11" s="15">
        <v>3</v>
      </c>
      <c r="H11" s="16">
        <v>2</v>
      </c>
      <c r="I11" s="16">
        <v>2</v>
      </c>
      <c r="J11" s="16"/>
      <c r="K11" s="16"/>
      <c r="L11" s="16"/>
      <c r="M11" s="16"/>
      <c r="N11" s="16"/>
      <c r="O11" s="16"/>
      <c r="P11" s="16"/>
      <c r="Q11" s="16"/>
      <c r="R11" s="15">
        <f t="shared" si="1"/>
        <v>7.5</v>
      </c>
      <c r="S11" s="16">
        <f t="shared" si="2"/>
        <v>5</v>
      </c>
      <c r="T11" s="16">
        <f t="shared" si="3"/>
        <v>5</v>
      </c>
      <c r="U11" s="16" t="str">
        <f t="shared" si="4"/>
        <v/>
      </c>
      <c r="V11" s="16" t="str">
        <f t="shared" si="5"/>
        <v/>
      </c>
      <c r="W11" s="16" t="str">
        <f t="shared" si="6"/>
        <v/>
      </c>
      <c r="X11" s="16" t="str">
        <f t="shared" si="7"/>
        <v/>
      </c>
      <c r="Y11" s="16" t="str">
        <f t="shared" si="8"/>
        <v/>
      </c>
      <c r="Z11" s="16" t="str">
        <f t="shared" si="9"/>
        <v/>
      </c>
      <c r="AA11" s="16" t="str">
        <f t="shared" si="10"/>
        <v/>
      </c>
      <c r="AB11" s="17" t="str">
        <f t="shared" si="11"/>
        <v/>
      </c>
    </row>
    <row r="12" spans="1:56" x14ac:dyDescent="0.3">
      <c r="A12" s="31" t="s">
        <v>72</v>
      </c>
      <c r="B12" s="31" t="s">
        <v>113</v>
      </c>
      <c r="C12" s="40"/>
      <c r="E12" s="18" t="s">
        <v>72</v>
      </c>
      <c r="F12" s="19" t="s">
        <v>161</v>
      </c>
      <c r="G12" s="18"/>
      <c r="H12" s="28"/>
      <c r="I12" s="28"/>
      <c r="J12" s="28">
        <v>4</v>
      </c>
      <c r="K12" s="28">
        <v>4</v>
      </c>
      <c r="L12" s="28">
        <v>1</v>
      </c>
      <c r="M12" s="28"/>
      <c r="N12" s="28"/>
      <c r="O12" s="28"/>
      <c r="P12" s="28"/>
      <c r="Q12" s="28"/>
      <c r="R12" s="18" t="str">
        <f t="shared" si="1"/>
        <v/>
      </c>
      <c r="S12" s="28" t="str">
        <f t="shared" si="2"/>
        <v/>
      </c>
      <c r="T12" s="28" t="str">
        <f t="shared" si="3"/>
        <v/>
      </c>
      <c r="U12" s="28">
        <f t="shared" si="4"/>
        <v>10</v>
      </c>
      <c r="V12" s="28">
        <f t="shared" si="5"/>
        <v>10</v>
      </c>
      <c r="W12" s="28">
        <f t="shared" si="6"/>
        <v>2.5</v>
      </c>
      <c r="X12" s="28" t="str">
        <f t="shared" si="7"/>
        <v/>
      </c>
      <c r="Y12" s="28" t="str">
        <f t="shared" si="8"/>
        <v/>
      </c>
      <c r="Z12" s="28" t="str">
        <f t="shared" si="9"/>
        <v/>
      </c>
      <c r="AA12" s="28" t="str">
        <f t="shared" si="10"/>
        <v/>
      </c>
      <c r="AB12" s="19" t="str">
        <f t="shared" si="11"/>
        <v/>
      </c>
    </row>
    <row r="13" spans="1:56" x14ac:dyDescent="0.3">
      <c r="A13" s="30" t="s">
        <v>78</v>
      </c>
      <c r="B13" s="30" t="s">
        <v>114</v>
      </c>
      <c r="C13" s="40"/>
      <c r="E13" s="18" t="s">
        <v>78</v>
      </c>
      <c r="F13" s="19" t="s">
        <v>161</v>
      </c>
      <c r="G13" s="18"/>
      <c r="H13" s="28"/>
      <c r="I13" s="28"/>
      <c r="J13" s="28"/>
      <c r="K13" s="28"/>
      <c r="L13" s="28"/>
      <c r="M13" s="28">
        <v>4</v>
      </c>
      <c r="N13" s="28">
        <v>2</v>
      </c>
      <c r="O13" s="28"/>
      <c r="P13" s="28"/>
      <c r="Q13" s="28"/>
      <c r="R13" s="18" t="str">
        <f t="shared" si="1"/>
        <v/>
      </c>
      <c r="S13" s="28" t="str">
        <f t="shared" si="2"/>
        <v/>
      </c>
      <c r="T13" s="28" t="str">
        <f t="shared" si="3"/>
        <v/>
      </c>
      <c r="U13" s="28" t="str">
        <f t="shared" si="4"/>
        <v/>
      </c>
      <c r="V13" s="28" t="str">
        <f t="shared" si="5"/>
        <v/>
      </c>
      <c r="W13" s="28" t="str">
        <f t="shared" si="6"/>
        <v/>
      </c>
      <c r="X13" s="28">
        <f t="shared" si="7"/>
        <v>10</v>
      </c>
      <c r="Y13" s="28">
        <f t="shared" si="8"/>
        <v>2.5</v>
      </c>
      <c r="Z13" s="28" t="str">
        <f t="shared" si="9"/>
        <v/>
      </c>
      <c r="AA13" s="28" t="str">
        <f t="shared" si="10"/>
        <v/>
      </c>
      <c r="AB13" s="19" t="str">
        <f t="shared" si="11"/>
        <v/>
      </c>
    </row>
    <row r="14" spans="1:56" ht="14.5" thickBot="1" x14ac:dyDescent="0.35">
      <c r="A14" s="30" t="s">
        <v>78</v>
      </c>
      <c r="B14" s="30" t="s">
        <v>115</v>
      </c>
      <c r="C14" s="40"/>
      <c r="E14" s="20" t="s">
        <v>126</v>
      </c>
      <c r="F14" s="22" t="s">
        <v>161</v>
      </c>
      <c r="G14" s="20"/>
      <c r="H14" s="21"/>
      <c r="I14" s="21"/>
      <c r="J14" s="21"/>
      <c r="K14" s="21"/>
      <c r="L14" s="21"/>
      <c r="M14" s="21"/>
      <c r="N14" s="21"/>
      <c r="O14" s="21" t="s">
        <v>153</v>
      </c>
      <c r="P14" s="21" t="s">
        <v>153</v>
      </c>
      <c r="Q14" s="21" t="s">
        <v>153</v>
      </c>
      <c r="R14" s="20" t="str">
        <f t="shared" si="1"/>
        <v/>
      </c>
      <c r="S14" s="21" t="str">
        <f t="shared" si="2"/>
        <v/>
      </c>
      <c r="T14" s="21" t="str">
        <f t="shared" si="3"/>
        <v/>
      </c>
      <c r="U14" s="21" t="str">
        <f t="shared" si="4"/>
        <v/>
      </c>
      <c r="V14" s="21" t="str">
        <f t="shared" si="5"/>
        <v/>
      </c>
      <c r="W14" s="21" t="str">
        <f t="shared" si="6"/>
        <v/>
      </c>
      <c r="X14" s="21" t="str">
        <f t="shared" si="7"/>
        <v/>
      </c>
      <c r="Y14" s="21" t="str">
        <f t="shared" si="8"/>
        <v/>
      </c>
      <c r="Z14" s="21" t="str">
        <f t="shared" si="9"/>
        <v/>
      </c>
      <c r="AA14" s="21" t="str">
        <f t="shared" si="10"/>
        <v/>
      </c>
      <c r="AB14" s="22" t="str">
        <f t="shared" si="11"/>
        <v/>
      </c>
    </row>
    <row r="15" spans="1:56" x14ac:dyDescent="0.3">
      <c r="A15" s="29" t="s">
        <v>126</v>
      </c>
      <c r="B15" s="29" t="s">
        <v>116</v>
      </c>
      <c r="C15" s="40"/>
      <c r="E15" s="15" t="s">
        <v>62</v>
      </c>
      <c r="F15" s="17" t="s">
        <v>161</v>
      </c>
      <c r="G15" s="15">
        <v>2</v>
      </c>
      <c r="H15" s="16">
        <v>4</v>
      </c>
      <c r="I15" s="16">
        <v>1</v>
      </c>
      <c r="J15" s="16"/>
      <c r="K15" s="16"/>
      <c r="L15" s="16"/>
      <c r="M15" s="16"/>
      <c r="N15" s="16"/>
      <c r="O15" s="16"/>
      <c r="P15" s="16"/>
      <c r="Q15" s="16"/>
      <c r="R15" s="15">
        <f t="shared" ref="R15:R18" si="12">IF(G15="-","",IF(G15/4*R$5=0, "",G15/4*R$5))</f>
        <v>5</v>
      </c>
      <c r="S15" s="16">
        <f t="shared" ref="S15:S18" si="13">IF(H15="-","",IF(H15/4*S$5=0, "",H15/4*S$5))</f>
        <v>10</v>
      </c>
      <c r="T15" s="16">
        <f t="shared" ref="T15:T18" si="14">IF(I15="-","",IF(I15/4*T$5=0, "",I15/4*T$5))</f>
        <v>2.5</v>
      </c>
      <c r="U15" s="16" t="str">
        <f t="shared" ref="U15:U18" si="15">IF(J15="-","",IF(J15/4*U$5=0, "",J15/4*U$5))</f>
        <v/>
      </c>
      <c r="V15" s="16" t="str">
        <f t="shared" ref="V15:V18" si="16">IF(K15="-","",IF(K15/4*V$5=0, "",K15/4*V$5))</f>
        <v/>
      </c>
      <c r="W15" s="16" t="str">
        <f t="shared" ref="W15:W18" si="17">IF(L15="-","",IF(L15/4*W$5=0, "",L15/4*W$5))</f>
        <v/>
      </c>
      <c r="X15" s="16" t="str">
        <f t="shared" ref="X15:X18" si="18">IF(M15="-","",IF(M15/4*X$5=0, "",M15/4*X$5))</f>
        <v/>
      </c>
      <c r="Y15" s="16" t="str">
        <f t="shared" ref="Y15:Y18" si="19">IF(N15="-","",IF(N15/4*Y$5=0, "",N15/4*Y$5))</f>
        <v/>
      </c>
      <c r="Z15" s="16" t="str">
        <f t="shared" ref="Z15:Z18" si="20">IF(O15="-","",IF(O15/4*Z$5=0, "",O15/4*Z$5))</f>
        <v/>
      </c>
      <c r="AA15" s="16" t="str">
        <f t="shared" ref="AA15:AA18" si="21">IF(P15="-","",IF(P15/4*AA$5=0, "",P15/4*AA$5))</f>
        <v/>
      </c>
      <c r="AB15" s="17" t="str">
        <f t="shared" ref="AB15:AB18" si="22">IF(Q15="-","",IF(Q15/4*AB$5=0, "",Q15/4*AB$5))</f>
        <v/>
      </c>
      <c r="AP15" s="11"/>
      <c r="AQ15" s="11"/>
      <c r="AR15" s="11"/>
      <c r="AS15" s="11"/>
      <c r="AT15" s="11"/>
      <c r="AU15" s="11"/>
      <c r="AV15" s="11"/>
      <c r="AW15" s="11"/>
      <c r="AY15" s="23"/>
    </row>
    <row r="16" spans="1:56" x14ac:dyDescent="0.3">
      <c r="A16" s="29" t="s">
        <v>126</v>
      </c>
      <c r="B16" s="29" t="s">
        <v>127</v>
      </c>
      <c r="C16" s="40"/>
      <c r="E16" s="18" t="s">
        <v>72</v>
      </c>
      <c r="F16" s="19" t="s">
        <v>161</v>
      </c>
      <c r="G16" s="18"/>
      <c r="H16" s="28"/>
      <c r="I16" s="28"/>
      <c r="J16" s="28">
        <v>3</v>
      </c>
      <c r="K16" s="28">
        <v>4</v>
      </c>
      <c r="L16" s="28">
        <v>2</v>
      </c>
      <c r="M16" s="28"/>
      <c r="N16" s="28"/>
      <c r="O16" s="28"/>
      <c r="P16" s="28"/>
      <c r="Q16" s="28"/>
      <c r="R16" s="18" t="str">
        <f t="shared" si="12"/>
        <v/>
      </c>
      <c r="S16" s="28" t="str">
        <f t="shared" si="13"/>
        <v/>
      </c>
      <c r="T16" s="28" t="str">
        <f t="shared" si="14"/>
        <v/>
      </c>
      <c r="U16" s="28">
        <f t="shared" si="15"/>
        <v>7.5</v>
      </c>
      <c r="V16" s="28">
        <f t="shared" si="16"/>
        <v>10</v>
      </c>
      <c r="W16" s="28">
        <f t="shared" si="17"/>
        <v>5</v>
      </c>
      <c r="X16" s="28" t="str">
        <f t="shared" si="18"/>
        <v/>
      </c>
      <c r="Y16" s="28" t="str">
        <f t="shared" si="19"/>
        <v/>
      </c>
      <c r="Z16" s="28" t="str">
        <f t="shared" si="20"/>
        <v/>
      </c>
      <c r="AA16" s="28" t="str">
        <f t="shared" si="21"/>
        <v/>
      </c>
      <c r="AB16" s="19" t="str">
        <f t="shared" si="22"/>
        <v/>
      </c>
      <c r="AP16" s="23"/>
      <c r="AQ16" s="23"/>
      <c r="AR16" s="23"/>
      <c r="AS16" s="23"/>
      <c r="AT16" s="23"/>
      <c r="AU16" s="23"/>
      <c r="AV16" s="23"/>
      <c r="AW16" s="23"/>
      <c r="AY16" s="23"/>
    </row>
    <row r="17" spans="1:54" x14ac:dyDescent="0.3">
      <c r="A17" s="29" t="s">
        <v>126</v>
      </c>
      <c r="B17" s="29" t="s">
        <v>128</v>
      </c>
      <c r="C17" s="40"/>
      <c r="E17" s="18" t="s">
        <v>78</v>
      </c>
      <c r="F17" s="19" t="s">
        <v>161</v>
      </c>
      <c r="G17" s="18"/>
      <c r="H17" s="28"/>
      <c r="I17" s="28"/>
      <c r="J17" s="28"/>
      <c r="K17" s="28"/>
      <c r="L17" s="28"/>
      <c r="M17" s="28">
        <v>3</v>
      </c>
      <c r="N17" s="28">
        <v>2</v>
      </c>
      <c r="O17" s="28"/>
      <c r="P17" s="28"/>
      <c r="Q17" s="28"/>
      <c r="R17" s="18" t="str">
        <f t="shared" si="12"/>
        <v/>
      </c>
      <c r="S17" s="28" t="str">
        <f t="shared" si="13"/>
        <v/>
      </c>
      <c r="T17" s="28" t="str">
        <f t="shared" si="14"/>
        <v/>
      </c>
      <c r="U17" s="28" t="str">
        <f t="shared" si="15"/>
        <v/>
      </c>
      <c r="V17" s="28" t="str">
        <f t="shared" si="16"/>
        <v/>
      </c>
      <c r="W17" s="28" t="str">
        <f t="shared" si="17"/>
        <v/>
      </c>
      <c r="X17" s="28">
        <f t="shared" si="18"/>
        <v>7.5</v>
      </c>
      <c r="Y17" s="28">
        <f t="shared" si="19"/>
        <v>2.5</v>
      </c>
      <c r="Z17" s="28" t="str">
        <f t="shared" si="20"/>
        <v/>
      </c>
      <c r="AA17" s="28" t="str">
        <f t="shared" si="21"/>
        <v/>
      </c>
      <c r="AB17" s="19" t="str">
        <f t="shared" si="22"/>
        <v/>
      </c>
      <c r="AP17" s="23"/>
      <c r="AQ17" s="23"/>
      <c r="AR17" s="23"/>
      <c r="AS17" s="23"/>
      <c r="AT17" s="23"/>
      <c r="AU17" s="23"/>
      <c r="AV17" s="23"/>
      <c r="AW17" s="23"/>
      <c r="AY17" s="23"/>
    </row>
    <row r="18" spans="1:54" ht="14.5" thickBot="1" x14ac:dyDescent="0.35">
      <c r="E18" s="20" t="s">
        <v>126</v>
      </c>
      <c r="F18" s="22" t="s">
        <v>161</v>
      </c>
      <c r="G18" s="20"/>
      <c r="H18" s="21"/>
      <c r="I18" s="21"/>
      <c r="J18" s="21"/>
      <c r="K18" s="21"/>
      <c r="L18" s="21"/>
      <c r="M18" s="21"/>
      <c r="N18" s="21"/>
      <c r="O18" s="21" t="s">
        <v>153</v>
      </c>
      <c r="P18" s="21" t="s">
        <v>153</v>
      </c>
      <c r="Q18" s="21" t="s">
        <v>153</v>
      </c>
      <c r="R18" s="20" t="str">
        <f t="shared" si="12"/>
        <v/>
      </c>
      <c r="S18" s="21" t="str">
        <f t="shared" si="13"/>
        <v/>
      </c>
      <c r="T18" s="21" t="str">
        <f t="shared" si="14"/>
        <v/>
      </c>
      <c r="U18" s="21" t="str">
        <f t="shared" si="15"/>
        <v/>
      </c>
      <c r="V18" s="21" t="str">
        <f t="shared" si="16"/>
        <v/>
      </c>
      <c r="W18" s="21" t="str">
        <f t="shared" si="17"/>
        <v/>
      </c>
      <c r="X18" s="21" t="str">
        <f t="shared" si="18"/>
        <v/>
      </c>
      <c r="Y18" s="21" t="str">
        <f t="shared" si="19"/>
        <v/>
      </c>
      <c r="Z18" s="21" t="str">
        <f t="shared" si="20"/>
        <v/>
      </c>
      <c r="AA18" s="21" t="str">
        <f t="shared" si="21"/>
        <v/>
      </c>
      <c r="AB18" s="22" t="str">
        <f t="shared" si="22"/>
        <v/>
      </c>
      <c r="AY18" s="23"/>
    </row>
    <row r="19" spans="1:54" x14ac:dyDescent="0.3"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Y19" s="23"/>
    </row>
    <row r="20" spans="1:54" x14ac:dyDescent="0.3"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Y20" s="23"/>
    </row>
    <row r="21" spans="1:54" x14ac:dyDescent="0.3"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Y21" s="23"/>
    </row>
    <row r="24" spans="1:54" x14ac:dyDescent="0.3">
      <c r="A24" t="s">
        <v>185</v>
      </c>
      <c r="G24" s="32" t="s">
        <v>62</v>
      </c>
      <c r="H24" s="32" t="s">
        <v>62</v>
      </c>
      <c r="I24" s="32" t="s">
        <v>62</v>
      </c>
      <c r="J24" s="31" t="s">
        <v>72</v>
      </c>
      <c r="K24" s="31" t="s">
        <v>72</v>
      </c>
      <c r="L24" s="31" t="s">
        <v>72</v>
      </c>
      <c r="M24" s="30" t="s">
        <v>78</v>
      </c>
      <c r="N24" s="30" t="s">
        <v>78</v>
      </c>
      <c r="O24" s="29" t="s">
        <v>126</v>
      </c>
      <c r="P24" s="29" t="s">
        <v>126</v>
      </c>
      <c r="Q24" s="29" t="s">
        <v>126</v>
      </c>
      <c r="R24" s="32" t="s">
        <v>62</v>
      </c>
      <c r="S24" s="32" t="s">
        <v>62</v>
      </c>
      <c r="T24" s="32" t="s">
        <v>62</v>
      </c>
      <c r="U24" s="31" t="s">
        <v>72</v>
      </c>
      <c r="V24" s="31" t="s">
        <v>72</v>
      </c>
      <c r="W24" s="31" t="s">
        <v>72</v>
      </c>
      <c r="X24" s="30" t="s">
        <v>78</v>
      </c>
      <c r="Y24" s="30" t="s">
        <v>78</v>
      </c>
      <c r="Z24" s="29" t="s">
        <v>126</v>
      </c>
      <c r="AA24" s="29" t="s">
        <v>126</v>
      </c>
      <c r="AB24" s="29" t="s">
        <v>126</v>
      </c>
    </row>
    <row r="25" spans="1:54" x14ac:dyDescent="0.3">
      <c r="A25" s="4" t="s">
        <v>186</v>
      </c>
      <c r="E25" t="s">
        <v>129</v>
      </c>
      <c r="G25" s="9"/>
      <c r="H25" s="9"/>
      <c r="I25" s="9"/>
      <c r="J25" s="9"/>
      <c r="K25" s="9"/>
      <c r="L25" s="9"/>
      <c r="M25" s="9"/>
      <c r="N25" s="9"/>
      <c r="O25" s="10"/>
      <c r="P25" s="10"/>
      <c r="Q25" s="10"/>
      <c r="R25" s="9"/>
      <c r="S25" s="9"/>
      <c r="T25" s="9"/>
      <c r="U25" s="9"/>
      <c r="V25" s="9"/>
      <c r="W25" s="9"/>
      <c r="X25" s="9"/>
      <c r="Y25" s="9"/>
      <c r="Z25" s="10"/>
      <c r="AA25" s="10"/>
      <c r="AB25" s="10"/>
      <c r="AE25" s="32" t="s">
        <v>62</v>
      </c>
      <c r="AF25" s="32" t="s">
        <v>62</v>
      </c>
      <c r="AG25" s="32" t="s">
        <v>62</v>
      </c>
      <c r="AH25" s="31" t="s">
        <v>72</v>
      </c>
      <c r="AI25" s="31" t="s">
        <v>72</v>
      </c>
      <c r="AJ25" s="31" t="s">
        <v>72</v>
      </c>
      <c r="AK25" s="30" t="s">
        <v>78</v>
      </c>
      <c r="AL25" s="30" t="s">
        <v>78</v>
      </c>
      <c r="AM25" s="29" t="s">
        <v>126</v>
      </c>
      <c r="AN25" s="29" t="s">
        <v>126</v>
      </c>
      <c r="AO25" s="29" t="s">
        <v>126</v>
      </c>
      <c r="AP25" s="32" t="s">
        <v>62</v>
      </c>
      <c r="AQ25" s="32" t="s">
        <v>62</v>
      </c>
      <c r="AR25" s="32" t="s">
        <v>62</v>
      </c>
      <c r="AS25" s="31" t="s">
        <v>72</v>
      </c>
      <c r="AT25" s="31" t="s">
        <v>72</v>
      </c>
      <c r="AU25" s="31" t="s">
        <v>72</v>
      </c>
      <c r="AV25" s="30" t="s">
        <v>78</v>
      </c>
      <c r="AW25" s="30" t="s">
        <v>78</v>
      </c>
      <c r="AX25" s="29" t="s">
        <v>126</v>
      </c>
      <c r="AY25" s="29" t="s">
        <v>126</v>
      </c>
      <c r="AZ25" s="29" t="s">
        <v>126</v>
      </c>
    </row>
    <row r="26" spans="1:54" ht="14.5" thickBot="1" x14ac:dyDescent="0.35">
      <c r="G26" s="11">
        <v>10</v>
      </c>
      <c r="H26" s="11">
        <v>10</v>
      </c>
      <c r="I26" s="11">
        <v>10</v>
      </c>
      <c r="J26" s="11">
        <v>10</v>
      </c>
      <c r="K26" s="11">
        <v>10</v>
      </c>
      <c r="L26" s="11">
        <v>10</v>
      </c>
      <c r="M26" s="11">
        <v>10</v>
      </c>
      <c r="N26" s="11">
        <v>5</v>
      </c>
      <c r="O26" s="11">
        <v>5</v>
      </c>
      <c r="P26" s="11">
        <v>5</v>
      </c>
      <c r="Q26" s="11">
        <v>15</v>
      </c>
      <c r="R26" s="11">
        <v>10</v>
      </c>
      <c r="S26" s="11">
        <v>10</v>
      </c>
      <c r="T26" s="11">
        <v>10</v>
      </c>
      <c r="U26" s="11">
        <v>10</v>
      </c>
      <c r="V26" s="11">
        <v>10</v>
      </c>
      <c r="W26" s="11">
        <v>10</v>
      </c>
      <c r="X26" s="11">
        <v>10</v>
      </c>
      <c r="Y26" s="11">
        <v>5</v>
      </c>
      <c r="Z26" s="11">
        <v>5</v>
      </c>
      <c r="AA26" s="11">
        <v>5</v>
      </c>
      <c r="AB26" s="11">
        <v>15</v>
      </c>
    </row>
    <row r="27" spans="1:54" ht="14.5" thickBot="1" x14ac:dyDescent="0.35">
      <c r="E27" s="36" t="s">
        <v>106</v>
      </c>
      <c r="F27" s="37" t="s">
        <v>107</v>
      </c>
      <c r="G27" s="26" t="s">
        <v>108</v>
      </c>
      <c r="H27" s="12" t="s">
        <v>109</v>
      </c>
      <c r="I27" s="12" t="s">
        <v>110</v>
      </c>
      <c r="J27" s="12" t="s">
        <v>111</v>
      </c>
      <c r="K27" s="12" t="s">
        <v>112</v>
      </c>
      <c r="L27" s="12" t="s">
        <v>113</v>
      </c>
      <c r="M27" s="12" t="s">
        <v>114</v>
      </c>
      <c r="N27" s="12" t="s">
        <v>115</v>
      </c>
      <c r="O27" s="13" t="s">
        <v>116</v>
      </c>
      <c r="P27" s="13" t="s">
        <v>127</v>
      </c>
      <c r="Q27" s="27" t="s">
        <v>128</v>
      </c>
      <c r="R27" s="33" t="s">
        <v>117</v>
      </c>
      <c r="S27" s="14" t="s">
        <v>118</v>
      </c>
      <c r="T27" s="14" t="s">
        <v>119</v>
      </c>
      <c r="U27" s="14" t="s">
        <v>120</v>
      </c>
      <c r="V27" s="14" t="s">
        <v>121</v>
      </c>
      <c r="W27" s="14" t="s">
        <v>122</v>
      </c>
      <c r="X27" s="14" t="s">
        <v>123</v>
      </c>
      <c r="Y27" s="14" t="s">
        <v>124</v>
      </c>
      <c r="Z27" s="34" t="s">
        <v>125</v>
      </c>
      <c r="AA27" s="34" t="s">
        <v>151</v>
      </c>
      <c r="AB27" s="35" t="s">
        <v>152</v>
      </c>
      <c r="AE27" s="11">
        <v>10</v>
      </c>
      <c r="AF27" s="11">
        <v>10</v>
      </c>
      <c r="AG27" s="11">
        <v>10</v>
      </c>
      <c r="AH27" s="11">
        <v>10</v>
      </c>
      <c r="AI27" s="11">
        <v>10</v>
      </c>
      <c r="AJ27" s="11">
        <v>10</v>
      </c>
      <c r="AK27" s="11">
        <v>10</v>
      </c>
      <c r="AL27" s="11">
        <v>5</v>
      </c>
      <c r="AM27" s="11">
        <v>5</v>
      </c>
      <c r="AN27" s="11">
        <v>5</v>
      </c>
      <c r="AO27" s="11">
        <v>15</v>
      </c>
      <c r="AP27" s="11">
        <v>10</v>
      </c>
      <c r="AQ27" s="11">
        <v>10</v>
      </c>
      <c r="AR27" s="11">
        <v>10</v>
      </c>
      <c r="AS27" s="11">
        <v>10</v>
      </c>
      <c r="AT27" s="11">
        <v>10</v>
      </c>
      <c r="AU27" s="11">
        <v>10</v>
      </c>
      <c r="AV27" s="11">
        <v>10</v>
      </c>
      <c r="AW27" s="11">
        <v>5</v>
      </c>
      <c r="AX27" s="11">
        <v>5</v>
      </c>
      <c r="AY27" s="11">
        <v>5</v>
      </c>
      <c r="AZ27" s="11">
        <v>15</v>
      </c>
      <c r="BA27" s="11"/>
    </row>
    <row r="28" spans="1:54" x14ac:dyDescent="0.3">
      <c r="A28" s="32" t="s">
        <v>62</v>
      </c>
      <c r="B28" s="32" t="s">
        <v>108</v>
      </c>
      <c r="C28" s="40"/>
      <c r="E28" s="15" t="s">
        <v>62</v>
      </c>
      <c r="F28" s="17" t="s">
        <v>159</v>
      </c>
      <c r="G28" s="15">
        <v>4</v>
      </c>
      <c r="H28" s="16">
        <v>4</v>
      </c>
      <c r="I28" s="16">
        <v>2</v>
      </c>
      <c r="J28" s="16"/>
      <c r="K28" s="16"/>
      <c r="L28" s="16"/>
      <c r="M28" s="16"/>
      <c r="N28" s="16"/>
      <c r="O28" s="16"/>
      <c r="P28" s="16"/>
      <c r="Q28" s="16"/>
      <c r="R28" s="15">
        <f>IF(G28="-","",IF(G28/4*R$5=0, "",G28/4*R$5))</f>
        <v>10</v>
      </c>
      <c r="S28" s="16">
        <f t="shared" ref="S28:S39" si="23">IF(H28="-","",IF(H28/4*S$5=0, "",H28/4*S$5))</f>
        <v>10</v>
      </c>
      <c r="T28" s="16">
        <f>IF(I28="-","",IF(I28/4*T$5=0, "",I28/4*T$5))</f>
        <v>5</v>
      </c>
      <c r="U28" s="16" t="str">
        <f t="shared" ref="U28:U39" si="24">IF(J28="-","",IF(J28/4*U$5=0, "",J28/4*U$5))</f>
        <v/>
      </c>
      <c r="V28" s="16" t="str">
        <f t="shared" ref="V28:V39" si="25">IF(K28="-","",IF(K28/4*V$5=0, "",K28/4*V$5))</f>
        <v/>
      </c>
      <c r="W28" s="16" t="str">
        <f t="shared" ref="W28:W39" si="26">IF(L28="-","",IF(L28/4*W$5=0, "",L28/4*W$5))</f>
        <v/>
      </c>
      <c r="X28" s="16" t="str">
        <f t="shared" ref="X28:X39" si="27">IF(M28="-","",IF(M28/4*X$5=0, "",M28/4*X$5))</f>
        <v/>
      </c>
      <c r="Y28" s="16" t="str">
        <f t="shared" ref="Y28:Y39" si="28">IF(N28="-","",IF(N28/4*Y$5=0, "",N28/4*Y$5))</f>
        <v/>
      </c>
      <c r="Z28" s="16" t="str">
        <f t="shared" ref="Z28:Z39" si="29">IF(O28="-","",IF(O28/4*Z$5=0, "",O28/4*Z$5))</f>
        <v/>
      </c>
      <c r="AA28" s="16" t="str">
        <f t="shared" ref="AA28:AA30" si="30">IF(P28="-","",IF(P28/4*AA$5=0, "",P28/4*AA$5))</f>
        <v/>
      </c>
      <c r="AB28" s="17" t="str">
        <f t="shared" ref="AB28:AB39" si="31">IF(Q28="-","",IF(Q28/4*AB$5=0, "",Q28/4*AB$5))</f>
        <v/>
      </c>
      <c r="AD28" s="25" t="s">
        <v>130</v>
      </c>
      <c r="AE28" s="23" t="s">
        <v>131</v>
      </c>
      <c r="AF28" s="23" t="s">
        <v>132</v>
      </c>
      <c r="AG28" s="23" t="s">
        <v>133</v>
      </c>
      <c r="AH28" s="23" t="s">
        <v>134</v>
      </c>
      <c r="AI28" s="23" t="s">
        <v>135</v>
      </c>
      <c r="AJ28" s="23" t="s">
        <v>136</v>
      </c>
      <c r="AK28" s="23" t="s">
        <v>137</v>
      </c>
      <c r="AL28" s="23" t="s">
        <v>138</v>
      </c>
      <c r="AM28" s="23" t="s">
        <v>139</v>
      </c>
      <c r="AN28" s="23" t="s">
        <v>156</v>
      </c>
      <c r="AO28" s="23" t="s">
        <v>157</v>
      </c>
      <c r="AP28" s="23" t="s">
        <v>140</v>
      </c>
      <c r="AQ28" s="23" t="s">
        <v>141</v>
      </c>
      <c r="AR28" s="23" t="s">
        <v>142</v>
      </c>
      <c r="AS28" s="23" t="s">
        <v>143</v>
      </c>
      <c r="AT28" s="23" t="s">
        <v>144</v>
      </c>
      <c r="AU28" s="23" t="s">
        <v>145</v>
      </c>
      <c r="AV28" s="23" t="s">
        <v>146</v>
      </c>
      <c r="AW28" s="23" t="s">
        <v>147</v>
      </c>
      <c r="AX28" s="23" t="s">
        <v>148</v>
      </c>
      <c r="AY28" s="23" t="s">
        <v>154</v>
      </c>
      <c r="AZ28" s="23" t="s">
        <v>155</v>
      </c>
      <c r="BA28" s="23" t="s">
        <v>149</v>
      </c>
      <c r="BB28" s="23" t="s">
        <v>150</v>
      </c>
    </row>
    <row r="29" spans="1:54" x14ac:dyDescent="0.3">
      <c r="A29" s="32" t="s">
        <v>62</v>
      </c>
      <c r="B29" s="32" t="s">
        <v>109</v>
      </c>
      <c r="C29" s="40"/>
      <c r="E29" s="18" t="s">
        <v>72</v>
      </c>
      <c r="F29" s="19" t="s">
        <v>159</v>
      </c>
      <c r="G29" s="18"/>
      <c r="H29" s="28"/>
      <c r="I29" s="28"/>
      <c r="J29" s="28">
        <v>3</v>
      </c>
      <c r="K29" s="28">
        <v>3</v>
      </c>
      <c r="L29" s="28">
        <v>1</v>
      </c>
      <c r="M29" s="28"/>
      <c r="N29" s="28"/>
      <c r="O29" s="28"/>
      <c r="P29" s="28"/>
      <c r="Q29" s="28"/>
      <c r="R29" s="18" t="str">
        <f t="shared" ref="R29:R39" si="32">IF(G29="-","",IF(G29/4*R$5=0, "",G29/4*R$5))</f>
        <v/>
      </c>
      <c r="S29" s="28" t="str">
        <f t="shared" si="23"/>
        <v/>
      </c>
      <c r="T29" s="28" t="str">
        <f t="shared" ref="T29:T39" si="33">IF(I29="-","",IF(I29/4*T$5=0, "",I29/4*T$5))</f>
        <v/>
      </c>
      <c r="U29" s="28">
        <f t="shared" si="24"/>
        <v>7.5</v>
      </c>
      <c r="V29" s="28">
        <f t="shared" si="25"/>
        <v>7.5</v>
      </c>
      <c r="W29" s="28">
        <f t="shared" si="26"/>
        <v>2.5</v>
      </c>
      <c r="X29" s="28" t="str">
        <f t="shared" si="27"/>
        <v/>
      </c>
      <c r="Y29" s="28" t="str">
        <f t="shared" si="28"/>
        <v/>
      </c>
      <c r="Z29" s="28" t="str">
        <f t="shared" si="29"/>
        <v/>
      </c>
      <c r="AA29" s="28" t="str">
        <f t="shared" si="30"/>
        <v/>
      </c>
      <c r="AB29" s="19" t="str">
        <f t="shared" si="31"/>
        <v/>
      </c>
      <c r="AD29" s="24" t="s">
        <v>161</v>
      </c>
      <c r="AE29" s="23">
        <v>3</v>
      </c>
      <c r="AF29" s="23">
        <v>3.3333333333333335</v>
      </c>
      <c r="AG29" s="23">
        <v>2</v>
      </c>
      <c r="AH29" s="23">
        <v>3</v>
      </c>
      <c r="AI29" s="23">
        <v>3.3333333333333335</v>
      </c>
      <c r="AJ29" s="23">
        <v>2.3333333333333335</v>
      </c>
      <c r="AK29" s="23">
        <v>3.3333333333333335</v>
      </c>
      <c r="AL29" s="23">
        <v>1.6666666666666667</v>
      </c>
      <c r="AM29" s="23"/>
      <c r="AN29" s="23"/>
      <c r="AO29" s="23"/>
      <c r="AP29" s="23">
        <v>7.5</v>
      </c>
      <c r="AQ29" s="23">
        <v>8.3333333333333339</v>
      </c>
      <c r="AR29" s="23">
        <v>5</v>
      </c>
      <c r="AS29" s="23">
        <v>7.5</v>
      </c>
      <c r="AT29" s="23">
        <v>8.3333333333333339</v>
      </c>
      <c r="AU29" s="23">
        <v>5.833333333333333</v>
      </c>
      <c r="AV29" s="23">
        <v>8.3333333333333339</v>
      </c>
      <c r="AW29" s="23">
        <v>2.0833333333333335</v>
      </c>
      <c r="AX29" s="23"/>
      <c r="AY29" s="23"/>
      <c r="AZ29" s="23"/>
      <c r="BA29" s="23">
        <f>SUM(AE29:AO29)</f>
        <v>22</v>
      </c>
      <c r="BB29" s="23">
        <f>SUMIFS(AP29:AZ29, AP29:AZ29, "&lt;&gt;")/SUMIFS($AP$5:$AZ$5, AP29:AZ29, "&lt;&gt;")*100</f>
        <v>70.555555555555571</v>
      </c>
    </row>
    <row r="30" spans="1:54" x14ac:dyDescent="0.3">
      <c r="A30" s="32" t="s">
        <v>62</v>
      </c>
      <c r="B30" s="32" t="s">
        <v>110</v>
      </c>
      <c r="C30" s="40"/>
      <c r="E30" s="18" t="s">
        <v>78</v>
      </c>
      <c r="F30" s="19" t="s">
        <v>159</v>
      </c>
      <c r="G30" s="18"/>
      <c r="H30" s="28"/>
      <c r="I30" s="28"/>
      <c r="J30" s="28"/>
      <c r="K30" s="28"/>
      <c r="L30" s="28"/>
      <c r="M30" s="28">
        <v>2</v>
      </c>
      <c r="N30" s="28">
        <v>2</v>
      </c>
      <c r="O30" s="28"/>
      <c r="P30" s="28"/>
      <c r="Q30" s="28"/>
      <c r="R30" s="18" t="str">
        <f t="shared" si="32"/>
        <v/>
      </c>
      <c r="S30" s="28" t="str">
        <f t="shared" si="23"/>
        <v/>
      </c>
      <c r="T30" s="28" t="str">
        <f t="shared" si="33"/>
        <v/>
      </c>
      <c r="U30" s="28" t="str">
        <f t="shared" si="24"/>
        <v/>
      </c>
      <c r="V30" s="28" t="str">
        <f t="shared" si="25"/>
        <v/>
      </c>
      <c r="W30" s="28" t="str">
        <f t="shared" si="26"/>
        <v/>
      </c>
      <c r="X30" s="28">
        <f t="shared" si="27"/>
        <v>5</v>
      </c>
      <c r="Y30" s="28">
        <f t="shared" si="28"/>
        <v>2.5</v>
      </c>
      <c r="Z30" s="28" t="str">
        <f t="shared" si="29"/>
        <v/>
      </c>
      <c r="AA30" s="28" t="str">
        <f t="shared" si="30"/>
        <v/>
      </c>
      <c r="AB30" s="19" t="str">
        <f t="shared" si="31"/>
        <v/>
      </c>
      <c r="AD30" s="24" t="s">
        <v>159</v>
      </c>
      <c r="AE30" s="23">
        <v>4</v>
      </c>
      <c r="AF30" s="23">
        <v>4</v>
      </c>
      <c r="AG30" s="23">
        <v>2</v>
      </c>
      <c r="AH30" s="23">
        <v>3</v>
      </c>
      <c r="AI30" s="23">
        <v>3</v>
      </c>
      <c r="AJ30" s="23">
        <v>1</v>
      </c>
      <c r="AK30" s="23">
        <v>2</v>
      </c>
      <c r="AL30" s="23">
        <v>2</v>
      </c>
      <c r="AM30" s="23">
        <v>3</v>
      </c>
      <c r="AN30" s="23">
        <v>4</v>
      </c>
      <c r="AO30" s="23">
        <v>4</v>
      </c>
      <c r="AP30" s="23">
        <v>10</v>
      </c>
      <c r="AQ30" s="23">
        <v>10</v>
      </c>
      <c r="AR30" s="23">
        <v>5</v>
      </c>
      <c r="AS30" s="23">
        <v>7.5</v>
      </c>
      <c r="AT30" s="23">
        <v>7.5</v>
      </c>
      <c r="AU30" s="23">
        <v>2.5</v>
      </c>
      <c r="AV30" s="23">
        <v>5</v>
      </c>
      <c r="AW30" s="23">
        <v>2.5</v>
      </c>
      <c r="AX30" s="23">
        <v>3.75</v>
      </c>
      <c r="AY30" s="23">
        <v>5</v>
      </c>
      <c r="AZ30" s="23">
        <v>15</v>
      </c>
      <c r="BA30" s="23">
        <f>SUM(AE30:AO30)</f>
        <v>32</v>
      </c>
      <c r="BB30" s="23">
        <f>SUMIFS(AP30:AZ30, AP30:AZ30, "&lt;&gt;")/SUMIFS($AP$5:$AZ$5, AP30:AZ30, "&lt;&gt;")*100</f>
        <v>73.75</v>
      </c>
    </row>
    <row r="31" spans="1:54" ht="14.5" thickBot="1" x14ac:dyDescent="0.35">
      <c r="A31" s="31" t="s">
        <v>72</v>
      </c>
      <c r="B31" s="31" t="s">
        <v>111</v>
      </c>
      <c r="C31" s="40"/>
      <c r="E31" s="20" t="s">
        <v>126</v>
      </c>
      <c r="F31" s="22" t="s">
        <v>159</v>
      </c>
      <c r="G31" s="20"/>
      <c r="H31" s="21"/>
      <c r="I31" s="21"/>
      <c r="J31" s="21"/>
      <c r="K31" s="21"/>
      <c r="L31" s="21"/>
      <c r="M31" s="21"/>
      <c r="N31" s="21"/>
      <c r="O31" s="21">
        <v>3</v>
      </c>
      <c r="P31" s="21">
        <v>4</v>
      </c>
      <c r="Q31" s="21">
        <v>4</v>
      </c>
      <c r="R31" s="20" t="str">
        <f t="shared" si="32"/>
        <v/>
      </c>
      <c r="S31" s="21" t="str">
        <f t="shared" si="23"/>
        <v/>
      </c>
      <c r="T31" s="21" t="str">
        <f t="shared" si="33"/>
        <v/>
      </c>
      <c r="U31" s="21" t="str">
        <f t="shared" si="24"/>
        <v/>
      </c>
      <c r="V31" s="21" t="str">
        <f t="shared" si="25"/>
        <v/>
      </c>
      <c r="W31" s="21" t="str">
        <f t="shared" si="26"/>
        <v/>
      </c>
      <c r="X31" s="21" t="str">
        <f t="shared" si="27"/>
        <v/>
      </c>
      <c r="Y31" s="21" t="str">
        <f t="shared" si="28"/>
        <v/>
      </c>
      <c r="Z31" s="21">
        <f t="shared" si="29"/>
        <v>3.75</v>
      </c>
      <c r="AA31" s="21">
        <f>IF(P31="-","",IF(P31/4*AA$5=0, "",P31/4*AA$5))</f>
        <v>5</v>
      </c>
      <c r="AB31" s="22">
        <f t="shared" si="31"/>
        <v>15</v>
      </c>
      <c r="AD31" s="24" t="s">
        <v>92</v>
      </c>
      <c r="AE31" s="23">
        <v>3.25</v>
      </c>
      <c r="AF31" s="23">
        <v>3.5</v>
      </c>
      <c r="AG31" s="23">
        <v>2</v>
      </c>
      <c r="AH31" s="23">
        <v>3</v>
      </c>
      <c r="AI31" s="23">
        <v>3.25</v>
      </c>
      <c r="AJ31" s="23">
        <v>2</v>
      </c>
      <c r="AK31" s="23">
        <v>3</v>
      </c>
      <c r="AL31" s="23">
        <v>1.75</v>
      </c>
      <c r="AM31" s="23">
        <v>3</v>
      </c>
      <c r="AN31" s="23">
        <v>4</v>
      </c>
      <c r="AO31" s="23">
        <v>4</v>
      </c>
      <c r="AP31" s="23">
        <v>8.125</v>
      </c>
      <c r="AQ31" s="23">
        <v>8.75</v>
      </c>
      <c r="AR31" s="23">
        <v>5</v>
      </c>
      <c r="AS31" s="23">
        <v>7.5</v>
      </c>
      <c r="AT31" s="23">
        <v>8.125</v>
      </c>
      <c r="AU31" s="23">
        <v>5</v>
      </c>
      <c r="AV31" s="23">
        <v>7.5</v>
      </c>
      <c r="AW31" s="23">
        <v>2.1875</v>
      </c>
      <c r="AX31" s="23">
        <v>3.75</v>
      </c>
      <c r="AY31" s="23">
        <v>5</v>
      </c>
      <c r="AZ31" s="23">
        <v>15</v>
      </c>
      <c r="BA31" s="23">
        <f>SUM(AE31:AO31)</f>
        <v>32.75</v>
      </c>
      <c r="BB31" s="23">
        <f>SUMIFS(AP31:AZ31, AP31:AZ31, "&lt;&gt;")/SUMIFS($AP$5:$AZ$5, AP31:AZ31, "&lt;&gt;")*100</f>
        <v>75.9375</v>
      </c>
    </row>
    <row r="32" spans="1:54" x14ac:dyDescent="0.3">
      <c r="A32" s="31" t="s">
        <v>72</v>
      </c>
      <c r="B32" s="31" t="s">
        <v>112</v>
      </c>
      <c r="C32" s="40"/>
      <c r="E32" s="15" t="s">
        <v>62</v>
      </c>
      <c r="F32" s="17" t="s">
        <v>161</v>
      </c>
      <c r="G32" s="15">
        <v>3</v>
      </c>
      <c r="H32" s="16">
        <v>2</v>
      </c>
      <c r="I32" s="16">
        <v>2</v>
      </c>
      <c r="J32" s="16"/>
      <c r="K32" s="16"/>
      <c r="L32" s="16"/>
      <c r="M32" s="16"/>
      <c r="N32" s="16"/>
      <c r="O32" s="16"/>
      <c r="P32" s="16"/>
      <c r="Q32" s="17"/>
      <c r="R32" s="16">
        <f t="shared" si="32"/>
        <v>7.5</v>
      </c>
      <c r="S32" s="16">
        <f t="shared" si="23"/>
        <v>5</v>
      </c>
      <c r="T32" s="16">
        <f t="shared" si="33"/>
        <v>5</v>
      </c>
      <c r="U32" s="16" t="str">
        <f t="shared" si="24"/>
        <v/>
      </c>
      <c r="V32" s="16" t="str">
        <f t="shared" si="25"/>
        <v/>
      </c>
      <c r="W32" s="16" t="str">
        <f t="shared" si="26"/>
        <v/>
      </c>
      <c r="X32" s="16" t="str">
        <f t="shared" si="27"/>
        <v/>
      </c>
      <c r="Y32" s="16" t="str">
        <f t="shared" si="28"/>
        <v/>
      </c>
      <c r="Z32" s="16" t="str">
        <f t="shared" si="29"/>
        <v/>
      </c>
      <c r="AA32" s="16" t="str">
        <f t="shared" ref="AA32:AA39" si="34">IF(P32="-","",IF(P32/4*AA$5=0, "",P32/4*AA$5))</f>
        <v/>
      </c>
      <c r="AB32" s="17" t="str">
        <f t="shared" si="31"/>
        <v/>
      </c>
    </row>
    <row r="33" spans="1:28" x14ac:dyDescent="0.3">
      <c r="A33" s="31" t="s">
        <v>72</v>
      </c>
      <c r="B33" s="31" t="s">
        <v>113</v>
      </c>
      <c r="C33" s="40"/>
      <c r="E33" s="18" t="s">
        <v>72</v>
      </c>
      <c r="F33" s="19" t="s">
        <v>161</v>
      </c>
      <c r="G33" s="18"/>
      <c r="H33" s="28"/>
      <c r="I33" s="28"/>
      <c r="J33" s="28">
        <v>4</v>
      </c>
      <c r="K33" s="28">
        <v>4</v>
      </c>
      <c r="L33" s="28">
        <v>1</v>
      </c>
      <c r="M33" s="28"/>
      <c r="N33" s="28"/>
      <c r="O33" s="28"/>
      <c r="P33" s="28"/>
      <c r="Q33" s="19"/>
      <c r="R33" s="28" t="str">
        <f t="shared" si="32"/>
        <v/>
      </c>
      <c r="S33" s="28" t="str">
        <f t="shared" si="23"/>
        <v/>
      </c>
      <c r="T33" s="28" t="str">
        <f t="shared" si="33"/>
        <v/>
      </c>
      <c r="U33" s="28">
        <f t="shared" si="24"/>
        <v>10</v>
      </c>
      <c r="V33" s="28">
        <f t="shared" si="25"/>
        <v>10</v>
      </c>
      <c r="W33" s="28">
        <f t="shared" si="26"/>
        <v>2.5</v>
      </c>
      <c r="X33" s="28" t="str">
        <f t="shared" si="27"/>
        <v/>
      </c>
      <c r="Y33" s="28" t="str">
        <f t="shared" si="28"/>
        <v/>
      </c>
      <c r="Z33" s="28" t="str">
        <f t="shared" si="29"/>
        <v/>
      </c>
      <c r="AA33" s="28" t="str">
        <f t="shared" si="34"/>
        <v/>
      </c>
      <c r="AB33" s="19" t="str">
        <f t="shared" si="31"/>
        <v/>
      </c>
    </row>
    <row r="34" spans="1:28" x14ac:dyDescent="0.3">
      <c r="A34" s="30" t="s">
        <v>78</v>
      </c>
      <c r="B34" s="30" t="s">
        <v>114</v>
      </c>
      <c r="C34" s="40"/>
      <c r="E34" s="18" t="s">
        <v>78</v>
      </c>
      <c r="F34" s="19" t="s">
        <v>161</v>
      </c>
      <c r="G34" s="18"/>
      <c r="H34" s="28"/>
      <c r="I34" s="28"/>
      <c r="J34" s="28"/>
      <c r="K34" s="28"/>
      <c r="L34" s="28"/>
      <c r="M34" s="28">
        <v>4</v>
      </c>
      <c r="N34" s="28">
        <v>2</v>
      </c>
      <c r="O34" s="28"/>
      <c r="P34" s="28"/>
      <c r="Q34" s="19"/>
      <c r="R34" s="28" t="str">
        <f t="shared" si="32"/>
        <v/>
      </c>
      <c r="S34" s="28" t="str">
        <f t="shared" si="23"/>
        <v/>
      </c>
      <c r="T34" s="28" t="str">
        <f t="shared" si="33"/>
        <v/>
      </c>
      <c r="U34" s="28" t="str">
        <f t="shared" si="24"/>
        <v/>
      </c>
      <c r="V34" s="28" t="str">
        <f t="shared" si="25"/>
        <v/>
      </c>
      <c r="W34" s="28" t="str">
        <f t="shared" si="26"/>
        <v/>
      </c>
      <c r="X34" s="28">
        <f t="shared" si="27"/>
        <v>10</v>
      </c>
      <c r="Y34" s="28">
        <f t="shared" si="28"/>
        <v>2.5</v>
      </c>
      <c r="Z34" s="28" t="str">
        <f t="shared" si="29"/>
        <v/>
      </c>
      <c r="AA34" s="28" t="str">
        <f t="shared" si="34"/>
        <v/>
      </c>
      <c r="AB34" s="19" t="str">
        <f t="shared" si="31"/>
        <v/>
      </c>
    </row>
    <row r="35" spans="1:28" ht="14.5" thickBot="1" x14ac:dyDescent="0.35">
      <c r="A35" s="30" t="s">
        <v>78</v>
      </c>
      <c r="B35" s="30" t="s">
        <v>115</v>
      </c>
      <c r="C35" s="40"/>
      <c r="E35" s="18" t="s">
        <v>126</v>
      </c>
      <c r="F35" s="19" t="s">
        <v>161</v>
      </c>
      <c r="G35" s="18"/>
      <c r="H35" s="28"/>
      <c r="I35" s="28"/>
      <c r="J35" s="28"/>
      <c r="K35" s="28"/>
      <c r="L35" s="28"/>
      <c r="M35" s="28"/>
      <c r="N35" s="28"/>
      <c r="O35" s="28"/>
      <c r="P35" s="28"/>
      <c r="Q35" s="19"/>
      <c r="R35" s="28" t="str">
        <f t="shared" si="32"/>
        <v/>
      </c>
      <c r="S35" s="28" t="str">
        <f t="shared" si="23"/>
        <v/>
      </c>
      <c r="T35" s="28" t="str">
        <f t="shared" si="33"/>
        <v/>
      </c>
      <c r="U35" s="28" t="str">
        <f t="shared" si="24"/>
        <v/>
      </c>
      <c r="V35" s="28" t="str">
        <f t="shared" si="25"/>
        <v/>
      </c>
      <c r="W35" s="28" t="str">
        <f t="shared" si="26"/>
        <v/>
      </c>
      <c r="X35" s="28" t="str">
        <f t="shared" si="27"/>
        <v/>
      </c>
      <c r="Y35" s="28" t="str">
        <f t="shared" si="28"/>
        <v/>
      </c>
      <c r="Z35" s="28" t="str">
        <f t="shared" si="29"/>
        <v/>
      </c>
      <c r="AA35" s="28" t="str">
        <f t="shared" si="34"/>
        <v/>
      </c>
      <c r="AB35" s="19" t="str">
        <f t="shared" si="31"/>
        <v/>
      </c>
    </row>
    <row r="36" spans="1:28" x14ac:dyDescent="0.3">
      <c r="A36" s="29" t="s">
        <v>126</v>
      </c>
      <c r="B36" s="29" t="s">
        <v>116</v>
      </c>
      <c r="C36" s="40"/>
      <c r="E36" s="15" t="s">
        <v>62</v>
      </c>
      <c r="F36" s="17" t="s">
        <v>161</v>
      </c>
      <c r="G36" s="15">
        <v>2</v>
      </c>
      <c r="H36" s="16">
        <v>4</v>
      </c>
      <c r="I36" s="16">
        <v>1</v>
      </c>
      <c r="J36" s="16"/>
      <c r="K36" s="16"/>
      <c r="L36" s="16"/>
      <c r="M36" s="16"/>
      <c r="N36" s="16"/>
      <c r="O36" s="16"/>
      <c r="P36" s="16"/>
      <c r="Q36" s="16"/>
      <c r="R36" s="15">
        <f t="shared" si="32"/>
        <v>5</v>
      </c>
      <c r="S36" s="16">
        <f t="shared" si="23"/>
        <v>10</v>
      </c>
      <c r="T36" s="16">
        <f t="shared" si="33"/>
        <v>2.5</v>
      </c>
      <c r="U36" s="16" t="str">
        <f t="shared" si="24"/>
        <v/>
      </c>
      <c r="V36" s="16" t="str">
        <f t="shared" si="25"/>
        <v/>
      </c>
      <c r="W36" s="16" t="str">
        <f t="shared" si="26"/>
        <v/>
      </c>
      <c r="X36" s="16" t="str">
        <f t="shared" si="27"/>
        <v/>
      </c>
      <c r="Y36" s="16" t="str">
        <f t="shared" si="28"/>
        <v/>
      </c>
      <c r="Z36" s="16" t="str">
        <f t="shared" si="29"/>
        <v/>
      </c>
      <c r="AA36" s="16" t="str">
        <f t="shared" si="34"/>
        <v/>
      </c>
      <c r="AB36" s="17" t="str">
        <f t="shared" si="31"/>
        <v/>
      </c>
    </row>
    <row r="37" spans="1:28" x14ac:dyDescent="0.3">
      <c r="A37" s="29" t="s">
        <v>126</v>
      </c>
      <c r="B37" s="29" t="s">
        <v>127</v>
      </c>
      <c r="C37" s="40"/>
      <c r="E37" s="18" t="s">
        <v>72</v>
      </c>
      <c r="F37" s="19" t="s">
        <v>161</v>
      </c>
      <c r="G37" s="18"/>
      <c r="H37" s="28"/>
      <c r="I37" s="28"/>
      <c r="J37" s="28">
        <v>3</v>
      </c>
      <c r="K37" s="28">
        <v>4</v>
      </c>
      <c r="L37" s="28">
        <v>2</v>
      </c>
      <c r="M37" s="28"/>
      <c r="N37" s="28"/>
      <c r="O37" s="28"/>
      <c r="P37" s="28"/>
      <c r="Q37" s="28"/>
      <c r="R37" s="18" t="str">
        <f t="shared" si="32"/>
        <v/>
      </c>
      <c r="S37" s="28" t="str">
        <f t="shared" si="23"/>
        <v/>
      </c>
      <c r="T37" s="28" t="str">
        <f t="shared" si="33"/>
        <v/>
      </c>
      <c r="U37" s="28">
        <f t="shared" si="24"/>
        <v>7.5</v>
      </c>
      <c r="V37" s="28">
        <f t="shared" si="25"/>
        <v>10</v>
      </c>
      <c r="W37" s="28">
        <f t="shared" si="26"/>
        <v>5</v>
      </c>
      <c r="X37" s="28" t="str">
        <f t="shared" si="27"/>
        <v/>
      </c>
      <c r="Y37" s="28" t="str">
        <f t="shared" si="28"/>
        <v/>
      </c>
      <c r="Z37" s="28" t="str">
        <f t="shared" si="29"/>
        <v/>
      </c>
      <c r="AA37" s="28" t="str">
        <f t="shared" si="34"/>
        <v/>
      </c>
      <c r="AB37" s="19" t="str">
        <f t="shared" si="31"/>
        <v/>
      </c>
    </row>
    <row r="38" spans="1:28" x14ac:dyDescent="0.3">
      <c r="A38" s="29" t="s">
        <v>126</v>
      </c>
      <c r="B38" s="29" t="s">
        <v>128</v>
      </c>
      <c r="C38" s="40"/>
      <c r="E38" s="18" t="s">
        <v>78</v>
      </c>
      <c r="F38" s="19" t="s">
        <v>161</v>
      </c>
      <c r="G38" s="18"/>
      <c r="H38" s="28"/>
      <c r="I38" s="28"/>
      <c r="J38" s="28"/>
      <c r="K38" s="28"/>
      <c r="L38" s="28"/>
      <c r="M38" s="28">
        <v>3</v>
      </c>
      <c r="N38" s="28">
        <v>2</v>
      </c>
      <c r="O38" s="28"/>
      <c r="P38" s="28"/>
      <c r="Q38" s="28"/>
      <c r="R38" s="18" t="str">
        <f t="shared" si="32"/>
        <v/>
      </c>
      <c r="S38" s="28" t="str">
        <f t="shared" si="23"/>
        <v/>
      </c>
      <c r="T38" s="28" t="str">
        <f t="shared" si="33"/>
        <v/>
      </c>
      <c r="U38" s="28" t="str">
        <f t="shared" si="24"/>
        <v/>
      </c>
      <c r="V38" s="28" t="str">
        <f t="shared" si="25"/>
        <v/>
      </c>
      <c r="W38" s="28" t="str">
        <f t="shared" si="26"/>
        <v/>
      </c>
      <c r="X38" s="28">
        <f t="shared" si="27"/>
        <v>7.5</v>
      </c>
      <c r="Y38" s="28">
        <f t="shared" si="28"/>
        <v>2.5</v>
      </c>
      <c r="Z38" s="28" t="str">
        <f t="shared" si="29"/>
        <v/>
      </c>
      <c r="AA38" s="28" t="str">
        <f t="shared" si="34"/>
        <v/>
      </c>
      <c r="AB38" s="19" t="str">
        <f t="shared" si="31"/>
        <v/>
      </c>
    </row>
    <row r="39" spans="1:28" ht="14.5" thickBot="1" x14ac:dyDescent="0.35">
      <c r="E39" s="20" t="s">
        <v>126</v>
      </c>
      <c r="F39" s="22" t="s">
        <v>161</v>
      </c>
      <c r="G39" s="20"/>
      <c r="H39" s="21"/>
      <c r="I39" s="21"/>
      <c r="J39" s="21"/>
      <c r="K39" s="21"/>
      <c r="L39" s="21"/>
      <c r="M39" s="21"/>
      <c r="N39" s="21"/>
      <c r="O39" s="21" t="s">
        <v>153</v>
      </c>
      <c r="P39" s="21" t="s">
        <v>153</v>
      </c>
      <c r="Q39" s="21" t="s">
        <v>153</v>
      </c>
      <c r="R39" s="20" t="str">
        <f t="shared" si="32"/>
        <v/>
      </c>
      <c r="S39" s="21" t="str">
        <f t="shared" si="23"/>
        <v/>
      </c>
      <c r="T39" s="21" t="str">
        <f t="shared" si="33"/>
        <v/>
      </c>
      <c r="U39" s="21" t="str">
        <f t="shared" si="24"/>
        <v/>
      </c>
      <c r="V39" s="21" t="str">
        <f t="shared" si="25"/>
        <v/>
      </c>
      <c r="W39" s="21" t="str">
        <f t="shared" si="26"/>
        <v/>
      </c>
      <c r="X39" s="21" t="str">
        <f t="shared" si="27"/>
        <v/>
      </c>
      <c r="Y39" s="21" t="str">
        <f t="shared" si="28"/>
        <v/>
      </c>
      <c r="Z39" s="21" t="str">
        <f t="shared" si="29"/>
        <v/>
      </c>
      <c r="AA39" s="21" t="str">
        <f t="shared" si="34"/>
        <v/>
      </c>
      <c r="AB39" s="22" t="str">
        <f t="shared" si="31"/>
        <v/>
      </c>
    </row>
    <row r="40" spans="1:28" x14ac:dyDescent="0.3">
      <c r="E40" s="15" t="s">
        <v>62</v>
      </c>
      <c r="F40" s="17" t="s">
        <v>161</v>
      </c>
      <c r="G40" s="15">
        <v>4</v>
      </c>
      <c r="H40" s="16">
        <v>4</v>
      </c>
      <c r="I40" s="16">
        <v>3</v>
      </c>
      <c r="J40" s="16"/>
      <c r="K40" s="16"/>
      <c r="L40" s="16"/>
      <c r="M40" s="16"/>
      <c r="N40" s="16"/>
      <c r="O40" s="16"/>
      <c r="P40" s="16"/>
      <c r="Q40" s="17"/>
      <c r="R40" s="16">
        <f t="shared" ref="R40:AB43" si="35">IF(G40="-","",IF(G40/4*R$5=0, "",G40/4*R$5))</f>
        <v>10</v>
      </c>
      <c r="S40" s="16">
        <f t="shared" si="35"/>
        <v>10</v>
      </c>
      <c r="T40" s="16">
        <f t="shared" si="35"/>
        <v>7.5</v>
      </c>
      <c r="U40" s="16" t="str">
        <f t="shared" si="35"/>
        <v/>
      </c>
      <c r="V40" s="16" t="str">
        <f t="shared" si="35"/>
        <v/>
      </c>
      <c r="W40" s="16" t="str">
        <f t="shared" si="35"/>
        <v/>
      </c>
      <c r="X40" s="16" t="str">
        <f t="shared" si="35"/>
        <v/>
      </c>
      <c r="Y40" s="16" t="str">
        <f t="shared" si="35"/>
        <v/>
      </c>
      <c r="Z40" s="16" t="str">
        <f t="shared" si="35"/>
        <v/>
      </c>
      <c r="AA40" s="16" t="str">
        <f t="shared" si="35"/>
        <v/>
      </c>
      <c r="AB40" s="17" t="str">
        <f t="shared" si="35"/>
        <v/>
      </c>
    </row>
    <row r="41" spans="1:28" x14ac:dyDescent="0.3">
      <c r="E41" s="18" t="s">
        <v>72</v>
      </c>
      <c r="F41" s="19" t="s">
        <v>161</v>
      </c>
      <c r="G41" s="18"/>
      <c r="H41" s="28"/>
      <c r="I41" s="28"/>
      <c r="J41" s="28">
        <v>2</v>
      </c>
      <c r="K41" s="28">
        <v>2</v>
      </c>
      <c r="L41" s="28">
        <v>4</v>
      </c>
      <c r="M41" s="28"/>
      <c r="N41" s="28"/>
      <c r="O41" s="28"/>
      <c r="P41" s="28"/>
      <c r="Q41" s="19"/>
      <c r="R41" s="28" t="str">
        <f t="shared" si="35"/>
        <v/>
      </c>
      <c r="S41" s="28" t="str">
        <f t="shared" si="35"/>
        <v/>
      </c>
      <c r="T41" s="28" t="str">
        <f t="shared" si="35"/>
        <v/>
      </c>
      <c r="U41" s="28">
        <f t="shared" si="35"/>
        <v>5</v>
      </c>
      <c r="V41" s="28">
        <f t="shared" si="35"/>
        <v>5</v>
      </c>
      <c r="W41" s="28">
        <f t="shared" si="35"/>
        <v>10</v>
      </c>
      <c r="X41" s="28" t="str">
        <f t="shared" si="35"/>
        <v/>
      </c>
      <c r="Y41" s="28" t="str">
        <f t="shared" si="35"/>
        <v/>
      </c>
      <c r="Z41" s="28" t="str">
        <f t="shared" si="35"/>
        <v/>
      </c>
      <c r="AA41" s="28" t="str">
        <f t="shared" si="35"/>
        <v/>
      </c>
      <c r="AB41" s="19" t="str">
        <f t="shared" si="35"/>
        <v/>
      </c>
    </row>
    <row r="42" spans="1:28" x14ac:dyDescent="0.3">
      <c r="E42" s="18" t="s">
        <v>78</v>
      </c>
      <c r="F42" s="19" t="s">
        <v>161</v>
      </c>
      <c r="G42" s="18"/>
      <c r="H42" s="28"/>
      <c r="I42" s="28"/>
      <c r="J42" s="28"/>
      <c r="K42" s="28"/>
      <c r="L42" s="28"/>
      <c r="M42" s="28">
        <v>3</v>
      </c>
      <c r="N42" s="28">
        <v>1</v>
      </c>
      <c r="O42" s="28"/>
      <c r="P42" s="28"/>
      <c r="Q42" s="19"/>
      <c r="R42" s="28" t="str">
        <f t="shared" si="35"/>
        <v/>
      </c>
      <c r="S42" s="28" t="str">
        <f t="shared" si="35"/>
        <v/>
      </c>
      <c r="T42" s="28" t="str">
        <f t="shared" si="35"/>
        <v/>
      </c>
      <c r="U42" s="28" t="str">
        <f t="shared" si="35"/>
        <v/>
      </c>
      <c r="V42" s="28" t="str">
        <f t="shared" si="35"/>
        <v/>
      </c>
      <c r="W42" s="28" t="str">
        <f t="shared" si="35"/>
        <v/>
      </c>
      <c r="X42" s="28">
        <f t="shared" si="35"/>
        <v>7.5</v>
      </c>
      <c r="Y42" s="28">
        <f t="shared" si="35"/>
        <v>1.25</v>
      </c>
      <c r="Z42" s="28" t="str">
        <f t="shared" si="35"/>
        <v/>
      </c>
      <c r="AA42" s="28" t="str">
        <f t="shared" si="35"/>
        <v/>
      </c>
      <c r="AB42" s="19" t="str">
        <f t="shared" si="35"/>
        <v/>
      </c>
    </row>
    <row r="43" spans="1:28" ht="14.5" thickBot="1" x14ac:dyDescent="0.35">
      <c r="E43" s="20" t="s">
        <v>126</v>
      </c>
      <c r="F43" s="22" t="s">
        <v>161</v>
      </c>
      <c r="G43" s="20"/>
      <c r="H43" s="21"/>
      <c r="I43" s="21"/>
      <c r="J43" s="21"/>
      <c r="K43" s="21"/>
      <c r="L43" s="21"/>
      <c r="M43" s="21"/>
      <c r="N43" s="21"/>
      <c r="O43" s="21"/>
      <c r="P43" s="21"/>
      <c r="Q43" s="22"/>
      <c r="R43" s="21" t="str">
        <f t="shared" si="35"/>
        <v/>
      </c>
      <c r="S43" s="21" t="str">
        <f t="shared" si="35"/>
        <v/>
      </c>
      <c r="T43" s="21" t="str">
        <f t="shared" si="35"/>
        <v/>
      </c>
      <c r="U43" s="21" t="str">
        <f t="shared" si="35"/>
        <v/>
      </c>
      <c r="V43" s="21" t="str">
        <f t="shared" si="35"/>
        <v/>
      </c>
      <c r="W43" s="21" t="str">
        <f t="shared" si="35"/>
        <v/>
      </c>
      <c r="X43" s="21" t="str">
        <f t="shared" si="35"/>
        <v/>
      </c>
      <c r="Y43" s="21" t="str">
        <f t="shared" si="35"/>
        <v/>
      </c>
      <c r="Z43" s="21" t="str">
        <f t="shared" si="35"/>
        <v/>
      </c>
      <c r="AA43" s="21" t="str">
        <f t="shared" si="35"/>
        <v/>
      </c>
      <c r="AB43" s="22" t="str">
        <f t="shared" si="35"/>
        <v/>
      </c>
    </row>
    <row r="46" spans="1:28" x14ac:dyDescent="0.3">
      <c r="A46" t="s">
        <v>187</v>
      </c>
    </row>
    <row r="47" spans="1:28" x14ac:dyDescent="0.3">
      <c r="A47" s="4" t="s">
        <v>188</v>
      </c>
    </row>
    <row r="49" spans="1:54" x14ac:dyDescent="0.3">
      <c r="A49" s="18" t="s">
        <v>189</v>
      </c>
      <c r="G49" s="32" t="s">
        <v>62</v>
      </c>
      <c r="H49" s="32" t="s">
        <v>62</v>
      </c>
      <c r="I49" s="32" t="s">
        <v>62</v>
      </c>
      <c r="J49" s="31" t="s">
        <v>72</v>
      </c>
      <c r="K49" s="31" t="s">
        <v>72</v>
      </c>
      <c r="L49" s="31" t="s">
        <v>72</v>
      </c>
      <c r="M49" s="30" t="s">
        <v>78</v>
      </c>
      <c r="N49" s="30" t="s">
        <v>78</v>
      </c>
      <c r="O49" s="29" t="s">
        <v>126</v>
      </c>
      <c r="P49" s="29" t="s">
        <v>126</v>
      </c>
      <c r="Q49" s="29" t="s">
        <v>126</v>
      </c>
      <c r="R49" s="32" t="s">
        <v>62</v>
      </c>
      <c r="S49" s="32" t="s">
        <v>62</v>
      </c>
      <c r="T49" s="32" t="s">
        <v>62</v>
      </c>
      <c r="U49" s="31" t="s">
        <v>72</v>
      </c>
      <c r="V49" s="31" t="s">
        <v>72</v>
      </c>
      <c r="W49" s="31" t="s">
        <v>72</v>
      </c>
      <c r="X49" s="30" t="s">
        <v>78</v>
      </c>
      <c r="Y49" s="30" t="s">
        <v>78</v>
      </c>
      <c r="Z49" s="29" t="s">
        <v>126</v>
      </c>
      <c r="AA49" s="29" t="s">
        <v>126</v>
      </c>
      <c r="AB49" s="29" t="s">
        <v>126</v>
      </c>
    </row>
    <row r="50" spans="1:54" x14ac:dyDescent="0.3">
      <c r="E50" t="s">
        <v>129</v>
      </c>
      <c r="G50" s="9"/>
      <c r="H50" s="9"/>
      <c r="I50" s="9"/>
      <c r="J50" s="9"/>
      <c r="K50" s="9"/>
      <c r="L50" s="9"/>
      <c r="M50" s="9"/>
      <c r="N50" s="9"/>
      <c r="O50" s="10"/>
      <c r="P50" s="10"/>
      <c r="Q50" s="10"/>
      <c r="R50" s="9"/>
      <c r="S50" s="9"/>
      <c r="T50" s="9"/>
      <c r="U50" s="9"/>
      <c r="V50" s="9"/>
      <c r="W50" s="9"/>
      <c r="X50" s="9"/>
      <c r="Y50" s="9"/>
      <c r="Z50" s="10"/>
      <c r="AA50" s="10"/>
      <c r="AB50" s="10"/>
      <c r="AE50" s="32" t="s">
        <v>62</v>
      </c>
      <c r="AF50" s="32" t="s">
        <v>62</v>
      </c>
      <c r="AG50" s="32" t="s">
        <v>62</v>
      </c>
      <c r="AH50" s="31" t="s">
        <v>72</v>
      </c>
      <c r="AI50" s="31" t="s">
        <v>72</v>
      </c>
      <c r="AJ50" s="31" t="s">
        <v>72</v>
      </c>
      <c r="AK50" s="30" t="s">
        <v>78</v>
      </c>
      <c r="AL50" s="30" t="s">
        <v>78</v>
      </c>
      <c r="AM50" s="29" t="s">
        <v>126</v>
      </c>
      <c r="AN50" s="29" t="s">
        <v>126</v>
      </c>
      <c r="AO50" s="29" t="s">
        <v>126</v>
      </c>
      <c r="AP50" s="32" t="s">
        <v>62</v>
      </c>
      <c r="AQ50" s="32" t="s">
        <v>62</v>
      </c>
      <c r="AR50" s="32" t="s">
        <v>62</v>
      </c>
      <c r="AS50" s="31" t="s">
        <v>72</v>
      </c>
      <c r="AT50" s="31" t="s">
        <v>72</v>
      </c>
      <c r="AU50" s="31" t="s">
        <v>72</v>
      </c>
      <c r="AV50" s="30" t="s">
        <v>78</v>
      </c>
      <c r="AW50" s="30" t="s">
        <v>78</v>
      </c>
      <c r="AX50" s="29" t="s">
        <v>126</v>
      </c>
      <c r="AY50" s="29" t="s">
        <v>126</v>
      </c>
      <c r="AZ50" s="29" t="s">
        <v>126</v>
      </c>
    </row>
    <row r="51" spans="1:54" ht="14.5" thickBot="1" x14ac:dyDescent="0.35">
      <c r="G51" s="11">
        <v>10</v>
      </c>
      <c r="H51" s="11">
        <v>10</v>
      </c>
      <c r="I51" s="11">
        <v>10</v>
      </c>
      <c r="J51" s="11">
        <v>10</v>
      </c>
      <c r="K51" s="11">
        <v>10</v>
      </c>
      <c r="L51" s="11">
        <v>10</v>
      </c>
      <c r="M51" s="11">
        <v>10</v>
      </c>
      <c r="N51" s="11">
        <v>5</v>
      </c>
      <c r="O51" s="11">
        <v>5</v>
      </c>
      <c r="P51" s="11">
        <v>5</v>
      </c>
      <c r="Q51" s="11">
        <v>15</v>
      </c>
      <c r="R51" s="11">
        <v>10</v>
      </c>
      <c r="S51" s="11">
        <v>10</v>
      </c>
      <c r="T51" s="11">
        <v>10</v>
      </c>
      <c r="U51" s="11">
        <v>10</v>
      </c>
      <c r="V51" s="11">
        <v>10</v>
      </c>
      <c r="W51" s="11">
        <v>10</v>
      </c>
      <c r="X51" s="11">
        <v>10</v>
      </c>
      <c r="Y51" s="11">
        <v>5</v>
      </c>
      <c r="Z51" s="11">
        <v>5</v>
      </c>
      <c r="AA51" s="11">
        <v>5</v>
      </c>
      <c r="AB51" s="11">
        <v>15</v>
      </c>
      <c r="AD51" s="25" t="s">
        <v>190</v>
      </c>
      <c r="AE51" s="44">
        <v>1999</v>
      </c>
    </row>
    <row r="52" spans="1:54" ht="14.5" thickBot="1" x14ac:dyDescent="0.35">
      <c r="D52" s="41" t="s">
        <v>190</v>
      </c>
      <c r="E52" s="36" t="s">
        <v>106</v>
      </c>
      <c r="F52" s="37" t="s">
        <v>107</v>
      </c>
      <c r="G52" s="26" t="s">
        <v>108</v>
      </c>
      <c r="H52" s="12" t="s">
        <v>109</v>
      </c>
      <c r="I52" s="12" t="s">
        <v>110</v>
      </c>
      <c r="J52" s="12" t="s">
        <v>111</v>
      </c>
      <c r="K52" s="12" t="s">
        <v>112</v>
      </c>
      <c r="L52" s="12" t="s">
        <v>113</v>
      </c>
      <c r="M52" s="12" t="s">
        <v>114</v>
      </c>
      <c r="N52" s="12" t="s">
        <v>115</v>
      </c>
      <c r="O52" s="13" t="s">
        <v>116</v>
      </c>
      <c r="P52" s="13" t="s">
        <v>127</v>
      </c>
      <c r="Q52" s="27" t="s">
        <v>128</v>
      </c>
      <c r="R52" s="33" t="s">
        <v>117</v>
      </c>
      <c r="S52" s="14" t="s">
        <v>118</v>
      </c>
      <c r="T52" s="14" t="s">
        <v>119</v>
      </c>
      <c r="U52" s="14" t="s">
        <v>120</v>
      </c>
      <c r="V52" s="14" t="s">
        <v>121</v>
      </c>
      <c r="W52" s="14" t="s">
        <v>122</v>
      </c>
      <c r="X52" s="14" t="s">
        <v>123</v>
      </c>
      <c r="Y52" s="14" t="s">
        <v>124</v>
      </c>
      <c r="Z52" s="34" t="s">
        <v>125</v>
      </c>
      <c r="AA52" s="34" t="s">
        <v>151</v>
      </c>
      <c r="AB52" s="35" t="s">
        <v>152</v>
      </c>
      <c r="AE52" s="11">
        <v>10</v>
      </c>
      <c r="AF52" s="11">
        <v>10</v>
      </c>
      <c r="AG52" s="11">
        <v>10</v>
      </c>
      <c r="AH52" s="11">
        <v>10</v>
      </c>
      <c r="AI52" s="11">
        <v>10</v>
      </c>
      <c r="AJ52" s="11">
        <v>10</v>
      </c>
      <c r="AK52" s="11">
        <v>10</v>
      </c>
      <c r="AL52" s="11">
        <v>5</v>
      </c>
      <c r="AM52" s="11">
        <v>5</v>
      </c>
      <c r="AN52" s="11">
        <v>5</v>
      </c>
      <c r="AO52" s="11">
        <v>15</v>
      </c>
      <c r="AP52" s="11">
        <v>10</v>
      </c>
      <c r="AQ52" s="11">
        <v>10</v>
      </c>
      <c r="AR52" s="11">
        <v>10</v>
      </c>
      <c r="AS52" s="11">
        <v>10</v>
      </c>
      <c r="AT52" s="11">
        <v>10</v>
      </c>
      <c r="AU52" s="11">
        <v>10</v>
      </c>
      <c r="AV52" s="11">
        <v>10</v>
      </c>
      <c r="AW52" s="11">
        <v>5</v>
      </c>
      <c r="AX52" s="11">
        <v>5</v>
      </c>
      <c r="AY52" s="11">
        <v>5</v>
      </c>
      <c r="AZ52" s="11">
        <v>15</v>
      </c>
      <c r="BA52" s="11"/>
    </row>
    <row r="53" spans="1:54" x14ac:dyDescent="0.3">
      <c r="A53" s="32" t="s">
        <v>62</v>
      </c>
      <c r="B53" s="32" t="s">
        <v>108</v>
      </c>
      <c r="D53" s="41">
        <v>1999</v>
      </c>
      <c r="E53" s="16" t="s">
        <v>62</v>
      </c>
      <c r="F53" s="17" t="s">
        <v>159</v>
      </c>
      <c r="G53" s="15">
        <v>4</v>
      </c>
      <c r="H53" s="16">
        <v>4</v>
      </c>
      <c r="I53" s="16">
        <v>2</v>
      </c>
      <c r="J53" s="16"/>
      <c r="K53" s="16"/>
      <c r="L53" s="16"/>
      <c r="M53" s="16"/>
      <c r="N53" s="16"/>
      <c r="O53" s="16"/>
      <c r="P53" s="16"/>
      <c r="Q53" s="16"/>
      <c r="R53" s="15">
        <f>IF(G53="-","",IF(G53/4*R$5=0, "",G53/4*R$5))</f>
        <v>10</v>
      </c>
      <c r="S53" s="16">
        <f t="shared" ref="S53:S64" si="36">IF(H53="-","",IF(H53/4*S$5=0, "",H53/4*S$5))</f>
        <v>10</v>
      </c>
      <c r="T53" s="16">
        <f>IF(I53="-","",IF(I53/4*T$5=0, "",I53/4*T$5))</f>
        <v>5</v>
      </c>
      <c r="U53" s="16" t="str">
        <f t="shared" ref="U53:U64" si="37">IF(J53="-","",IF(J53/4*U$5=0, "",J53/4*U$5))</f>
        <v/>
      </c>
      <c r="V53" s="16" t="str">
        <f t="shared" ref="V53:V64" si="38">IF(K53="-","",IF(K53/4*V$5=0, "",K53/4*V$5))</f>
        <v/>
      </c>
      <c r="W53" s="16" t="str">
        <f t="shared" ref="W53:W64" si="39">IF(L53="-","",IF(L53/4*W$5=0, "",L53/4*W$5))</f>
        <v/>
      </c>
      <c r="X53" s="16" t="str">
        <f t="shared" ref="X53:X64" si="40">IF(M53="-","",IF(M53/4*X$5=0, "",M53/4*X$5))</f>
        <v/>
      </c>
      <c r="Y53" s="16" t="str">
        <f t="shared" ref="Y53:Y64" si="41">IF(N53="-","",IF(N53/4*Y$5=0, "",N53/4*Y$5))</f>
        <v/>
      </c>
      <c r="Z53" s="16" t="str">
        <f t="shared" ref="Z53:Z64" si="42">IF(O53="-","",IF(O53/4*Z$5=0, "",O53/4*Z$5))</f>
        <v/>
      </c>
      <c r="AA53" s="16" t="str">
        <f t="shared" ref="AA53:AA55" si="43">IF(P53="-","",IF(P53/4*AA$5=0, "",P53/4*AA$5))</f>
        <v/>
      </c>
      <c r="AB53" s="17" t="str">
        <f t="shared" ref="AB53:AB64" si="44">IF(Q53="-","",IF(Q53/4*AB$5=0, "",Q53/4*AB$5))</f>
        <v/>
      </c>
      <c r="AD53" s="25" t="s">
        <v>130</v>
      </c>
      <c r="AE53" s="23" t="s">
        <v>131</v>
      </c>
      <c r="AF53" s="23" t="s">
        <v>132</v>
      </c>
      <c r="AG53" s="23" t="s">
        <v>133</v>
      </c>
      <c r="AH53" s="23" t="s">
        <v>134</v>
      </c>
      <c r="AI53" s="23" t="s">
        <v>135</v>
      </c>
      <c r="AJ53" s="23" t="s">
        <v>136</v>
      </c>
      <c r="AK53" s="23" t="s">
        <v>137</v>
      </c>
      <c r="AL53" s="23" t="s">
        <v>138</v>
      </c>
      <c r="AM53" s="23" t="s">
        <v>139</v>
      </c>
      <c r="AN53" s="23" t="s">
        <v>156</v>
      </c>
      <c r="AO53" s="23" t="s">
        <v>157</v>
      </c>
      <c r="AP53" s="23" t="s">
        <v>140</v>
      </c>
      <c r="AQ53" s="23" t="s">
        <v>141</v>
      </c>
      <c r="AR53" s="23" t="s">
        <v>142</v>
      </c>
      <c r="AS53" s="23" t="s">
        <v>143</v>
      </c>
      <c r="AT53" s="23" t="s">
        <v>144</v>
      </c>
      <c r="AU53" s="23" t="s">
        <v>145</v>
      </c>
      <c r="AV53" s="23" t="s">
        <v>146</v>
      </c>
      <c r="AW53" s="23" t="s">
        <v>147</v>
      </c>
      <c r="AX53" s="23" t="s">
        <v>148</v>
      </c>
      <c r="AY53" s="23" t="s">
        <v>154</v>
      </c>
      <c r="AZ53" s="23" t="s">
        <v>155</v>
      </c>
      <c r="BA53" s="23" t="s">
        <v>149</v>
      </c>
      <c r="BB53" s="23" t="s">
        <v>150</v>
      </c>
    </row>
    <row r="54" spans="1:54" x14ac:dyDescent="0.3">
      <c r="A54" s="32" t="s">
        <v>62</v>
      </c>
      <c r="B54" s="32" t="s">
        <v>109</v>
      </c>
      <c r="D54" s="42">
        <v>1999</v>
      </c>
      <c r="E54" s="28" t="s">
        <v>72</v>
      </c>
      <c r="F54" s="19" t="s">
        <v>159</v>
      </c>
      <c r="G54" s="18"/>
      <c r="H54" s="28"/>
      <c r="I54" s="28"/>
      <c r="J54" s="28">
        <v>3</v>
      </c>
      <c r="K54" s="28">
        <v>3</v>
      </c>
      <c r="L54" s="28">
        <v>1</v>
      </c>
      <c r="M54" s="28"/>
      <c r="N54" s="28"/>
      <c r="O54" s="28"/>
      <c r="P54" s="28"/>
      <c r="Q54" s="28"/>
      <c r="R54" s="18" t="str">
        <f t="shared" ref="R54:R64" si="45">IF(G54="-","",IF(G54/4*R$5=0, "",G54/4*R$5))</f>
        <v/>
      </c>
      <c r="S54" s="28" t="str">
        <f t="shared" si="36"/>
        <v/>
      </c>
      <c r="T54" s="28" t="str">
        <f t="shared" ref="T54:T64" si="46">IF(I54="-","",IF(I54/4*T$5=0, "",I54/4*T$5))</f>
        <v/>
      </c>
      <c r="U54" s="28">
        <f t="shared" si="37"/>
        <v>7.5</v>
      </c>
      <c r="V54" s="28">
        <f t="shared" si="38"/>
        <v>7.5</v>
      </c>
      <c r="W54" s="28">
        <f t="shared" si="39"/>
        <v>2.5</v>
      </c>
      <c r="X54" s="28" t="str">
        <f t="shared" si="40"/>
        <v/>
      </c>
      <c r="Y54" s="28" t="str">
        <f t="shared" si="41"/>
        <v/>
      </c>
      <c r="Z54" s="28" t="str">
        <f t="shared" si="42"/>
        <v/>
      </c>
      <c r="AA54" s="28" t="str">
        <f t="shared" si="43"/>
        <v/>
      </c>
      <c r="AB54" s="19" t="str">
        <f t="shared" si="44"/>
        <v/>
      </c>
      <c r="AD54" s="24" t="s">
        <v>161</v>
      </c>
      <c r="AE54" s="23">
        <v>3</v>
      </c>
      <c r="AF54" s="23">
        <v>3.3333333333333335</v>
      </c>
      <c r="AG54" s="23">
        <v>2</v>
      </c>
      <c r="AH54" s="23">
        <v>3</v>
      </c>
      <c r="AI54" s="23">
        <v>3.3333333333333335</v>
      </c>
      <c r="AJ54" s="23">
        <v>2.3333333333333335</v>
      </c>
      <c r="AK54" s="23">
        <v>3.3333333333333335</v>
      </c>
      <c r="AL54" s="23">
        <v>1.6666666666666667</v>
      </c>
      <c r="AM54" s="23"/>
      <c r="AN54" s="23"/>
      <c r="AO54" s="23"/>
      <c r="AP54" s="23">
        <v>7.5</v>
      </c>
      <c r="AQ54" s="23">
        <v>8.3333333333333339</v>
      </c>
      <c r="AR54" s="23">
        <v>5</v>
      </c>
      <c r="AS54" s="23">
        <v>7.5</v>
      </c>
      <c r="AT54" s="23">
        <v>8.3333333333333339</v>
      </c>
      <c r="AU54" s="23">
        <v>5.833333333333333</v>
      </c>
      <c r="AV54" s="23">
        <v>8.3333333333333339</v>
      </c>
      <c r="AW54" s="23">
        <v>2.0833333333333335</v>
      </c>
      <c r="AX54" s="23"/>
      <c r="AY54" s="23"/>
      <c r="AZ54" s="23"/>
      <c r="BA54" s="23">
        <f>SUM(AE54:AO54)</f>
        <v>22</v>
      </c>
      <c r="BB54" s="23">
        <f>SUMIFS(AP54:AZ54, AP54:AZ54, "&lt;&gt;")/SUMIFS($AP$5:$AZ$5, AP54:AZ54, "&lt;&gt;")*100</f>
        <v>70.555555555555571</v>
      </c>
    </row>
    <row r="55" spans="1:54" x14ac:dyDescent="0.3">
      <c r="A55" s="32" t="s">
        <v>62</v>
      </c>
      <c r="B55" s="32" t="s">
        <v>110</v>
      </c>
      <c r="D55" s="42">
        <v>1999</v>
      </c>
      <c r="E55" s="28" t="s">
        <v>78</v>
      </c>
      <c r="F55" s="19" t="s">
        <v>159</v>
      </c>
      <c r="G55" s="18"/>
      <c r="H55" s="28"/>
      <c r="I55" s="28"/>
      <c r="J55" s="28"/>
      <c r="K55" s="28"/>
      <c r="L55" s="28"/>
      <c r="M55" s="28">
        <v>2</v>
      </c>
      <c r="N55" s="28">
        <v>2</v>
      </c>
      <c r="O55" s="28"/>
      <c r="P55" s="28"/>
      <c r="Q55" s="28"/>
      <c r="R55" s="18" t="str">
        <f t="shared" si="45"/>
        <v/>
      </c>
      <c r="S55" s="28" t="str">
        <f t="shared" si="36"/>
        <v/>
      </c>
      <c r="T55" s="28" t="str">
        <f t="shared" si="46"/>
        <v/>
      </c>
      <c r="U55" s="28" t="str">
        <f t="shared" si="37"/>
        <v/>
      </c>
      <c r="V55" s="28" t="str">
        <f t="shared" si="38"/>
        <v/>
      </c>
      <c r="W55" s="28" t="str">
        <f t="shared" si="39"/>
        <v/>
      </c>
      <c r="X55" s="28">
        <f t="shared" si="40"/>
        <v>5</v>
      </c>
      <c r="Y55" s="28">
        <f t="shared" si="41"/>
        <v>2.5</v>
      </c>
      <c r="Z55" s="28" t="str">
        <f t="shared" si="42"/>
        <v/>
      </c>
      <c r="AA55" s="28" t="str">
        <f t="shared" si="43"/>
        <v/>
      </c>
      <c r="AB55" s="19" t="str">
        <f t="shared" si="44"/>
        <v/>
      </c>
      <c r="AD55" s="24" t="s">
        <v>159</v>
      </c>
      <c r="AE55" s="23">
        <v>4</v>
      </c>
      <c r="AF55" s="23">
        <v>4</v>
      </c>
      <c r="AG55" s="23">
        <v>2</v>
      </c>
      <c r="AH55" s="23">
        <v>3</v>
      </c>
      <c r="AI55" s="23">
        <v>3</v>
      </c>
      <c r="AJ55" s="23">
        <v>1</v>
      </c>
      <c r="AK55" s="23">
        <v>2</v>
      </c>
      <c r="AL55" s="23">
        <v>2</v>
      </c>
      <c r="AM55" s="23">
        <v>3</v>
      </c>
      <c r="AN55" s="23">
        <v>4</v>
      </c>
      <c r="AO55" s="23">
        <v>4</v>
      </c>
      <c r="AP55" s="23">
        <v>10</v>
      </c>
      <c r="AQ55" s="23">
        <v>10</v>
      </c>
      <c r="AR55" s="23">
        <v>5</v>
      </c>
      <c r="AS55" s="23">
        <v>7.5</v>
      </c>
      <c r="AT55" s="23">
        <v>7.5</v>
      </c>
      <c r="AU55" s="23">
        <v>2.5</v>
      </c>
      <c r="AV55" s="23">
        <v>5</v>
      </c>
      <c r="AW55" s="23">
        <v>2.5</v>
      </c>
      <c r="AX55" s="23">
        <v>3.75</v>
      </c>
      <c r="AY55" s="23">
        <v>5</v>
      </c>
      <c r="AZ55" s="23">
        <v>15</v>
      </c>
      <c r="BA55" s="23">
        <f>SUM(AE55:AO55)</f>
        <v>32</v>
      </c>
      <c r="BB55" s="23">
        <f>SUMIFS(AP55:AZ55, AP55:AZ55, "&lt;&gt;")/SUMIFS($AP$5:$AZ$5, AP55:AZ55, "&lt;&gt;")*100</f>
        <v>73.75</v>
      </c>
    </row>
    <row r="56" spans="1:54" ht="14.5" thickBot="1" x14ac:dyDescent="0.35">
      <c r="A56" s="31" t="s">
        <v>72</v>
      </c>
      <c r="B56" s="31" t="s">
        <v>111</v>
      </c>
      <c r="D56" s="43">
        <v>1999</v>
      </c>
      <c r="E56" s="21" t="s">
        <v>126</v>
      </c>
      <c r="F56" s="22" t="s">
        <v>159</v>
      </c>
      <c r="G56" s="20"/>
      <c r="H56" s="21"/>
      <c r="I56" s="21"/>
      <c r="J56" s="21"/>
      <c r="K56" s="21"/>
      <c r="L56" s="21"/>
      <c r="M56" s="21"/>
      <c r="N56" s="21"/>
      <c r="O56" s="21">
        <v>3</v>
      </c>
      <c r="P56" s="21">
        <v>4</v>
      </c>
      <c r="Q56" s="21">
        <v>4</v>
      </c>
      <c r="R56" s="20" t="str">
        <f t="shared" si="45"/>
        <v/>
      </c>
      <c r="S56" s="21" t="str">
        <f t="shared" si="36"/>
        <v/>
      </c>
      <c r="T56" s="21" t="str">
        <f t="shared" si="46"/>
        <v/>
      </c>
      <c r="U56" s="21" t="str">
        <f t="shared" si="37"/>
        <v/>
      </c>
      <c r="V56" s="21" t="str">
        <f t="shared" si="38"/>
        <v/>
      </c>
      <c r="W56" s="21" t="str">
        <f t="shared" si="39"/>
        <v/>
      </c>
      <c r="X56" s="21" t="str">
        <f t="shared" si="40"/>
        <v/>
      </c>
      <c r="Y56" s="21" t="str">
        <f t="shared" si="41"/>
        <v/>
      </c>
      <c r="Z56" s="21">
        <f t="shared" si="42"/>
        <v>3.75</v>
      </c>
      <c r="AA56" s="21">
        <f>IF(P56="-","",IF(P56/4*AA$5=0, "",P56/4*AA$5))</f>
        <v>5</v>
      </c>
      <c r="AB56" s="22">
        <f t="shared" si="44"/>
        <v>15</v>
      </c>
      <c r="AD56" s="24" t="s">
        <v>92</v>
      </c>
      <c r="AE56" s="23">
        <v>3.25</v>
      </c>
      <c r="AF56" s="23">
        <v>3.5</v>
      </c>
      <c r="AG56" s="23">
        <v>2</v>
      </c>
      <c r="AH56" s="23">
        <v>3</v>
      </c>
      <c r="AI56" s="23">
        <v>3.25</v>
      </c>
      <c r="AJ56" s="23">
        <v>2</v>
      </c>
      <c r="AK56" s="23">
        <v>3</v>
      </c>
      <c r="AL56" s="23">
        <v>1.75</v>
      </c>
      <c r="AM56" s="23">
        <v>3</v>
      </c>
      <c r="AN56" s="23">
        <v>4</v>
      </c>
      <c r="AO56" s="23">
        <v>4</v>
      </c>
      <c r="AP56" s="23">
        <v>8.125</v>
      </c>
      <c r="AQ56" s="23">
        <v>8.75</v>
      </c>
      <c r="AR56" s="23">
        <v>5</v>
      </c>
      <c r="AS56" s="23">
        <v>7.5</v>
      </c>
      <c r="AT56" s="23">
        <v>8.125</v>
      </c>
      <c r="AU56" s="23">
        <v>5</v>
      </c>
      <c r="AV56" s="23">
        <v>7.5</v>
      </c>
      <c r="AW56" s="23">
        <v>2.1875</v>
      </c>
      <c r="AX56" s="23">
        <v>3.75</v>
      </c>
      <c r="AY56" s="23">
        <v>5</v>
      </c>
      <c r="AZ56" s="23">
        <v>15</v>
      </c>
      <c r="BA56" s="23">
        <f>SUM(AE56:AO56)</f>
        <v>32.75</v>
      </c>
      <c r="BB56" s="23">
        <f>SUMIFS(AP56:AZ56, AP56:AZ56, "&lt;&gt;")/SUMIFS($AP$5:$AZ$5, AP56:AZ56, "&lt;&gt;")*100</f>
        <v>75.9375</v>
      </c>
    </row>
    <row r="57" spans="1:54" x14ac:dyDescent="0.3">
      <c r="A57" s="31" t="s">
        <v>72</v>
      </c>
      <c r="B57" s="31" t="s">
        <v>112</v>
      </c>
      <c r="D57" s="41">
        <v>1999</v>
      </c>
      <c r="E57" s="15" t="s">
        <v>62</v>
      </c>
      <c r="F57" s="17" t="s">
        <v>161</v>
      </c>
      <c r="G57" s="15">
        <v>3</v>
      </c>
      <c r="H57" s="16">
        <v>2</v>
      </c>
      <c r="I57" s="16">
        <v>2</v>
      </c>
      <c r="J57" s="16"/>
      <c r="K57" s="16"/>
      <c r="L57" s="16"/>
      <c r="M57" s="16"/>
      <c r="N57" s="16"/>
      <c r="O57" s="16"/>
      <c r="P57" s="16"/>
      <c r="Q57" s="17"/>
      <c r="R57" s="16">
        <f t="shared" si="45"/>
        <v>7.5</v>
      </c>
      <c r="S57" s="16">
        <f t="shared" si="36"/>
        <v>5</v>
      </c>
      <c r="T57" s="16">
        <f t="shared" si="46"/>
        <v>5</v>
      </c>
      <c r="U57" s="16" t="str">
        <f t="shared" si="37"/>
        <v/>
      </c>
      <c r="V57" s="16" t="str">
        <f t="shared" si="38"/>
        <v/>
      </c>
      <c r="W57" s="16" t="str">
        <f t="shared" si="39"/>
        <v/>
      </c>
      <c r="X57" s="16" t="str">
        <f t="shared" si="40"/>
        <v/>
      </c>
      <c r="Y57" s="16" t="str">
        <f t="shared" si="41"/>
        <v/>
      </c>
      <c r="Z57" s="16" t="str">
        <f t="shared" si="42"/>
        <v/>
      </c>
      <c r="AA57" s="16" t="str">
        <f t="shared" ref="AA57:AA64" si="47">IF(P57="-","",IF(P57/4*AA$5=0, "",P57/4*AA$5))</f>
        <v/>
      </c>
      <c r="AB57" s="17" t="str">
        <f t="shared" si="44"/>
        <v/>
      </c>
    </row>
    <row r="58" spans="1:54" x14ac:dyDescent="0.3">
      <c r="A58" s="31" t="s">
        <v>72</v>
      </c>
      <c r="B58" s="31" t="s">
        <v>113</v>
      </c>
      <c r="D58" s="42">
        <v>1999</v>
      </c>
      <c r="E58" s="18" t="s">
        <v>72</v>
      </c>
      <c r="F58" s="19" t="s">
        <v>161</v>
      </c>
      <c r="G58" s="18"/>
      <c r="H58" s="28"/>
      <c r="I58" s="28"/>
      <c r="J58" s="28">
        <v>4</v>
      </c>
      <c r="K58" s="28">
        <v>4</v>
      </c>
      <c r="L58" s="28">
        <v>1</v>
      </c>
      <c r="M58" s="28"/>
      <c r="N58" s="28"/>
      <c r="O58" s="28"/>
      <c r="P58" s="28"/>
      <c r="Q58" s="19"/>
      <c r="R58" s="28" t="str">
        <f t="shared" si="45"/>
        <v/>
      </c>
      <c r="S58" s="28" t="str">
        <f t="shared" si="36"/>
        <v/>
      </c>
      <c r="T58" s="28" t="str">
        <f t="shared" si="46"/>
        <v/>
      </c>
      <c r="U58" s="28">
        <f t="shared" si="37"/>
        <v>10</v>
      </c>
      <c r="V58" s="28">
        <f t="shared" si="38"/>
        <v>10</v>
      </c>
      <c r="W58" s="28">
        <f t="shared" si="39"/>
        <v>2.5</v>
      </c>
      <c r="X58" s="28" t="str">
        <f t="shared" si="40"/>
        <v/>
      </c>
      <c r="Y58" s="28" t="str">
        <f t="shared" si="41"/>
        <v/>
      </c>
      <c r="Z58" s="28" t="str">
        <f t="shared" si="42"/>
        <v/>
      </c>
      <c r="AA58" s="28" t="str">
        <f t="shared" si="47"/>
        <v/>
      </c>
      <c r="AB58" s="19" t="str">
        <f t="shared" si="44"/>
        <v/>
      </c>
    </row>
    <row r="59" spans="1:54" x14ac:dyDescent="0.3">
      <c r="A59" s="30" t="s">
        <v>78</v>
      </c>
      <c r="B59" s="30" t="s">
        <v>114</v>
      </c>
      <c r="D59" s="42">
        <v>1999</v>
      </c>
      <c r="E59" s="18" t="s">
        <v>78</v>
      </c>
      <c r="F59" s="19" t="s">
        <v>161</v>
      </c>
      <c r="G59" s="18"/>
      <c r="H59" s="28"/>
      <c r="I59" s="28"/>
      <c r="J59" s="28"/>
      <c r="K59" s="28"/>
      <c r="L59" s="28"/>
      <c r="M59" s="28">
        <v>4</v>
      </c>
      <c r="N59" s="28">
        <v>2</v>
      </c>
      <c r="O59" s="28"/>
      <c r="P59" s="28"/>
      <c r="Q59" s="19"/>
      <c r="R59" s="28" t="str">
        <f t="shared" si="45"/>
        <v/>
      </c>
      <c r="S59" s="28" t="str">
        <f t="shared" si="36"/>
        <v/>
      </c>
      <c r="T59" s="28" t="str">
        <f t="shared" si="46"/>
        <v/>
      </c>
      <c r="U59" s="28" t="str">
        <f t="shared" si="37"/>
        <v/>
      </c>
      <c r="V59" s="28" t="str">
        <f t="shared" si="38"/>
        <v/>
      </c>
      <c r="W59" s="28" t="str">
        <f t="shared" si="39"/>
        <v/>
      </c>
      <c r="X59" s="28">
        <f t="shared" si="40"/>
        <v>10</v>
      </c>
      <c r="Y59" s="28">
        <f t="shared" si="41"/>
        <v>2.5</v>
      </c>
      <c r="Z59" s="28" t="str">
        <f t="shared" si="42"/>
        <v/>
      </c>
      <c r="AA59" s="28" t="str">
        <f t="shared" si="47"/>
        <v/>
      </c>
      <c r="AB59" s="19" t="str">
        <f t="shared" si="44"/>
        <v/>
      </c>
    </row>
    <row r="60" spans="1:54" ht="14.5" thickBot="1" x14ac:dyDescent="0.35">
      <c r="A60" s="30" t="s">
        <v>78</v>
      </c>
      <c r="B60" s="30" t="s">
        <v>115</v>
      </c>
      <c r="D60" s="43">
        <v>1999</v>
      </c>
      <c r="E60" s="18" t="s">
        <v>126</v>
      </c>
      <c r="F60" s="19" t="s">
        <v>161</v>
      </c>
      <c r="G60" s="18"/>
      <c r="H60" s="28"/>
      <c r="I60" s="28"/>
      <c r="J60" s="28"/>
      <c r="K60" s="28"/>
      <c r="L60" s="28"/>
      <c r="M60" s="28"/>
      <c r="N60" s="28"/>
      <c r="O60" s="28"/>
      <c r="P60" s="28"/>
      <c r="Q60" s="19"/>
      <c r="R60" s="28" t="str">
        <f t="shared" si="45"/>
        <v/>
      </c>
      <c r="S60" s="28" t="str">
        <f t="shared" si="36"/>
        <v/>
      </c>
      <c r="T60" s="28" t="str">
        <f t="shared" si="46"/>
        <v/>
      </c>
      <c r="U60" s="28" t="str">
        <f t="shared" si="37"/>
        <v/>
      </c>
      <c r="V60" s="28" t="str">
        <f t="shared" si="38"/>
        <v/>
      </c>
      <c r="W60" s="28" t="str">
        <f t="shared" si="39"/>
        <v/>
      </c>
      <c r="X60" s="28" t="str">
        <f t="shared" si="40"/>
        <v/>
      </c>
      <c r="Y60" s="28" t="str">
        <f t="shared" si="41"/>
        <v/>
      </c>
      <c r="Z60" s="28" t="str">
        <f t="shared" si="42"/>
        <v/>
      </c>
      <c r="AA60" s="28" t="str">
        <f t="shared" si="47"/>
        <v/>
      </c>
      <c r="AB60" s="19" t="str">
        <f t="shared" si="44"/>
        <v/>
      </c>
    </row>
    <row r="61" spans="1:54" x14ac:dyDescent="0.3">
      <c r="A61" s="29" t="s">
        <v>126</v>
      </c>
      <c r="B61" s="29" t="s">
        <v>116</v>
      </c>
      <c r="D61" s="41">
        <v>1999</v>
      </c>
      <c r="E61" s="15" t="s">
        <v>62</v>
      </c>
      <c r="F61" s="17" t="s">
        <v>161</v>
      </c>
      <c r="G61" s="15">
        <v>2</v>
      </c>
      <c r="H61" s="16">
        <v>4</v>
      </c>
      <c r="I61" s="16">
        <v>1</v>
      </c>
      <c r="J61" s="16"/>
      <c r="K61" s="16"/>
      <c r="L61" s="16"/>
      <c r="M61" s="16"/>
      <c r="N61" s="16"/>
      <c r="O61" s="16"/>
      <c r="P61" s="16"/>
      <c r="Q61" s="16"/>
      <c r="R61" s="15">
        <f t="shared" si="45"/>
        <v>5</v>
      </c>
      <c r="S61" s="16">
        <f t="shared" si="36"/>
        <v>10</v>
      </c>
      <c r="T61" s="16">
        <f t="shared" si="46"/>
        <v>2.5</v>
      </c>
      <c r="U61" s="16" t="str">
        <f t="shared" si="37"/>
        <v/>
      </c>
      <c r="V61" s="16" t="str">
        <f t="shared" si="38"/>
        <v/>
      </c>
      <c r="W61" s="16" t="str">
        <f t="shared" si="39"/>
        <v/>
      </c>
      <c r="X61" s="16" t="str">
        <f t="shared" si="40"/>
        <v/>
      </c>
      <c r="Y61" s="16" t="str">
        <f t="shared" si="41"/>
        <v/>
      </c>
      <c r="Z61" s="16" t="str">
        <f t="shared" si="42"/>
        <v/>
      </c>
      <c r="AA61" s="16" t="str">
        <f t="shared" si="47"/>
        <v/>
      </c>
      <c r="AB61" s="17" t="str">
        <f t="shared" si="44"/>
        <v/>
      </c>
    </row>
    <row r="62" spans="1:54" x14ac:dyDescent="0.3">
      <c r="A62" s="29" t="s">
        <v>126</v>
      </c>
      <c r="B62" s="29" t="s">
        <v>127</v>
      </c>
      <c r="D62" s="42">
        <v>1999</v>
      </c>
      <c r="E62" s="18" t="s">
        <v>72</v>
      </c>
      <c r="F62" s="19" t="s">
        <v>161</v>
      </c>
      <c r="G62" s="18"/>
      <c r="H62" s="28"/>
      <c r="I62" s="28"/>
      <c r="J62" s="28">
        <v>3</v>
      </c>
      <c r="K62" s="28">
        <v>4</v>
      </c>
      <c r="L62" s="28">
        <v>2</v>
      </c>
      <c r="M62" s="28"/>
      <c r="N62" s="28"/>
      <c r="O62" s="28"/>
      <c r="P62" s="28"/>
      <c r="Q62" s="28"/>
      <c r="R62" s="18" t="str">
        <f t="shared" si="45"/>
        <v/>
      </c>
      <c r="S62" s="28" t="str">
        <f t="shared" si="36"/>
        <v/>
      </c>
      <c r="T62" s="28" t="str">
        <f t="shared" si="46"/>
        <v/>
      </c>
      <c r="U62" s="28">
        <f t="shared" si="37"/>
        <v>7.5</v>
      </c>
      <c r="V62" s="28">
        <f t="shared" si="38"/>
        <v>10</v>
      </c>
      <c r="W62" s="28">
        <f t="shared" si="39"/>
        <v>5</v>
      </c>
      <c r="X62" s="28" t="str">
        <f t="shared" si="40"/>
        <v/>
      </c>
      <c r="Y62" s="28" t="str">
        <f t="shared" si="41"/>
        <v/>
      </c>
      <c r="Z62" s="28" t="str">
        <f t="shared" si="42"/>
        <v/>
      </c>
      <c r="AA62" s="28" t="str">
        <f t="shared" si="47"/>
        <v/>
      </c>
      <c r="AB62" s="19" t="str">
        <f t="shared" si="44"/>
        <v/>
      </c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</row>
    <row r="63" spans="1:54" x14ac:dyDescent="0.3">
      <c r="A63" s="29" t="s">
        <v>126</v>
      </c>
      <c r="B63" s="29" t="s">
        <v>128</v>
      </c>
      <c r="D63" s="42">
        <v>1999</v>
      </c>
      <c r="E63" s="18" t="s">
        <v>78</v>
      </c>
      <c r="F63" s="19" t="s">
        <v>161</v>
      </c>
      <c r="G63" s="18"/>
      <c r="H63" s="28"/>
      <c r="I63" s="28"/>
      <c r="J63" s="28"/>
      <c r="K63" s="28"/>
      <c r="L63" s="28"/>
      <c r="M63" s="28">
        <v>3</v>
      </c>
      <c r="N63" s="28">
        <v>2</v>
      </c>
      <c r="O63" s="28"/>
      <c r="P63" s="28"/>
      <c r="Q63" s="28"/>
      <c r="R63" s="18" t="str">
        <f t="shared" si="45"/>
        <v/>
      </c>
      <c r="S63" s="28" t="str">
        <f t="shared" si="36"/>
        <v/>
      </c>
      <c r="T63" s="28" t="str">
        <f t="shared" si="46"/>
        <v/>
      </c>
      <c r="U63" s="28" t="str">
        <f t="shared" si="37"/>
        <v/>
      </c>
      <c r="V63" s="28" t="str">
        <f t="shared" si="38"/>
        <v/>
      </c>
      <c r="W63" s="28" t="str">
        <f t="shared" si="39"/>
        <v/>
      </c>
      <c r="X63" s="28">
        <f t="shared" si="40"/>
        <v>7.5</v>
      </c>
      <c r="Y63" s="28">
        <f t="shared" si="41"/>
        <v>2.5</v>
      </c>
      <c r="Z63" s="28" t="str">
        <f t="shared" si="42"/>
        <v/>
      </c>
      <c r="AA63" s="28" t="str">
        <f t="shared" si="47"/>
        <v/>
      </c>
      <c r="AB63" s="19" t="str">
        <f t="shared" si="44"/>
        <v/>
      </c>
    </row>
    <row r="64" spans="1:54" ht="14.5" thickBot="1" x14ac:dyDescent="0.35">
      <c r="D64" s="43">
        <v>1999</v>
      </c>
      <c r="E64" s="20" t="s">
        <v>126</v>
      </c>
      <c r="F64" s="22" t="s">
        <v>161</v>
      </c>
      <c r="G64" s="20"/>
      <c r="H64" s="21"/>
      <c r="I64" s="21"/>
      <c r="J64" s="21"/>
      <c r="K64" s="21"/>
      <c r="L64" s="21"/>
      <c r="M64" s="21"/>
      <c r="N64" s="21"/>
      <c r="O64" s="21" t="s">
        <v>153</v>
      </c>
      <c r="P64" s="21" t="s">
        <v>153</v>
      </c>
      <c r="Q64" s="21" t="s">
        <v>153</v>
      </c>
      <c r="R64" s="20" t="str">
        <f t="shared" si="45"/>
        <v/>
      </c>
      <c r="S64" s="21" t="str">
        <f t="shared" si="36"/>
        <v/>
      </c>
      <c r="T64" s="21" t="str">
        <f t="shared" si="46"/>
        <v/>
      </c>
      <c r="U64" s="21" t="str">
        <f t="shared" si="37"/>
        <v/>
      </c>
      <c r="V64" s="21" t="str">
        <f t="shared" si="38"/>
        <v/>
      </c>
      <c r="W64" s="21" t="str">
        <f t="shared" si="39"/>
        <v/>
      </c>
      <c r="X64" s="21" t="str">
        <f t="shared" si="40"/>
        <v/>
      </c>
      <c r="Y64" s="21" t="str">
        <f t="shared" si="41"/>
        <v/>
      </c>
      <c r="Z64" s="21" t="str">
        <f t="shared" si="42"/>
        <v/>
      </c>
      <c r="AA64" s="21" t="str">
        <f t="shared" si="47"/>
        <v/>
      </c>
      <c r="AB64" s="22" t="str">
        <f t="shared" si="44"/>
        <v/>
      </c>
    </row>
    <row r="65" spans="4:28" x14ac:dyDescent="0.3">
      <c r="D65" s="41">
        <v>1999</v>
      </c>
      <c r="E65" s="15" t="s">
        <v>62</v>
      </c>
      <c r="F65" s="17" t="s">
        <v>161</v>
      </c>
      <c r="G65" s="15">
        <v>4</v>
      </c>
      <c r="H65" s="16">
        <v>4</v>
      </c>
      <c r="I65" s="16">
        <v>3</v>
      </c>
      <c r="J65" s="16"/>
      <c r="K65" s="16"/>
      <c r="L65" s="16"/>
      <c r="M65" s="16"/>
      <c r="N65" s="16"/>
      <c r="O65" s="16"/>
      <c r="P65" s="16"/>
      <c r="Q65" s="17"/>
      <c r="R65" s="16">
        <f t="shared" ref="R65:AB68" si="48">IF(G65="-","",IF(G65/4*R$5=0, "",G65/4*R$5))</f>
        <v>10</v>
      </c>
      <c r="S65" s="16">
        <f t="shared" si="48"/>
        <v>10</v>
      </c>
      <c r="T65" s="16">
        <f t="shared" si="48"/>
        <v>7.5</v>
      </c>
      <c r="U65" s="16" t="str">
        <f t="shared" si="48"/>
        <v/>
      </c>
      <c r="V65" s="16" t="str">
        <f t="shared" si="48"/>
        <v/>
      </c>
      <c r="W65" s="16" t="str">
        <f t="shared" si="48"/>
        <v/>
      </c>
      <c r="X65" s="16" t="str">
        <f t="shared" si="48"/>
        <v/>
      </c>
      <c r="Y65" s="16" t="str">
        <f t="shared" si="48"/>
        <v/>
      </c>
      <c r="Z65" s="16" t="str">
        <f t="shared" si="48"/>
        <v/>
      </c>
      <c r="AA65" s="16" t="str">
        <f t="shared" si="48"/>
        <v/>
      </c>
      <c r="AB65" s="17" t="str">
        <f t="shared" si="48"/>
        <v/>
      </c>
    </row>
    <row r="66" spans="4:28" x14ac:dyDescent="0.3">
      <c r="D66" s="42">
        <v>1999</v>
      </c>
      <c r="E66" s="18" t="s">
        <v>72</v>
      </c>
      <c r="F66" s="19" t="s">
        <v>161</v>
      </c>
      <c r="G66" s="18"/>
      <c r="H66" s="28"/>
      <c r="I66" s="28"/>
      <c r="J66" s="28">
        <v>2</v>
      </c>
      <c r="K66" s="28">
        <v>2</v>
      </c>
      <c r="L66" s="28">
        <v>4</v>
      </c>
      <c r="M66" s="28"/>
      <c r="N66" s="28"/>
      <c r="O66" s="28"/>
      <c r="P66" s="28"/>
      <c r="Q66" s="19"/>
      <c r="R66" s="28" t="str">
        <f t="shared" si="48"/>
        <v/>
      </c>
      <c r="S66" s="28" t="str">
        <f t="shared" si="48"/>
        <v/>
      </c>
      <c r="T66" s="28" t="str">
        <f t="shared" si="48"/>
        <v/>
      </c>
      <c r="U66" s="28">
        <f t="shared" si="48"/>
        <v>5</v>
      </c>
      <c r="V66" s="28">
        <f t="shared" si="48"/>
        <v>5</v>
      </c>
      <c r="W66" s="28">
        <f t="shared" si="48"/>
        <v>10</v>
      </c>
      <c r="X66" s="28" t="str">
        <f t="shared" si="48"/>
        <v/>
      </c>
      <c r="Y66" s="28" t="str">
        <f t="shared" si="48"/>
        <v/>
      </c>
      <c r="Z66" s="28" t="str">
        <f t="shared" si="48"/>
        <v/>
      </c>
      <c r="AA66" s="28" t="str">
        <f t="shared" si="48"/>
        <v/>
      </c>
      <c r="AB66" s="19" t="str">
        <f t="shared" si="48"/>
        <v/>
      </c>
    </row>
    <row r="67" spans="4:28" x14ac:dyDescent="0.3">
      <c r="D67" s="42">
        <v>1999</v>
      </c>
      <c r="E67" s="18" t="s">
        <v>78</v>
      </c>
      <c r="F67" s="19" t="s">
        <v>161</v>
      </c>
      <c r="G67" s="18"/>
      <c r="H67" s="28"/>
      <c r="I67" s="28"/>
      <c r="J67" s="28"/>
      <c r="K67" s="28"/>
      <c r="L67" s="28"/>
      <c r="M67" s="28">
        <v>3</v>
      </c>
      <c r="N67" s="28">
        <v>1</v>
      </c>
      <c r="O67" s="28"/>
      <c r="P67" s="28"/>
      <c r="Q67" s="19"/>
      <c r="R67" s="28" t="str">
        <f t="shared" si="48"/>
        <v/>
      </c>
      <c r="S67" s="28" t="str">
        <f t="shared" si="48"/>
        <v/>
      </c>
      <c r="T67" s="28" t="str">
        <f t="shared" si="48"/>
        <v/>
      </c>
      <c r="U67" s="28" t="str">
        <f t="shared" si="48"/>
        <v/>
      </c>
      <c r="V67" s="28" t="str">
        <f t="shared" si="48"/>
        <v/>
      </c>
      <c r="W67" s="28" t="str">
        <f t="shared" si="48"/>
        <v/>
      </c>
      <c r="X67" s="28">
        <f t="shared" si="48"/>
        <v>7.5</v>
      </c>
      <c r="Y67" s="28">
        <f t="shared" si="48"/>
        <v>1.25</v>
      </c>
      <c r="Z67" s="28" t="str">
        <f t="shared" si="48"/>
        <v/>
      </c>
      <c r="AA67" s="28" t="str">
        <f t="shared" si="48"/>
        <v/>
      </c>
      <c r="AB67" s="19" t="str">
        <f t="shared" si="48"/>
        <v/>
      </c>
    </row>
    <row r="68" spans="4:28" ht="14.5" thickBot="1" x14ac:dyDescent="0.35">
      <c r="D68" s="43">
        <v>1999</v>
      </c>
      <c r="E68" s="20" t="s">
        <v>126</v>
      </c>
      <c r="F68" s="22" t="s">
        <v>161</v>
      </c>
      <c r="G68" s="20"/>
      <c r="H68" s="21"/>
      <c r="I68" s="21"/>
      <c r="J68" s="21"/>
      <c r="K68" s="21"/>
      <c r="L68" s="21"/>
      <c r="M68" s="21"/>
      <c r="N68" s="21"/>
      <c r="O68" s="21"/>
      <c r="P68" s="21"/>
      <c r="Q68" s="22"/>
      <c r="R68" s="21" t="str">
        <f t="shared" si="48"/>
        <v/>
      </c>
      <c r="S68" s="21" t="str">
        <f t="shared" si="48"/>
        <v/>
      </c>
      <c r="T68" s="21" t="str">
        <f t="shared" si="48"/>
        <v/>
      </c>
      <c r="U68" s="21" t="str">
        <f t="shared" si="48"/>
        <v/>
      </c>
      <c r="V68" s="21" t="str">
        <f t="shared" si="48"/>
        <v/>
      </c>
      <c r="W68" s="21" t="str">
        <f t="shared" si="48"/>
        <v/>
      </c>
      <c r="X68" s="21" t="str">
        <f t="shared" si="48"/>
        <v/>
      </c>
      <c r="Y68" s="21" t="str">
        <f t="shared" si="48"/>
        <v/>
      </c>
      <c r="Z68" s="21" t="str">
        <f t="shared" si="48"/>
        <v/>
      </c>
      <c r="AA68" s="21" t="str">
        <f t="shared" si="48"/>
        <v/>
      </c>
      <c r="AB68" s="22" t="str">
        <f t="shared" si="48"/>
        <v/>
      </c>
    </row>
    <row r="69" spans="4:28" x14ac:dyDescent="0.3">
      <c r="D69" s="41">
        <v>1998</v>
      </c>
      <c r="E69" s="15" t="s">
        <v>62</v>
      </c>
      <c r="F69" s="17" t="s">
        <v>159</v>
      </c>
      <c r="G69" s="15">
        <v>3</v>
      </c>
      <c r="H69" s="16">
        <v>1</v>
      </c>
      <c r="I69" s="16">
        <v>4</v>
      </c>
      <c r="J69" s="16"/>
      <c r="K69" s="16"/>
      <c r="L69" s="16"/>
      <c r="M69" s="16"/>
      <c r="N69" s="16"/>
      <c r="O69" s="16"/>
      <c r="P69" s="16"/>
      <c r="Q69" s="16"/>
      <c r="R69" s="15">
        <f>IF(G69="-","",IF(G69/4*R$5=0, "",G69/4*R$5))</f>
        <v>7.5</v>
      </c>
      <c r="S69" s="16">
        <f t="shared" ref="S69:S80" si="49">IF(H69="-","",IF(H69/4*S$5=0, "",H69/4*S$5))</f>
        <v>2.5</v>
      </c>
      <c r="T69" s="16">
        <f>IF(I69="-","",IF(I69/4*T$5=0, "",I69/4*T$5))</f>
        <v>10</v>
      </c>
      <c r="U69" s="16" t="str">
        <f t="shared" ref="U69:U80" si="50">IF(J69="-","",IF(J69/4*U$5=0, "",J69/4*U$5))</f>
        <v/>
      </c>
      <c r="V69" s="16" t="str">
        <f t="shared" ref="V69:V80" si="51">IF(K69="-","",IF(K69/4*V$5=0, "",K69/4*V$5))</f>
        <v/>
      </c>
      <c r="W69" s="16" t="str">
        <f t="shared" ref="W69:W80" si="52">IF(L69="-","",IF(L69/4*W$5=0, "",L69/4*W$5))</f>
        <v/>
      </c>
      <c r="X69" s="16" t="str">
        <f t="shared" ref="X69:X80" si="53">IF(M69="-","",IF(M69/4*X$5=0, "",M69/4*X$5))</f>
        <v/>
      </c>
      <c r="Y69" s="16" t="str">
        <f t="shared" ref="Y69:Y80" si="54">IF(N69="-","",IF(N69/4*Y$5=0, "",N69/4*Y$5))</f>
        <v/>
      </c>
      <c r="Z69" s="16" t="str">
        <f t="shared" ref="Z69:Z80" si="55">IF(O69="-","",IF(O69/4*Z$5=0, "",O69/4*Z$5))</f>
        <v/>
      </c>
      <c r="AA69" s="16" t="str">
        <f t="shared" ref="AA69:AA71" si="56">IF(P69="-","",IF(P69/4*AA$5=0, "",P69/4*AA$5))</f>
        <v/>
      </c>
      <c r="AB69" s="17" t="str">
        <f t="shared" ref="AB69:AB80" si="57">IF(Q69="-","",IF(Q69/4*AB$5=0, "",Q69/4*AB$5))</f>
        <v/>
      </c>
    </row>
    <row r="70" spans="4:28" x14ac:dyDescent="0.3">
      <c r="D70" s="42">
        <v>1998</v>
      </c>
      <c r="E70" s="18" t="s">
        <v>72</v>
      </c>
      <c r="F70" s="19" t="s">
        <v>159</v>
      </c>
      <c r="G70" s="18"/>
      <c r="H70" s="28"/>
      <c r="I70" s="28"/>
      <c r="J70" s="28">
        <v>4</v>
      </c>
      <c r="K70" s="28">
        <v>4</v>
      </c>
      <c r="L70" s="28">
        <v>2</v>
      </c>
      <c r="M70" s="28"/>
      <c r="N70" s="28"/>
      <c r="O70" s="28"/>
      <c r="P70" s="28"/>
      <c r="Q70" s="28"/>
      <c r="R70" s="18" t="str">
        <f t="shared" ref="R70:R80" si="58">IF(G70="-","",IF(G70/4*R$5=0, "",G70/4*R$5))</f>
        <v/>
      </c>
      <c r="S70" s="28" t="str">
        <f t="shared" si="49"/>
        <v/>
      </c>
      <c r="T70" s="28" t="str">
        <f t="shared" ref="T70:T80" si="59">IF(I70="-","",IF(I70/4*T$5=0, "",I70/4*T$5))</f>
        <v/>
      </c>
      <c r="U70" s="28">
        <f t="shared" si="50"/>
        <v>10</v>
      </c>
      <c r="V70" s="28">
        <f t="shared" si="51"/>
        <v>10</v>
      </c>
      <c r="W70" s="28">
        <f t="shared" si="52"/>
        <v>5</v>
      </c>
      <c r="X70" s="28" t="str">
        <f t="shared" si="53"/>
        <v/>
      </c>
      <c r="Y70" s="28" t="str">
        <f t="shared" si="54"/>
        <v/>
      </c>
      <c r="Z70" s="28" t="str">
        <f t="shared" si="55"/>
        <v/>
      </c>
      <c r="AA70" s="28" t="str">
        <f t="shared" si="56"/>
        <v/>
      </c>
      <c r="AB70" s="19" t="str">
        <f t="shared" si="57"/>
        <v/>
      </c>
    </row>
    <row r="71" spans="4:28" x14ac:dyDescent="0.3">
      <c r="D71" s="42">
        <v>1998</v>
      </c>
      <c r="E71" s="18" t="s">
        <v>78</v>
      </c>
      <c r="F71" s="19" t="s">
        <v>159</v>
      </c>
      <c r="G71" s="18"/>
      <c r="H71" s="28"/>
      <c r="I71" s="28"/>
      <c r="J71" s="28"/>
      <c r="K71" s="28"/>
      <c r="L71" s="28"/>
      <c r="M71" s="28">
        <v>4</v>
      </c>
      <c r="N71" s="28">
        <v>4</v>
      </c>
      <c r="O71" s="28"/>
      <c r="P71" s="28"/>
      <c r="Q71" s="28"/>
      <c r="R71" s="18" t="str">
        <f t="shared" si="58"/>
        <v/>
      </c>
      <c r="S71" s="28" t="str">
        <f t="shared" si="49"/>
        <v/>
      </c>
      <c r="T71" s="28" t="str">
        <f t="shared" si="59"/>
        <v/>
      </c>
      <c r="U71" s="28" t="str">
        <f t="shared" si="50"/>
        <v/>
      </c>
      <c r="V71" s="28" t="str">
        <f t="shared" si="51"/>
        <v/>
      </c>
      <c r="W71" s="28" t="str">
        <f t="shared" si="52"/>
        <v/>
      </c>
      <c r="X71" s="28">
        <f t="shared" si="53"/>
        <v>10</v>
      </c>
      <c r="Y71" s="28">
        <f t="shared" si="54"/>
        <v>5</v>
      </c>
      <c r="Z71" s="28" t="str">
        <f t="shared" si="55"/>
        <v/>
      </c>
      <c r="AA71" s="28" t="str">
        <f t="shared" si="56"/>
        <v/>
      </c>
      <c r="AB71" s="19" t="str">
        <f t="shared" si="57"/>
        <v/>
      </c>
    </row>
    <row r="72" spans="4:28" ht="14.5" thickBot="1" x14ac:dyDescent="0.35">
      <c r="D72" s="43">
        <v>1998</v>
      </c>
      <c r="E72" s="20" t="s">
        <v>126</v>
      </c>
      <c r="F72" s="22" t="s">
        <v>159</v>
      </c>
      <c r="G72" s="20"/>
      <c r="H72" s="21"/>
      <c r="I72" s="21"/>
      <c r="J72" s="21"/>
      <c r="K72" s="21"/>
      <c r="L72" s="21"/>
      <c r="M72" s="21"/>
      <c r="N72" s="21"/>
      <c r="O72" s="21" t="s">
        <v>153</v>
      </c>
      <c r="P72" s="21" t="s">
        <v>153</v>
      </c>
      <c r="Q72" s="21" t="s">
        <v>153</v>
      </c>
      <c r="R72" s="20" t="str">
        <f t="shared" si="58"/>
        <v/>
      </c>
      <c r="S72" s="21" t="str">
        <f t="shared" si="49"/>
        <v/>
      </c>
      <c r="T72" s="21" t="str">
        <f t="shared" si="59"/>
        <v/>
      </c>
      <c r="U72" s="21" t="str">
        <f t="shared" si="50"/>
        <v/>
      </c>
      <c r="V72" s="21" t="str">
        <f t="shared" si="51"/>
        <v/>
      </c>
      <c r="W72" s="21" t="str">
        <f t="shared" si="52"/>
        <v/>
      </c>
      <c r="X72" s="21" t="str">
        <f t="shared" si="53"/>
        <v/>
      </c>
      <c r="Y72" s="21" t="str">
        <f t="shared" si="54"/>
        <v/>
      </c>
      <c r="Z72" s="21" t="str">
        <f t="shared" si="55"/>
        <v/>
      </c>
      <c r="AA72" s="21" t="str">
        <f>IF(P72="-","",IF(P72/4*AA$5=0, "",P72/4*AA$5))</f>
        <v/>
      </c>
      <c r="AB72" s="22" t="str">
        <f t="shared" si="57"/>
        <v/>
      </c>
    </row>
    <row r="73" spans="4:28" x14ac:dyDescent="0.3">
      <c r="D73" s="41">
        <v>1998</v>
      </c>
      <c r="E73" s="15" t="s">
        <v>62</v>
      </c>
      <c r="F73" s="17" t="s">
        <v>159</v>
      </c>
      <c r="G73" s="15">
        <v>1</v>
      </c>
      <c r="H73" s="16">
        <v>2</v>
      </c>
      <c r="I73" s="16">
        <v>2</v>
      </c>
      <c r="J73" s="16"/>
      <c r="K73" s="16"/>
      <c r="L73" s="16"/>
      <c r="M73" s="16"/>
      <c r="N73" s="16"/>
      <c r="O73" s="16"/>
      <c r="P73" s="16"/>
      <c r="Q73" s="16"/>
      <c r="R73" s="15">
        <f>IF(G73="-","",IF(G73/4*R$5=0, "",G73/4*R$5))</f>
        <v>2.5</v>
      </c>
      <c r="S73" s="16">
        <f t="shared" ref="S73:S76" si="60">IF(H73="-","",IF(H73/4*S$5=0, "",H73/4*S$5))</f>
        <v>5</v>
      </c>
      <c r="T73" s="16">
        <f>IF(I73="-","",IF(I73/4*T$5=0, "",I73/4*T$5))</f>
        <v>5</v>
      </c>
      <c r="U73" s="16" t="str">
        <f t="shared" ref="U73:U76" si="61">IF(J73="-","",IF(J73/4*U$5=0, "",J73/4*U$5))</f>
        <v/>
      </c>
      <c r="V73" s="16" t="str">
        <f t="shared" ref="V73:V76" si="62">IF(K73="-","",IF(K73/4*V$5=0, "",K73/4*V$5))</f>
        <v/>
      </c>
      <c r="W73" s="16" t="str">
        <f t="shared" ref="W73:W76" si="63">IF(L73="-","",IF(L73/4*W$5=0, "",L73/4*W$5))</f>
        <v/>
      </c>
      <c r="X73" s="16" t="str">
        <f t="shared" ref="X73:X76" si="64">IF(M73="-","",IF(M73/4*X$5=0, "",M73/4*X$5))</f>
        <v/>
      </c>
      <c r="Y73" s="16" t="str">
        <f t="shared" ref="Y73:Y76" si="65">IF(N73="-","",IF(N73/4*Y$5=0, "",N73/4*Y$5))</f>
        <v/>
      </c>
      <c r="Z73" s="16" t="str">
        <f t="shared" ref="Z73:Z76" si="66">IF(O73="-","",IF(O73/4*Z$5=0, "",O73/4*Z$5))</f>
        <v/>
      </c>
      <c r="AA73" s="16" t="str">
        <f t="shared" ref="AA73:AA75" si="67">IF(P73="-","",IF(P73/4*AA$5=0, "",P73/4*AA$5))</f>
        <v/>
      </c>
      <c r="AB73" s="17" t="str">
        <f t="shared" ref="AB73:AB76" si="68">IF(Q73="-","",IF(Q73/4*AB$5=0, "",Q73/4*AB$5))</f>
        <v/>
      </c>
    </row>
    <row r="74" spans="4:28" x14ac:dyDescent="0.3">
      <c r="D74" s="42">
        <v>1998</v>
      </c>
      <c r="E74" s="18" t="s">
        <v>72</v>
      </c>
      <c r="F74" s="19" t="s">
        <v>159</v>
      </c>
      <c r="G74" s="18"/>
      <c r="H74" s="28"/>
      <c r="I74" s="28"/>
      <c r="J74" s="28">
        <v>2</v>
      </c>
      <c r="K74" s="28">
        <v>3</v>
      </c>
      <c r="L74" s="28">
        <v>2</v>
      </c>
      <c r="M74" s="28"/>
      <c r="N74" s="28"/>
      <c r="O74" s="28"/>
      <c r="P74" s="28"/>
      <c r="Q74" s="28"/>
      <c r="R74" s="18" t="str">
        <f t="shared" ref="R74:R76" si="69">IF(G74="-","",IF(G74/4*R$5=0, "",G74/4*R$5))</f>
        <v/>
      </c>
      <c r="S74" s="28" t="str">
        <f t="shared" si="60"/>
        <v/>
      </c>
      <c r="T74" s="28" t="str">
        <f t="shared" ref="T74:T76" si="70">IF(I74="-","",IF(I74/4*T$5=0, "",I74/4*T$5))</f>
        <v/>
      </c>
      <c r="U74" s="28">
        <f t="shared" si="61"/>
        <v>5</v>
      </c>
      <c r="V74" s="28">
        <f t="shared" si="62"/>
        <v>7.5</v>
      </c>
      <c r="W74" s="28">
        <f t="shared" si="63"/>
        <v>5</v>
      </c>
      <c r="X74" s="28" t="str">
        <f t="shared" si="64"/>
        <v/>
      </c>
      <c r="Y74" s="28" t="str">
        <f t="shared" si="65"/>
        <v/>
      </c>
      <c r="Z74" s="28" t="str">
        <f t="shared" si="66"/>
        <v/>
      </c>
      <c r="AA74" s="28" t="str">
        <f t="shared" si="67"/>
        <v/>
      </c>
      <c r="AB74" s="19" t="str">
        <f t="shared" si="68"/>
        <v/>
      </c>
    </row>
    <row r="75" spans="4:28" x14ac:dyDescent="0.3">
      <c r="D75" s="42">
        <v>1998</v>
      </c>
      <c r="E75" s="18" t="s">
        <v>78</v>
      </c>
      <c r="F75" s="19" t="s">
        <v>159</v>
      </c>
      <c r="G75" s="18"/>
      <c r="H75" s="28"/>
      <c r="I75" s="28"/>
      <c r="J75" s="28"/>
      <c r="K75" s="28"/>
      <c r="L75" s="28"/>
      <c r="M75" s="28">
        <v>1</v>
      </c>
      <c r="N75" s="28">
        <v>2</v>
      </c>
      <c r="O75" s="28"/>
      <c r="P75" s="28"/>
      <c r="Q75" s="28"/>
      <c r="R75" s="18" t="str">
        <f t="shared" si="69"/>
        <v/>
      </c>
      <c r="S75" s="28" t="str">
        <f t="shared" si="60"/>
        <v/>
      </c>
      <c r="T75" s="28" t="str">
        <f t="shared" si="70"/>
        <v/>
      </c>
      <c r="U75" s="28" t="str">
        <f t="shared" si="61"/>
        <v/>
      </c>
      <c r="V75" s="28" t="str">
        <f t="shared" si="62"/>
        <v/>
      </c>
      <c r="W75" s="28" t="str">
        <f t="shared" si="63"/>
        <v/>
      </c>
      <c r="X75" s="28">
        <f t="shared" si="64"/>
        <v>2.5</v>
      </c>
      <c r="Y75" s="28">
        <f t="shared" si="65"/>
        <v>2.5</v>
      </c>
      <c r="Z75" s="28" t="str">
        <f t="shared" si="66"/>
        <v/>
      </c>
      <c r="AA75" s="28" t="str">
        <f t="shared" si="67"/>
        <v/>
      </c>
      <c r="AB75" s="19" t="str">
        <f t="shared" si="68"/>
        <v/>
      </c>
    </row>
    <row r="76" spans="4:28" ht="14.5" thickBot="1" x14ac:dyDescent="0.35">
      <c r="D76" s="43">
        <v>1998</v>
      </c>
      <c r="E76" s="20" t="s">
        <v>126</v>
      </c>
      <c r="F76" s="22" t="s">
        <v>159</v>
      </c>
      <c r="G76" s="20"/>
      <c r="H76" s="21"/>
      <c r="I76" s="21"/>
      <c r="J76" s="21"/>
      <c r="K76" s="21"/>
      <c r="L76" s="21"/>
      <c r="M76" s="21"/>
      <c r="N76" s="21"/>
      <c r="O76" s="21" t="s">
        <v>153</v>
      </c>
      <c r="P76" s="21" t="s">
        <v>153</v>
      </c>
      <c r="Q76" s="21" t="s">
        <v>153</v>
      </c>
      <c r="R76" s="20" t="str">
        <f t="shared" si="69"/>
        <v/>
      </c>
      <c r="S76" s="21" t="str">
        <f t="shared" si="60"/>
        <v/>
      </c>
      <c r="T76" s="21" t="str">
        <f t="shared" si="70"/>
        <v/>
      </c>
      <c r="U76" s="21" t="str">
        <f t="shared" si="61"/>
        <v/>
      </c>
      <c r="V76" s="21" t="str">
        <f t="shared" si="62"/>
        <v/>
      </c>
      <c r="W76" s="21" t="str">
        <f t="shared" si="63"/>
        <v/>
      </c>
      <c r="X76" s="21" t="str">
        <f t="shared" si="64"/>
        <v/>
      </c>
      <c r="Y76" s="21" t="str">
        <f t="shared" si="65"/>
        <v/>
      </c>
      <c r="Z76" s="21" t="str">
        <f t="shared" si="66"/>
        <v/>
      </c>
      <c r="AA76" s="21" t="str">
        <f>IF(P76="-","",IF(P76/4*AA$5=0, "",P76/4*AA$5))</f>
        <v/>
      </c>
      <c r="AB76" s="22" t="str">
        <f t="shared" si="68"/>
        <v/>
      </c>
    </row>
    <row r="77" spans="4:28" x14ac:dyDescent="0.3">
      <c r="D77" s="41">
        <v>1998</v>
      </c>
      <c r="E77" s="15" t="s">
        <v>62</v>
      </c>
      <c r="F77" s="17" t="s">
        <v>161</v>
      </c>
      <c r="G77" s="15">
        <v>4</v>
      </c>
      <c r="H77" s="16">
        <v>1</v>
      </c>
      <c r="I77" s="16">
        <v>3</v>
      </c>
      <c r="J77" s="16"/>
      <c r="K77" s="16"/>
      <c r="L77" s="16"/>
      <c r="M77" s="16"/>
      <c r="N77" s="16"/>
      <c r="O77" s="16"/>
      <c r="P77" s="16"/>
      <c r="Q77" s="17"/>
      <c r="R77" s="16">
        <f t="shared" si="58"/>
        <v>10</v>
      </c>
      <c r="S77" s="16">
        <f t="shared" si="49"/>
        <v>2.5</v>
      </c>
      <c r="T77" s="16">
        <f t="shared" si="59"/>
        <v>7.5</v>
      </c>
      <c r="U77" s="16" t="str">
        <f t="shared" si="50"/>
        <v/>
      </c>
      <c r="V77" s="16" t="str">
        <f t="shared" si="51"/>
        <v/>
      </c>
      <c r="W77" s="16" t="str">
        <f t="shared" si="52"/>
        <v/>
      </c>
      <c r="X77" s="16" t="str">
        <f t="shared" si="53"/>
        <v/>
      </c>
      <c r="Y77" s="16" t="str">
        <f t="shared" si="54"/>
        <v/>
      </c>
      <c r="Z77" s="16" t="str">
        <f t="shared" si="55"/>
        <v/>
      </c>
      <c r="AA77" s="16" t="str">
        <f t="shared" ref="AA77:AA80" si="71">IF(P77="-","",IF(P77/4*AA$5=0, "",P77/4*AA$5))</f>
        <v/>
      </c>
      <c r="AB77" s="17" t="str">
        <f t="shared" si="57"/>
        <v/>
      </c>
    </row>
    <row r="78" spans="4:28" x14ac:dyDescent="0.3">
      <c r="D78" s="42">
        <v>1998</v>
      </c>
      <c r="E78" s="18" t="s">
        <v>72</v>
      </c>
      <c r="F78" s="19" t="s">
        <v>161</v>
      </c>
      <c r="G78" s="18"/>
      <c r="H78" s="28"/>
      <c r="I78" s="28"/>
      <c r="J78" s="28">
        <v>1</v>
      </c>
      <c r="K78" s="28">
        <v>1</v>
      </c>
      <c r="L78" s="28">
        <v>3</v>
      </c>
      <c r="M78" s="28"/>
      <c r="N78" s="28"/>
      <c r="O78" s="28"/>
      <c r="P78" s="28"/>
      <c r="Q78" s="19"/>
      <c r="R78" s="28" t="str">
        <f t="shared" si="58"/>
        <v/>
      </c>
      <c r="S78" s="28" t="str">
        <f t="shared" si="49"/>
        <v/>
      </c>
      <c r="T78" s="28" t="str">
        <f t="shared" si="59"/>
        <v/>
      </c>
      <c r="U78" s="28">
        <f t="shared" si="50"/>
        <v>2.5</v>
      </c>
      <c r="V78" s="28">
        <f t="shared" si="51"/>
        <v>2.5</v>
      </c>
      <c r="W78" s="28">
        <f t="shared" si="52"/>
        <v>7.5</v>
      </c>
      <c r="X78" s="28" t="str">
        <f t="shared" si="53"/>
        <v/>
      </c>
      <c r="Y78" s="28" t="str">
        <f t="shared" si="54"/>
        <v/>
      </c>
      <c r="Z78" s="28" t="str">
        <f t="shared" si="55"/>
        <v/>
      </c>
      <c r="AA78" s="28" t="str">
        <f t="shared" si="71"/>
        <v/>
      </c>
      <c r="AB78" s="19" t="str">
        <f t="shared" si="57"/>
        <v/>
      </c>
    </row>
    <row r="79" spans="4:28" x14ac:dyDescent="0.3">
      <c r="D79" s="42">
        <v>1998</v>
      </c>
      <c r="E79" s="18" t="s">
        <v>78</v>
      </c>
      <c r="F79" s="19" t="s">
        <v>161</v>
      </c>
      <c r="G79" s="18"/>
      <c r="H79" s="28"/>
      <c r="I79" s="28"/>
      <c r="J79" s="28"/>
      <c r="K79" s="28"/>
      <c r="L79" s="28"/>
      <c r="M79" s="28">
        <v>2</v>
      </c>
      <c r="N79" s="28">
        <v>2</v>
      </c>
      <c r="O79" s="28"/>
      <c r="P79" s="28"/>
      <c r="Q79" s="19"/>
      <c r="R79" s="28" t="str">
        <f t="shared" si="58"/>
        <v/>
      </c>
      <c r="S79" s="28" t="str">
        <f t="shared" si="49"/>
        <v/>
      </c>
      <c r="T79" s="28" t="str">
        <f t="shared" si="59"/>
        <v/>
      </c>
      <c r="U79" s="28" t="str">
        <f t="shared" si="50"/>
        <v/>
      </c>
      <c r="V79" s="28" t="str">
        <f t="shared" si="51"/>
        <v/>
      </c>
      <c r="W79" s="28" t="str">
        <f t="shared" si="52"/>
        <v/>
      </c>
      <c r="X79" s="28">
        <f t="shared" si="53"/>
        <v>5</v>
      </c>
      <c r="Y79" s="28">
        <f t="shared" si="54"/>
        <v>2.5</v>
      </c>
      <c r="Z79" s="28" t="str">
        <f t="shared" si="55"/>
        <v/>
      </c>
      <c r="AA79" s="28" t="str">
        <f t="shared" si="71"/>
        <v/>
      </c>
      <c r="AB79" s="19" t="str">
        <f t="shared" si="57"/>
        <v/>
      </c>
    </row>
    <row r="80" spans="4:28" ht="14.5" thickBot="1" x14ac:dyDescent="0.35">
      <c r="D80" s="43">
        <v>1998</v>
      </c>
      <c r="E80" s="20" t="s">
        <v>126</v>
      </c>
      <c r="F80" s="22" t="s">
        <v>161</v>
      </c>
      <c r="G80" s="20"/>
      <c r="H80" s="21"/>
      <c r="I80" s="21"/>
      <c r="J80" s="21"/>
      <c r="K80" s="21"/>
      <c r="L80" s="21"/>
      <c r="M80" s="21"/>
      <c r="N80" s="21"/>
      <c r="O80" s="21">
        <v>1</v>
      </c>
      <c r="P80" s="21">
        <v>1</v>
      </c>
      <c r="Q80" s="22">
        <v>2</v>
      </c>
      <c r="R80" s="21" t="str">
        <f t="shared" si="58"/>
        <v/>
      </c>
      <c r="S80" s="21" t="str">
        <f t="shared" si="49"/>
        <v/>
      </c>
      <c r="T80" s="21" t="str">
        <f t="shared" si="59"/>
        <v/>
      </c>
      <c r="U80" s="21" t="str">
        <f t="shared" si="50"/>
        <v/>
      </c>
      <c r="V80" s="21" t="str">
        <f t="shared" si="51"/>
        <v/>
      </c>
      <c r="W80" s="21" t="str">
        <f t="shared" si="52"/>
        <v/>
      </c>
      <c r="X80" s="21" t="str">
        <f t="shared" si="53"/>
        <v/>
      </c>
      <c r="Y80" s="21" t="str">
        <f t="shared" si="54"/>
        <v/>
      </c>
      <c r="Z80" s="21">
        <f t="shared" si="55"/>
        <v>1.25</v>
      </c>
      <c r="AA80" s="21">
        <f t="shared" si="71"/>
        <v>1.25</v>
      </c>
      <c r="AB80" s="22">
        <f t="shared" si="57"/>
        <v>7.5</v>
      </c>
    </row>
    <row r="85" spans="1:54" x14ac:dyDescent="0.3">
      <c r="A85" s="18" t="s">
        <v>198</v>
      </c>
      <c r="G85" s="32" t="s">
        <v>62</v>
      </c>
      <c r="H85" s="32" t="s">
        <v>62</v>
      </c>
      <c r="I85" s="32" t="s">
        <v>62</v>
      </c>
      <c r="J85" s="31" t="s">
        <v>72</v>
      </c>
      <c r="K85" s="31" t="s">
        <v>72</v>
      </c>
      <c r="L85" s="31" t="s">
        <v>72</v>
      </c>
      <c r="M85" s="30" t="s">
        <v>78</v>
      </c>
      <c r="N85" s="30" t="s">
        <v>78</v>
      </c>
      <c r="O85" s="29" t="s">
        <v>126</v>
      </c>
      <c r="P85" s="29" t="s">
        <v>126</v>
      </c>
      <c r="Q85" s="29" t="s">
        <v>126</v>
      </c>
      <c r="R85" s="32" t="s">
        <v>62</v>
      </c>
      <c r="S85" s="32" t="s">
        <v>62</v>
      </c>
      <c r="T85" s="32" t="s">
        <v>62</v>
      </c>
      <c r="U85" s="31" t="s">
        <v>72</v>
      </c>
      <c r="V85" s="31" t="s">
        <v>72</v>
      </c>
      <c r="W85" s="31" t="s">
        <v>72</v>
      </c>
      <c r="X85" s="30" t="s">
        <v>78</v>
      </c>
      <c r="Y85" s="30" t="s">
        <v>78</v>
      </c>
      <c r="Z85" s="29" t="s">
        <v>126</v>
      </c>
      <c r="AA85" s="29" t="s">
        <v>126</v>
      </c>
      <c r="AB85" s="29" t="s">
        <v>126</v>
      </c>
    </row>
    <row r="86" spans="1:54" x14ac:dyDescent="0.3">
      <c r="E86" t="s">
        <v>129</v>
      </c>
      <c r="G86" s="9"/>
      <c r="H86" s="9"/>
      <c r="I86" s="9"/>
      <c r="J86" s="9"/>
      <c r="K86" s="9"/>
      <c r="L86" s="9"/>
      <c r="M86" s="9"/>
      <c r="N86" s="9"/>
      <c r="O86" s="10"/>
      <c r="P86" s="10"/>
      <c r="Q86" s="10"/>
      <c r="R86" s="9"/>
      <c r="S86" s="9"/>
      <c r="T86" s="9"/>
      <c r="U86" s="9"/>
      <c r="V86" s="9"/>
      <c r="W86" s="9"/>
      <c r="X86" s="9"/>
      <c r="Y86" s="9"/>
      <c r="Z86" s="10"/>
      <c r="AA86" s="10"/>
      <c r="AB86" s="10"/>
      <c r="AE86" s="32" t="s">
        <v>62</v>
      </c>
      <c r="AF86" s="32" t="s">
        <v>62</v>
      </c>
      <c r="AG86" s="32" t="s">
        <v>62</v>
      </c>
      <c r="AH86" s="31" t="s">
        <v>72</v>
      </c>
      <c r="AI86" s="31" t="s">
        <v>72</v>
      </c>
      <c r="AJ86" s="31" t="s">
        <v>72</v>
      </c>
      <c r="AK86" s="30" t="s">
        <v>78</v>
      </c>
      <c r="AL86" s="30" t="s">
        <v>78</v>
      </c>
      <c r="AM86" s="29" t="s">
        <v>126</v>
      </c>
      <c r="AN86" s="29" t="s">
        <v>126</v>
      </c>
      <c r="AO86" s="29" t="s">
        <v>126</v>
      </c>
      <c r="AP86" s="32" t="s">
        <v>62</v>
      </c>
      <c r="AQ86" s="32" t="s">
        <v>62</v>
      </c>
      <c r="AR86" s="32" t="s">
        <v>62</v>
      </c>
      <c r="AS86" s="31" t="s">
        <v>72</v>
      </c>
      <c r="AT86" s="31" t="s">
        <v>72</v>
      </c>
      <c r="AU86" s="31" t="s">
        <v>72</v>
      </c>
      <c r="AV86" s="30" t="s">
        <v>78</v>
      </c>
      <c r="AW86" s="30" t="s">
        <v>78</v>
      </c>
      <c r="AX86" s="29" t="s">
        <v>126</v>
      </c>
      <c r="AY86" s="29" t="s">
        <v>126</v>
      </c>
      <c r="AZ86" s="29" t="s">
        <v>126</v>
      </c>
    </row>
    <row r="87" spans="1:54" ht="14.5" thickBot="1" x14ac:dyDescent="0.35">
      <c r="G87" s="11">
        <v>10</v>
      </c>
      <c r="H87" s="11">
        <v>10</v>
      </c>
      <c r="I87" s="11">
        <v>10</v>
      </c>
      <c r="J87" s="11">
        <v>10</v>
      </c>
      <c r="K87" s="11">
        <v>10</v>
      </c>
      <c r="L87" s="11">
        <v>10</v>
      </c>
      <c r="M87" s="11">
        <v>10</v>
      </c>
      <c r="N87" s="11">
        <v>5</v>
      </c>
      <c r="O87" s="11">
        <v>5</v>
      </c>
      <c r="P87" s="11">
        <v>5</v>
      </c>
      <c r="Q87" s="11">
        <v>15</v>
      </c>
      <c r="R87" s="11">
        <v>10</v>
      </c>
      <c r="S87" s="11">
        <v>10</v>
      </c>
      <c r="T87" s="11">
        <v>10</v>
      </c>
      <c r="U87" s="11">
        <v>10</v>
      </c>
      <c r="V87" s="11">
        <v>10</v>
      </c>
      <c r="W87" s="11">
        <v>10</v>
      </c>
      <c r="X87" s="11">
        <v>10</v>
      </c>
      <c r="Y87" s="11">
        <v>5</v>
      </c>
      <c r="Z87" s="11">
        <v>5</v>
      </c>
      <c r="AA87" s="11">
        <v>5</v>
      </c>
      <c r="AB87" s="11">
        <v>15</v>
      </c>
      <c r="AD87" s="25" t="s">
        <v>190</v>
      </c>
      <c r="AE87" s="44">
        <v>1998</v>
      </c>
    </row>
    <row r="88" spans="1:54" ht="14.5" thickBot="1" x14ac:dyDescent="0.35">
      <c r="D88" s="41" t="s">
        <v>190</v>
      </c>
      <c r="E88" s="36" t="s">
        <v>106</v>
      </c>
      <c r="F88" s="37" t="s">
        <v>107</v>
      </c>
      <c r="G88" s="26" t="s">
        <v>108</v>
      </c>
      <c r="H88" s="12" t="s">
        <v>109</v>
      </c>
      <c r="I88" s="12" t="s">
        <v>110</v>
      </c>
      <c r="J88" s="12" t="s">
        <v>111</v>
      </c>
      <c r="K88" s="12" t="s">
        <v>112</v>
      </c>
      <c r="L88" s="12" t="s">
        <v>113</v>
      </c>
      <c r="M88" s="12" t="s">
        <v>114</v>
      </c>
      <c r="N88" s="12" t="s">
        <v>115</v>
      </c>
      <c r="O88" s="13" t="s">
        <v>116</v>
      </c>
      <c r="P88" s="13" t="s">
        <v>127</v>
      </c>
      <c r="Q88" s="27" t="s">
        <v>128</v>
      </c>
      <c r="R88" s="33" t="s">
        <v>117</v>
      </c>
      <c r="S88" s="14" t="s">
        <v>118</v>
      </c>
      <c r="T88" s="14" t="s">
        <v>119</v>
      </c>
      <c r="U88" s="14" t="s">
        <v>120</v>
      </c>
      <c r="V88" s="14" t="s">
        <v>121</v>
      </c>
      <c r="W88" s="14" t="s">
        <v>122</v>
      </c>
      <c r="X88" s="14" t="s">
        <v>123</v>
      </c>
      <c r="Y88" s="14" t="s">
        <v>124</v>
      </c>
      <c r="Z88" s="34" t="s">
        <v>125</v>
      </c>
      <c r="AA88" s="34" t="s">
        <v>151</v>
      </c>
      <c r="AB88" s="35" t="s">
        <v>152</v>
      </c>
      <c r="AE88" s="11">
        <v>10</v>
      </c>
      <c r="AF88" s="11">
        <v>10</v>
      </c>
      <c r="AG88" s="11">
        <v>10</v>
      </c>
      <c r="AH88" s="11">
        <v>10</v>
      </c>
      <c r="AI88" s="11">
        <v>10</v>
      </c>
      <c r="AJ88" s="11">
        <v>10</v>
      </c>
      <c r="AK88" s="11">
        <v>10</v>
      </c>
      <c r="AL88" s="11">
        <v>5</v>
      </c>
      <c r="AM88" s="11">
        <v>5</v>
      </c>
      <c r="AN88" s="11">
        <v>5</v>
      </c>
      <c r="AO88" s="11">
        <v>15</v>
      </c>
      <c r="AP88" s="11">
        <v>10</v>
      </c>
      <c r="AQ88" s="11">
        <v>10</v>
      </c>
      <c r="AR88" s="11">
        <v>10</v>
      </c>
      <c r="AS88" s="11">
        <v>10</v>
      </c>
      <c r="AT88" s="11">
        <v>10</v>
      </c>
      <c r="AU88" s="11">
        <v>10</v>
      </c>
      <c r="AV88" s="11">
        <v>10</v>
      </c>
      <c r="AW88" s="11">
        <v>5</v>
      </c>
      <c r="AX88" s="11">
        <v>5</v>
      </c>
      <c r="AY88" s="11">
        <v>5</v>
      </c>
      <c r="AZ88" s="11">
        <v>15</v>
      </c>
      <c r="BA88" s="11"/>
    </row>
    <row r="89" spans="1:54" x14ac:dyDescent="0.3">
      <c r="A89" s="32" t="s">
        <v>62</v>
      </c>
      <c r="B89" s="32" t="s">
        <v>108</v>
      </c>
      <c r="D89" s="41">
        <v>1999</v>
      </c>
      <c r="E89" s="16" t="s">
        <v>62</v>
      </c>
      <c r="F89" s="17" t="s">
        <v>159</v>
      </c>
      <c r="G89" s="15">
        <v>4</v>
      </c>
      <c r="H89" s="16">
        <v>4</v>
      </c>
      <c r="I89" s="16">
        <v>2</v>
      </c>
      <c r="J89" s="16"/>
      <c r="K89" s="16"/>
      <c r="L89" s="16"/>
      <c r="M89" s="16"/>
      <c r="N89" s="16"/>
      <c r="O89" s="16"/>
      <c r="P89" s="16"/>
      <c r="Q89" s="16"/>
      <c r="R89" s="15">
        <f>IF(G89="-","",IF(G89/4*R$5=0, "",G89/4*R$5))</f>
        <v>10</v>
      </c>
      <c r="S89" s="16">
        <f t="shared" ref="S89:S112" si="72">IF(H89="-","",IF(H89/4*S$5=0, "",H89/4*S$5))</f>
        <v>10</v>
      </c>
      <c r="T89" s="16">
        <f>IF(I89="-","",IF(I89/4*T$5=0, "",I89/4*T$5))</f>
        <v>5</v>
      </c>
      <c r="U89" s="16" t="str">
        <f t="shared" ref="U89:U112" si="73">IF(J89="-","",IF(J89/4*U$5=0, "",J89/4*U$5))</f>
        <v/>
      </c>
      <c r="V89" s="16" t="str">
        <f t="shared" ref="V89:V112" si="74">IF(K89="-","",IF(K89/4*V$5=0, "",K89/4*V$5))</f>
        <v/>
      </c>
      <c r="W89" s="16" t="str">
        <f t="shared" ref="W89:W112" si="75">IF(L89="-","",IF(L89/4*W$5=0, "",L89/4*W$5))</f>
        <v/>
      </c>
      <c r="X89" s="16" t="str">
        <f t="shared" ref="X89:X112" si="76">IF(M89="-","",IF(M89/4*X$5=0, "",M89/4*X$5))</f>
        <v/>
      </c>
      <c r="Y89" s="16" t="str">
        <f t="shared" ref="Y89:Y112" si="77">IF(N89="-","",IF(N89/4*Y$5=0, "",N89/4*Y$5))</f>
        <v/>
      </c>
      <c r="Z89" s="16" t="str">
        <f t="shared" ref="Z89:Z112" si="78">IF(O89="-","",IF(O89/4*Z$5=0, "",O89/4*Z$5))</f>
        <v/>
      </c>
      <c r="AA89" s="16" t="str">
        <f t="shared" ref="AA89:AA91" si="79">IF(P89="-","",IF(P89/4*AA$5=0, "",P89/4*AA$5))</f>
        <v/>
      </c>
      <c r="AB89" s="17" t="str">
        <f t="shared" ref="AB89:AB112" si="80">IF(Q89="-","",IF(Q89/4*AB$5=0, "",Q89/4*AB$5))</f>
        <v/>
      </c>
      <c r="AD89" s="25" t="s">
        <v>130</v>
      </c>
      <c r="AE89" s="23" t="s">
        <v>131</v>
      </c>
      <c r="AF89" s="23" t="s">
        <v>132</v>
      </c>
      <c r="AG89" s="23" t="s">
        <v>133</v>
      </c>
      <c r="AH89" s="23" t="s">
        <v>134</v>
      </c>
      <c r="AI89" s="23" t="s">
        <v>135</v>
      </c>
      <c r="AJ89" s="23" t="s">
        <v>136</v>
      </c>
      <c r="AK89" s="23" t="s">
        <v>137</v>
      </c>
      <c r="AL89" s="23" t="s">
        <v>138</v>
      </c>
      <c r="AM89" s="23" t="s">
        <v>139</v>
      </c>
      <c r="AN89" s="23" t="s">
        <v>156</v>
      </c>
      <c r="AO89" s="23" t="s">
        <v>157</v>
      </c>
      <c r="AP89" s="23" t="s">
        <v>140</v>
      </c>
      <c r="AQ89" s="23" t="s">
        <v>141</v>
      </c>
      <c r="AR89" s="23" t="s">
        <v>142</v>
      </c>
      <c r="AS89" s="23" t="s">
        <v>143</v>
      </c>
      <c r="AT89" s="23" t="s">
        <v>144</v>
      </c>
      <c r="AU89" s="23" t="s">
        <v>145</v>
      </c>
      <c r="AV89" s="23" t="s">
        <v>146</v>
      </c>
      <c r="AW89" s="23" t="s">
        <v>147</v>
      </c>
      <c r="AX89" s="23" t="s">
        <v>148</v>
      </c>
      <c r="AY89" s="23" t="s">
        <v>154</v>
      </c>
      <c r="AZ89" s="23" t="s">
        <v>155</v>
      </c>
      <c r="BA89" s="23" t="s">
        <v>149</v>
      </c>
      <c r="BB89" s="23" t="s">
        <v>150</v>
      </c>
    </row>
    <row r="90" spans="1:54" x14ac:dyDescent="0.3">
      <c r="A90" s="32" t="s">
        <v>62</v>
      </c>
      <c r="B90" s="32" t="s">
        <v>109</v>
      </c>
      <c r="D90" s="42">
        <v>1999</v>
      </c>
      <c r="E90" s="28" t="s">
        <v>72</v>
      </c>
      <c r="F90" s="19" t="s">
        <v>159</v>
      </c>
      <c r="G90" s="18"/>
      <c r="H90" s="28"/>
      <c r="I90" s="28"/>
      <c r="J90" s="28">
        <v>3</v>
      </c>
      <c r="K90" s="28">
        <v>3</v>
      </c>
      <c r="L90" s="28">
        <v>1</v>
      </c>
      <c r="M90" s="28"/>
      <c r="N90" s="28"/>
      <c r="O90" s="28"/>
      <c r="P90" s="28"/>
      <c r="Q90" s="28"/>
      <c r="R90" s="18" t="str">
        <f t="shared" ref="R90:R104" si="81">IF(G90="-","",IF(G90/4*R$5=0, "",G90/4*R$5))</f>
        <v/>
      </c>
      <c r="S90" s="28" t="str">
        <f t="shared" si="72"/>
        <v/>
      </c>
      <c r="T90" s="28" t="str">
        <f t="shared" ref="T90:T104" si="82">IF(I90="-","",IF(I90/4*T$5=0, "",I90/4*T$5))</f>
        <v/>
      </c>
      <c r="U90" s="28">
        <f t="shared" si="73"/>
        <v>7.5</v>
      </c>
      <c r="V90" s="28">
        <f t="shared" si="74"/>
        <v>7.5</v>
      </c>
      <c r="W90" s="28">
        <f t="shared" si="75"/>
        <v>2.5</v>
      </c>
      <c r="X90" s="28" t="str">
        <f t="shared" si="76"/>
        <v/>
      </c>
      <c r="Y90" s="28" t="str">
        <f t="shared" si="77"/>
        <v/>
      </c>
      <c r="Z90" s="28" t="str">
        <f t="shared" si="78"/>
        <v/>
      </c>
      <c r="AA90" s="28" t="str">
        <f t="shared" si="79"/>
        <v/>
      </c>
      <c r="AB90" s="19" t="str">
        <f t="shared" si="80"/>
        <v/>
      </c>
      <c r="AD90" s="24" t="s">
        <v>161</v>
      </c>
      <c r="AE90" s="23">
        <v>4</v>
      </c>
      <c r="AF90" s="23">
        <v>1</v>
      </c>
      <c r="AG90" s="23">
        <v>3</v>
      </c>
      <c r="AH90" s="23">
        <v>1</v>
      </c>
      <c r="AI90" s="23">
        <v>1</v>
      </c>
      <c r="AJ90" s="23">
        <v>3</v>
      </c>
      <c r="AK90" s="23">
        <v>2</v>
      </c>
      <c r="AL90" s="23">
        <v>2</v>
      </c>
      <c r="AM90" s="23">
        <v>1</v>
      </c>
      <c r="AN90" s="23">
        <v>1</v>
      </c>
      <c r="AO90" s="23">
        <v>2</v>
      </c>
      <c r="AP90" s="23">
        <v>10</v>
      </c>
      <c r="AQ90" s="23">
        <v>2.5</v>
      </c>
      <c r="AR90" s="23">
        <v>7.5</v>
      </c>
      <c r="AS90" s="23">
        <v>2.5</v>
      </c>
      <c r="AT90" s="23">
        <v>2.5</v>
      </c>
      <c r="AU90" s="23">
        <v>7.5</v>
      </c>
      <c r="AV90" s="23">
        <v>5</v>
      </c>
      <c r="AW90" s="23">
        <v>2.5</v>
      </c>
      <c r="AX90" s="23">
        <v>1.25</v>
      </c>
      <c r="AY90" s="23">
        <v>1.25</v>
      </c>
      <c r="AZ90" s="23">
        <v>7.5</v>
      </c>
      <c r="BA90" s="23">
        <f>SUM(AE90:AO90)</f>
        <v>21</v>
      </c>
      <c r="BB90" s="23">
        <f>SUMIFS(AP90:AZ90, AP90:AZ90, "&lt;&gt;")/SUMIFS($AP$5:$AZ$5, AP90:AZ90, "&lt;&gt;")*100</f>
        <v>50</v>
      </c>
    </row>
    <row r="91" spans="1:54" x14ac:dyDescent="0.3">
      <c r="A91" s="32" t="s">
        <v>62</v>
      </c>
      <c r="B91" s="32" t="s">
        <v>110</v>
      </c>
      <c r="D91" s="42">
        <v>1999</v>
      </c>
      <c r="E91" s="28" t="s">
        <v>78</v>
      </c>
      <c r="F91" s="19" t="s">
        <v>159</v>
      </c>
      <c r="G91" s="18"/>
      <c r="H91" s="28"/>
      <c r="I91" s="28"/>
      <c r="J91" s="28"/>
      <c r="K91" s="28"/>
      <c r="L91" s="28"/>
      <c r="M91" s="28">
        <v>2</v>
      </c>
      <c r="N91" s="28">
        <v>2</v>
      </c>
      <c r="O91" s="28"/>
      <c r="P91" s="28"/>
      <c r="Q91" s="28"/>
      <c r="R91" s="18" t="str">
        <f t="shared" si="81"/>
        <v/>
      </c>
      <c r="S91" s="28" t="str">
        <f t="shared" si="72"/>
        <v/>
      </c>
      <c r="T91" s="28" t="str">
        <f t="shared" si="82"/>
        <v/>
      </c>
      <c r="U91" s="28" t="str">
        <f t="shared" si="73"/>
        <v/>
      </c>
      <c r="V91" s="28" t="str">
        <f t="shared" si="74"/>
        <v/>
      </c>
      <c r="W91" s="28" t="str">
        <f t="shared" si="75"/>
        <v/>
      </c>
      <c r="X91" s="28">
        <f t="shared" si="76"/>
        <v>5</v>
      </c>
      <c r="Y91" s="28">
        <f t="shared" si="77"/>
        <v>2.5</v>
      </c>
      <c r="Z91" s="28" t="str">
        <f t="shared" si="78"/>
        <v/>
      </c>
      <c r="AA91" s="28" t="str">
        <f t="shared" si="79"/>
        <v/>
      </c>
      <c r="AB91" s="19" t="str">
        <f t="shared" si="80"/>
        <v/>
      </c>
      <c r="AD91" s="24" t="s">
        <v>159</v>
      </c>
      <c r="AE91" s="23">
        <v>2.6666666666666665</v>
      </c>
      <c r="AF91" s="23">
        <v>1.6666666666666667</v>
      </c>
      <c r="AG91" s="23">
        <v>3.3333333333333335</v>
      </c>
      <c r="AH91" s="23">
        <v>2.6666666666666665</v>
      </c>
      <c r="AI91" s="23">
        <v>3.3333333333333335</v>
      </c>
      <c r="AJ91" s="23">
        <v>1.6666666666666667</v>
      </c>
      <c r="AK91" s="23">
        <v>2.3333333333333335</v>
      </c>
      <c r="AL91" s="23">
        <v>2.6666666666666665</v>
      </c>
      <c r="AM91" s="23">
        <v>4</v>
      </c>
      <c r="AN91" s="23"/>
      <c r="AO91" s="23"/>
      <c r="AP91" s="23">
        <v>6.666666666666667</v>
      </c>
      <c r="AQ91" s="23">
        <v>4.166666666666667</v>
      </c>
      <c r="AR91" s="23">
        <v>8.3333333333333339</v>
      </c>
      <c r="AS91" s="23">
        <v>6.666666666666667</v>
      </c>
      <c r="AT91" s="23">
        <v>8.3333333333333339</v>
      </c>
      <c r="AU91" s="23">
        <v>4.166666666666667</v>
      </c>
      <c r="AV91" s="23">
        <v>5.833333333333333</v>
      </c>
      <c r="AW91" s="23">
        <v>3.3333333333333335</v>
      </c>
      <c r="AX91" s="23">
        <v>5</v>
      </c>
      <c r="AY91" s="23"/>
      <c r="AZ91" s="23"/>
      <c r="BA91" s="23">
        <f>SUM(AE91:AO91)</f>
        <v>24.333333333333332</v>
      </c>
      <c r="BB91" s="23">
        <f>SUMIFS(AP91:AZ91, AP91:AZ91, "&lt;&gt;")/SUMIFS($AP$5:$AZ$5, AP91:AZ91, "&lt;&gt;")*100</f>
        <v>65.625000000000014</v>
      </c>
    </row>
    <row r="92" spans="1:54" ht="14.5" thickBot="1" x14ac:dyDescent="0.35">
      <c r="A92" s="31" t="s">
        <v>72</v>
      </c>
      <c r="B92" s="31" t="s">
        <v>111</v>
      </c>
      <c r="D92" s="43">
        <v>1999</v>
      </c>
      <c r="E92" s="21" t="s">
        <v>126</v>
      </c>
      <c r="F92" s="22" t="s">
        <v>159</v>
      </c>
      <c r="G92" s="20"/>
      <c r="H92" s="21"/>
      <c r="I92" s="21"/>
      <c r="J92" s="21"/>
      <c r="K92" s="21"/>
      <c r="L92" s="21"/>
      <c r="M92" s="21"/>
      <c r="N92" s="21"/>
      <c r="O92" s="21">
        <v>3</v>
      </c>
      <c r="P92" s="21">
        <v>4</v>
      </c>
      <c r="Q92" s="21">
        <v>4</v>
      </c>
      <c r="R92" s="20" t="str">
        <f t="shared" si="81"/>
        <v/>
      </c>
      <c r="S92" s="21" t="str">
        <f t="shared" si="72"/>
        <v/>
      </c>
      <c r="T92" s="21" t="str">
        <f t="shared" si="82"/>
        <v/>
      </c>
      <c r="U92" s="21" t="str">
        <f t="shared" si="73"/>
        <v/>
      </c>
      <c r="V92" s="21" t="str">
        <f t="shared" si="74"/>
        <v/>
      </c>
      <c r="W92" s="21" t="str">
        <f t="shared" si="75"/>
        <v/>
      </c>
      <c r="X92" s="21" t="str">
        <f t="shared" si="76"/>
        <v/>
      </c>
      <c r="Y92" s="21" t="str">
        <f t="shared" si="77"/>
        <v/>
      </c>
      <c r="Z92" s="21">
        <f t="shared" si="78"/>
        <v>3.75</v>
      </c>
      <c r="AA92" s="21">
        <f>IF(P92="-","",IF(P92/4*AA$5=0, "",P92/4*AA$5))</f>
        <v>5</v>
      </c>
      <c r="AB92" s="22">
        <f t="shared" si="80"/>
        <v>15</v>
      </c>
      <c r="AD92" s="24" t="s">
        <v>92</v>
      </c>
      <c r="AE92" s="23">
        <v>3</v>
      </c>
      <c r="AF92" s="23">
        <v>1.5</v>
      </c>
      <c r="AG92" s="23">
        <v>3.25</v>
      </c>
      <c r="AH92" s="23">
        <v>2.25</v>
      </c>
      <c r="AI92" s="23">
        <v>2.75</v>
      </c>
      <c r="AJ92" s="23">
        <v>2</v>
      </c>
      <c r="AK92" s="23">
        <v>2.25</v>
      </c>
      <c r="AL92" s="23">
        <v>2.5</v>
      </c>
      <c r="AM92" s="23">
        <v>2.5</v>
      </c>
      <c r="AN92" s="23">
        <v>1</v>
      </c>
      <c r="AO92" s="23">
        <v>2</v>
      </c>
      <c r="AP92" s="23">
        <v>7.5</v>
      </c>
      <c r="AQ92" s="23">
        <v>3.75</v>
      </c>
      <c r="AR92" s="23">
        <v>8.125</v>
      </c>
      <c r="AS92" s="23">
        <v>5.625</v>
      </c>
      <c r="AT92" s="23">
        <v>6.875</v>
      </c>
      <c r="AU92" s="23">
        <v>5</v>
      </c>
      <c r="AV92" s="23">
        <v>5.625</v>
      </c>
      <c r="AW92" s="23">
        <v>3.125</v>
      </c>
      <c r="AX92" s="23">
        <v>3.125</v>
      </c>
      <c r="AY92" s="23">
        <v>1.25</v>
      </c>
      <c r="AZ92" s="23">
        <v>7.5</v>
      </c>
      <c r="BA92" s="23">
        <f>SUM(AE92:AO92)</f>
        <v>25</v>
      </c>
      <c r="BB92" s="23">
        <f>SUMIFS(AP92:AZ92, AP92:AZ92, "&lt;&gt;")/SUMIFS($AP$5:$AZ$5, AP92:AZ92, "&lt;&gt;")*100</f>
        <v>57.499999999999993</v>
      </c>
    </row>
    <row r="93" spans="1:54" x14ac:dyDescent="0.3">
      <c r="A93" s="31" t="s">
        <v>72</v>
      </c>
      <c r="B93" s="31" t="s">
        <v>112</v>
      </c>
      <c r="D93" s="41">
        <v>1999</v>
      </c>
      <c r="E93" s="15" t="s">
        <v>62</v>
      </c>
      <c r="F93" s="17" t="s">
        <v>161</v>
      </c>
      <c r="G93" s="15">
        <v>3</v>
      </c>
      <c r="H93" s="16">
        <v>2</v>
      </c>
      <c r="I93" s="16">
        <v>2</v>
      </c>
      <c r="J93" s="16"/>
      <c r="K93" s="16"/>
      <c r="L93" s="16"/>
      <c r="M93" s="16"/>
      <c r="N93" s="16"/>
      <c r="O93" s="16"/>
      <c r="P93" s="16"/>
      <c r="Q93" s="17"/>
      <c r="R93" s="16">
        <f t="shared" si="81"/>
        <v>7.5</v>
      </c>
      <c r="S93" s="16">
        <f t="shared" si="72"/>
        <v>5</v>
      </c>
      <c r="T93" s="16">
        <f t="shared" si="82"/>
        <v>5</v>
      </c>
      <c r="U93" s="16" t="str">
        <f t="shared" si="73"/>
        <v/>
      </c>
      <c r="V93" s="16" t="str">
        <f t="shared" si="74"/>
        <v/>
      </c>
      <c r="W93" s="16" t="str">
        <f t="shared" si="75"/>
        <v/>
      </c>
      <c r="X93" s="16" t="str">
        <f t="shared" si="76"/>
        <v/>
      </c>
      <c r="Y93" s="16" t="str">
        <f t="shared" si="77"/>
        <v/>
      </c>
      <c r="Z93" s="16" t="str">
        <f t="shared" si="78"/>
        <v/>
      </c>
      <c r="AA93" s="16" t="str">
        <f t="shared" ref="AA93:AA107" si="83">IF(P93="-","",IF(P93/4*AA$5=0, "",P93/4*AA$5))</f>
        <v/>
      </c>
      <c r="AB93" s="17" t="str">
        <f t="shared" si="80"/>
        <v/>
      </c>
    </row>
    <row r="94" spans="1:54" x14ac:dyDescent="0.3">
      <c r="A94" s="31" t="s">
        <v>72</v>
      </c>
      <c r="B94" s="31" t="s">
        <v>113</v>
      </c>
      <c r="D94" s="42">
        <v>1999</v>
      </c>
      <c r="E94" s="18" t="s">
        <v>72</v>
      </c>
      <c r="F94" s="19" t="s">
        <v>161</v>
      </c>
      <c r="G94" s="18"/>
      <c r="H94" s="28"/>
      <c r="I94" s="28"/>
      <c r="J94" s="28">
        <v>4</v>
      </c>
      <c r="K94" s="28">
        <v>4</v>
      </c>
      <c r="L94" s="28">
        <v>1</v>
      </c>
      <c r="M94" s="28"/>
      <c r="N94" s="28"/>
      <c r="O94" s="28"/>
      <c r="P94" s="28"/>
      <c r="Q94" s="19"/>
      <c r="R94" s="28" t="str">
        <f t="shared" si="81"/>
        <v/>
      </c>
      <c r="S94" s="28" t="str">
        <f t="shared" si="72"/>
        <v/>
      </c>
      <c r="T94" s="28" t="str">
        <f t="shared" si="82"/>
        <v/>
      </c>
      <c r="U94" s="28">
        <f t="shared" si="73"/>
        <v>10</v>
      </c>
      <c r="V94" s="28">
        <f t="shared" si="74"/>
        <v>10</v>
      </c>
      <c r="W94" s="28">
        <f t="shared" si="75"/>
        <v>2.5</v>
      </c>
      <c r="X94" s="28" t="str">
        <f t="shared" si="76"/>
        <v/>
      </c>
      <c r="Y94" s="28" t="str">
        <f t="shared" si="77"/>
        <v/>
      </c>
      <c r="Z94" s="28" t="str">
        <f t="shared" si="78"/>
        <v/>
      </c>
      <c r="AA94" s="28" t="str">
        <f t="shared" si="83"/>
        <v/>
      </c>
      <c r="AB94" s="19" t="str">
        <f t="shared" si="80"/>
        <v/>
      </c>
    </row>
    <row r="95" spans="1:54" x14ac:dyDescent="0.3">
      <c r="A95" s="30" t="s">
        <v>78</v>
      </c>
      <c r="B95" s="30" t="s">
        <v>114</v>
      </c>
      <c r="D95" s="42">
        <v>1999</v>
      </c>
      <c r="E95" s="18" t="s">
        <v>78</v>
      </c>
      <c r="F95" s="19" t="s">
        <v>161</v>
      </c>
      <c r="G95" s="18"/>
      <c r="H95" s="28"/>
      <c r="I95" s="28"/>
      <c r="J95" s="28"/>
      <c r="K95" s="28"/>
      <c r="L95" s="28"/>
      <c r="M95" s="28">
        <v>4</v>
      </c>
      <c r="N95" s="28">
        <v>2</v>
      </c>
      <c r="O95" s="28"/>
      <c r="P95" s="28"/>
      <c r="Q95" s="19"/>
      <c r="R95" s="28" t="str">
        <f t="shared" si="81"/>
        <v/>
      </c>
      <c r="S95" s="28" t="str">
        <f t="shared" si="72"/>
        <v/>
      </c>
      <c r="T95" s="28" t="str">
        <f t="shared" si="82"/>
        <v/>
      </c>
      <c r="U95" s="28" t="str">
        <f t="shared" si="73"/>
        <v/>
      </c>
      <c r="V95" s="28" t="str">
        <f t="shared" si="74"/>
        <v/>
      </c>
      <c r="W95" s="28" t="str">
        <f t="shared" si="75"/>
        <v/>
      </c>
      <c r="X95" s="28">
        <f t="shared" si="76"/>
        <v>10</v>
      </c>
      <c r="Y95" s="28">
        <f t="shared" si="77"/>
        <v>2.5</v>
      </c>
      <c r="Z95" s="28" t="str">
        <f t="shared" si="78"/>
        <v/>
      </c>
      <c r="AA95" s="28" t="str">
        <f t="shared" si="83"/>
        <v/>
      </c>
      <c r="AB95" s="19" t="str">
        <f t="shared" si="80"/>
        <v/>
      </c>
    </row>
    <row r="96" spans="1:54" ht="14.5" thickBot="1" x14ac:dyDescent="0.35">
      <c r="A96" s="30" t="s">
        <v>78</v>
      </c>
      <c r="B96" s="30" t="s">
        <v>115</v>
      </c>
      <c r="D96" s="43">
        <v>1999</v>
      </c>
      <c r="E96" s="18" t="s">
        <v>126</v>
      </c>
      <c r="F96" s="19" t="s">
        <v>161</v>
      </c>
      <c r="G96" s="18"/>
      <c r="H96" s="28"/>
      <c r="I96" s="28"/>
      <c r="J96" s="28"/>
      <c r="K96" s="28"/>
      <c r="L96" s="28"/>
      <c r="M96" s="28"/>
      <c r="N96" s="28"/>
      <c r="O96" s="28"/>
      <c r="P96" s="28"/>
      <c r="Q96" s="19"/>
      <c r="R96" s="28" t="str">
        <f t="shared" si="81"/>
        <v/>
      </c>
      <c r="S96" s="28" t="str">
        <f t="shared" si="72"/>
        <v/>
      </c>
      <c r="T96" s="28" t="str">
        <f t="shared" si="82"/>
        <v/>
      </c>
      <c r="U96" s="28" t="str">
        <f t="shared" si="73"/>
        <v/>
      </c>
      <c r="V96" s="28" t="str">
        <f t="shared" si="74"/>
        <v/>
      </c>
      <c r="W96" s="28" t="str">
        <f t="shared" si="75"/>
        <v/>
      </c>
      <c r="X96" s="28" t="str">
        <f t="shared" si="76"/>
        <v/>
      </c>
      <c r="Y96" s="28" t="str">
        <f t="shared" si="77"/>
        <v/>
      </c>
      <c r="Z96" s="28" t="str">
        <f t="shared" si="78"/>
        <v/>
      </c>
      <c r="AA96" s="28" t="str">
        <f t="shared" si="83"/>
        <v/>
      </c>
      <c r="AB96" s="19" t="str">
        <f t="shared" si="80"/>
        <v/>
      </c>
    </row>
    <row r="97" spans="1:53" x14ac:dyDescent="0.3">
      <c r="A97" s="29" t="s">
        <v>126</v>
      </c>
      <c r="B97" s="29" t="s">
        <v>116</v>
      </c>
      <c r="D97" s="41">
        <v>1999</v>
      </c>
      <c r="E97" s="15" t="s">
        <v>62</v>
      </c>
      <c r="F97" s="17" t="s">
        <v>161</v>
      </c>
      <c r="G97" s="15">
        <v>2</v>
      </c>
      <c r="H97" s="16">
        <v>4</v>
      </c>
      <c r="I97" s="16">
        <v>1</v>
      </c>
      <c r="J97" s="16"/>
      <c r="K97" s="16"/>
      <c r="L97" s="16"/>
      <c r="M97" s="16"/>
      <c r="N97" s="16"/>
      <c r="O97" s="16"/>
      <c r="P97" s="16"/>
      <c r="Q97" s="16"/>
      <c r="R97" s="15">
        <f t="shared" si="81"/>
        <v>5</v>
      </c>
      <c r="S97" s="16">
        <f t="shared" si="72"/>
        <v>10</v>
      </c>
      <c r="T97" s="16">
        <f t="shared" si="82"/>
        <v>2.5</v>
      </c>
      <c r="U97" s="16" t="str">
        <f t="shared" si="73"/>
        <v/>
      </c>
      <c r="V97" s="16" t="str">
        <f t="shared" si="74"/>
        <v/>
      </c>
      <c r="W97" s="16" t="str">
        <f t="shared" si="75"/>
        <v/>
      </c>
      <c r="X97" s="16" t="str">
        <f t="shared" si="76"/>
        <v/>
      </c>
      <c r="Y97" s="16" t="str">
        <f t="shared" si="77"/>
        <v/>
      </c>
      <c r="Z97" s="16" t="str">
        <f t="shared" si="78"/>
        <v/>
      </c>
      <c r="AA97" s="16" t="str">
        <f t="shared" si="83"/>
        <v/>
      </c>
      <c r="AB97" s="17" t="str">
        <f t="shared" si="80"/>
        <v/>
      </c>
    </row>
    <row r="98" spans="1:53" x14ac:dyDescent="0.3">
      <c r="A98" s="29" t="s">
        <v>126</v>
      </c>
      <c r="B98" s="29" t="s">
        <v>127</v>
      </c>
      <c r="D98" s="42">
        <v>1999</v>
      </c>
      <c r="E98" s="18" t="s">
        <v>72</v>
      </c>
      <c r="F98" s="19" t="s">
        <v>161</v>
      </c>
      <c r="G98" s="18"/>
      <c r="H98" s="28"/>
      <c r="I98" s="28"/>
      <c r="J98" s="28">
        <v>3</v>
      </c>
      <c r="K98" s="28">
        <v>4</v>
      </c>
      <c r="L98" s="28">
        <v>2</v>
      </c>
      <c r="M98" s="28"/>
      <c r="N98" s="28"/>
      <c r="O98" s="28"/>
      <c r="P98" s="28"/>
      <c r="Q98" s="28"/>
      <c r="R98" s="18" t="str">
        <f t="shared" si="81"/>
        <v/>
      </c>
      <c r="S98" s="28" t="str">
        <f t="shared" si="72"/>
        <v/>
      </c>
      <c r="T98" s="28" t="str">
        <f t="shared" si="82"/>
        <v/>
      </c>
      <c r="U98" s="28">
        <f t="shared" si="73"/>
        <v>7.5</v>
      </c>
      <c r="V98" s="28">
        <f t="shared" si="74"/>
        <v>10</v>
      </c>
      <c r="W98" s="28">
        <f t="shared" si="75"/>
        <v>5</v>
      </c>
      <c r="X98" s="28" t="str">
        <f t="shared" si="76"/>
        <v/>
      </c>
      <c r="Y98" s="28" t="str">
        <f t="shared" si="77"/>
        <v/>
      </c>
      <c r="Z98" s="28" t="str">
        <f t="shared" si="78"/>
        <v/>
      </c>
      <c r="AA98" s="28" t="str">
        <f t="shared" si="83"/>
        <v/>
      </c>
      <c r="AB98" s="19" t="str">
        <f t="shared" si="80"/>
        <v/>
      </c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</row>
    <row r="99" spans="1:53" x14ac:dyDescent="0.3">
      <c r="A99" s="29" t="s">
        <v>126</v>
      </c>
      <c r="B99" s="29" t="s">
        <v>128</v>
      </c>
      <c r="D99" s="42">
        <v>1999</v>
      </c>
      <c r="E99" s="18" t="s">
        <v>78</v>
      </c>
      <c r="F99" s="19" t="s">
        <v>161</v>
      </c>
      <c r="G99" s="18"/>
      <c r="H99" s="28"/>
      <c r="I99" s="28"/>
      <c r="J99" s="28"/>
      <c r="K99" s="28"/>
      <c r="L99" s="28"/>
      <c r="M99" s="28">
        <v>3</v>
      </c>
      <c r="N99" s="28">
        <v>2</v>
      </c>
      <c r="O99" s="28"/>
      <c r="P99" s="28"/>
      <c r="Q99" s="28"/>
      <c r="R99" s="18" t="str">
        <f t="shared" si="81"/>
        <v/>
      </c>
      <c r="S99" s="28" t="str">
        <f t="shared" si="72"/>
        <v/>
      </c>
      <c r="T99" s="28" t="str">
        <f t="shared" si="82"/>
        <v/>
      </c>
      <c r="U99" s="28" t="str">
        <f t="shared" si="73"/>
        <v/>
      </c>
      <c r="V99" s="28" t="str">
        <f t="shared" si="74"/>
        <v/>
      </c>
      <c r="W99" s="28" t="str">
        <f t="shared" si="75"/>
        <v/>
      </c>
      <c r="X99" s="28">
        <f t="shared" si="76"/>
        <v>7.5</v>
      </c>
      <c r="Y99" s="28">
        <f t="shared" si="77"/>
        <v>2.5</v>
      </c>
      <c r="Z99" s="28" t="str">
        <f t="shared" si="78"/>
        <v/>
      </c>
      <c r="AA99" s="28" t="str">
        <f t="shared" si="83"/>
        <v/>
      </c>
      <c r="AB99" s="19" t="str">
        <f t="shared" si="80"/>
        <v/>
      </c>
    </row>
    <row r="100" spans="1:53" ht="14.5" thickBot="1" x14ac:dyDescent="0.35">
      <c r="D100" s="43">
        <v>1999</v>
      </c>
      <c r="E100" s="20" t="s">
        <v>126</v>
      </c>
      <c r="F100" s="22" t="s">
        <v>161</v>
      </c>
      <c r="G100" s="20"/>
      <c r="H100" s="21"/>
      <c r="I100" s="21"/>
      <c r="J100" s="21"/>
      <c r="K100" s="21"/>
      <c r="L100" s="21"/>
      <c r="M100" s="21"/>
      <c r="N100" s="21"/>
      <c r="O100" s="21" t="s">
        <v>153</v>
      </c>
      <c r="P100" s="21" t="s">
        <v>153</v>
      </c>
      <c r="Q100" s="21" t="s">
        <v>153</v>
      </c>
      <c r="R100" s="20" t="str">
        <f t="shared" si="81"/>
        <v/>
      </c>
      <c r="S100" s="21" t="str">
        <f t="shared" si="72"/>
        <v/>
      </c>
      <c r="T100" s="21" t="str">
        <f t="shared" si="82"/>
        <v/>
      </c>
      <c r="U100" s="21" t="str">
        <f t="shared" si="73"/>
        <v/>
      </c>
      <c r="V100" s="21" t="str">
        <f t="shared" si="74"/>
        <v/>
      </c>
      <c r="W100" s="21" t="str">
        <f t="shared" si="75"/>
        <v/>
      </c>
      <c r="X100" s="21" t="str">
        <f t="shared" si="76"/>
        <v/>
      </c>
      <c r="Y100" s="21" t="str">
        <f t="shared" si="77"/>
        <v/>
      </c>
      <c r="Z100" s="21" t="str">
        <f t="shared" si="78"/>
        <v/>
      </c>
      <c r="AA100" s="21" t="str">
        <f t="shared" si="83"/>
        <v/>
      </c>
      <c r="AB100" s="22" t="str">
        <f t="shared" si="80"/>
        <v/>
      </c>
    </row>
    <row r="101" spans="1:53" x14ac:dyDescent="0.3">
      <c r="D101" s="41">
        <v>1999</v>
      </c>
      <c r="E101" s="15" t="s">
        <v>62</v>
      </c>
      <c r="F101" s="17" t="s">
        <v>161</v>
      </c>
      <c r="G101" s="15">
        <v>4</v>
      </c>
      <c r="H101" s="16">
        <v>4</v>
      </c>
      <c r="I101" s="16">
        <v>3</v>
      </c>
      <c r="J101" s="16"/>
      <c r="K101" s="16"/>
      <c r="L101" s="16"/>
      <c r="M101" s="16"/>
      <c r="N101" s="16"/>
      <c r="O101" s="16"/>
      <c r="P101" s="16"/>
      <c r="Q101" s="17"/>
      <c r="R101" s="16">
        <f t="shared" si="81"/>
        <v>10</v>
      </c>
      <c r="S101" s="16">
        <f t="shared" si="72"/>
        <v>10</v>
      </c>
      <c r="T101" s="16">
        <f t="shared" si="82"/>
        <v>7.5</v>
      </c>
      <c r="U101" s="16" t="str">
        <f t="shared" si="73"/>
        <v/>
      </c>
      <c r="V101" s="16" t="str">
        <f t="shared" si="74"/>
        <v/>
      </c>
      <c r="W101" s="16" t="str">
        <f t="shared" si="75"/>
        <v/>
      </c>
      <c r="X101" s="16" t="str">
        <f t="shared" si="76"/>
        <v/>
      </c>
      <c r="Y101" s="16" t="str">
        <f t="shared" si="77"/>
        <v/>
      </c>
      <c r="Z101" s="16" t="str">
        <f t="shared" si="78"/>
        <v/>
      </c>
      <c r="AA101" s="16" t="str">
        <f t="shared" si="83"/>
        <v/>
      </c>
      <c r="AB101" s="17" t="str">
        <f t="shared" si="80"/>
        <v/>
      </c>
    </row>
    <row r="102" spans="1:53" x14ac:dyDescent="0.3">
      <c r="D102" s="42">
        <v>1999</v>
      </c>
      <c r="E102" s="18" t="s">
        <v>72</v>
      </c>
      <c r="F102" s="19" t="s">
        <v>161</v>
      </c>
      <c r="G102" s="18"/>
      <c r="H102" s="28"/>
      <c r="I102" s="28"/>
      <c r="J102" s="28">
        <v>2</v>
      </c>
      <c r="K102" s="28">
        <v>2</v>
      </c>
      <c r="L102" s="28">
        <v>4</v>
      </c>
      <c r="M102" s="28"/>
      <c r="N102" s="28"/>
      <c r="O102" s="28"/>
      <c r="P102" s="28"/>
      <c r="Q102" s="19"/>
      <c r="R102" s="28" t="str">
        <f t="shared" si="81"/>
        <v/>
      </c>
      <c r="S102" s="28" t="str">
        <f t="shared" si="72"/>
        <v/>
      </c>
      <c r="T102" s="28" t="str">
        <f t="shared" si="82"/>
        <v/>
      </c>
      <c r="U102" s="28">
        <f t="shared" si="73"/>
        <v>5</v>
      </c>
      <c r="V102" s="28">
        <f t="shared" si="74"/>
        <v>5</v>
      </c>
      <c r="W102" s="28">
        <f t="shared" si="75"/>
        <v>10</v>
      </c>
      <c r="X102" s="28" t="str">
        <f t="shared" si="76"/>
        <v/>
      </c>
      <c r="Y102" s="28" t="str">
        <f t="shared" si="77"/>
        <v/>
      </c>
      <c r="Z102" s="28" t="str">
        <f t="shared" si="78"/>
        <v/>
      </c>
      <c r="AA102" s="28" t="str">
        <f t="shared" si="83"/>
        <v/>
      </c>
      <c r="AB102" s="19" t="str">
        <f t="shared" si="80"/>
        <v/>
      </c>
    </row>
    <row r="103" spans="1:53" x14ac:dyDescent="0.3">
      <c r="D103" s="42">
        <v>1999</v>
      </c>
      <c r="E103" s="18" t="s">
        <v>78</v>
      </c>
      <c r="F103" s="19" t="s">
        <v>161</v>
      </c>
      <c r="G103" s="18"/>
      <c r="H103" s="28"/>
      <c r="I103" s="28"/>
      <c r="J103" s="28"/>
      <c r="K103" s="28"/>
      <c r="L103" s="28"/>
      <c r="M103" s="28">
        <v>3</v>
      </c>
      <c r="N103" s="28">
        <v>1</v>
      </c>
      <c r="O103" s="28"/>
      <c r="P103" s="28"/>
      <c r="Q103" s="19"/>
      <c r="R103" s="28" t="str">
        <f t="shared" si="81"/>
        <v/>
      </c>
      <c r="S103" s="28" t="str">
        <f t="shared" si="72"/>
        <v/>
      </c>
      <c r="T103" s="28" t="str">
        <f t="shared" si="82"/>
        <v/>
      </c>
      <c r="U103" s="28" t="str">
        <f t="shared" si="73"/>
        <v/>
      </c>
      <c r="V103" s="28" t="str">
        <f t="shared" si="74"/>
        <v/>
      </c>
      <c r="W103" s="28" t="str">
        <f t="shared" si="75"/>
        <v/>
      </c>
      <c r="X103" s="28">
        <f t="shared" si="76"/>
        <v>7.5</v>
      </c>
      <c r="Y103" s="28">
        <f t="shared" si="77"/>
        <v>1.25</v>
      </c>
      <c r="Z103" s="28" t="str">
        <f t="shared" si="78"/>
        <v/>
      </c>
      <c r="AA103" s="28" t="str">
        <f t="shared" si="83"/>
        <v/>
      </c>
      <c r="AB103" s="19" t="str">
        <f t="shared" si="80"/>
        <v/>
      </c>
    </row>
    <row r="104" spans="1:53" ht="14.5" thickBot="1" x14ac:dyDescent="0.35">
      <c r="D104" s="43">
        <v>1999</v>
      </c>
      <c r="E104" s="20" t="s">
        <v>126</v>
      </c>
      <c r="F104" s="22" t="s">
        <v>161</v>
      </c>
      <c r="G104" s="20"/>
      <c r="H104" s="21"/>
      <c r="I104" s="21"/>
      <c r="J104" s="21"/>
      <c r="K104" s="21"/>
      <c r="L104" s="21"/>
      <c r="M104" s="21"/>
      <c r="N104" s="21"/>
      <c r="O104" s="21"/>
      <c r="P104" s="21"/>
      <c r="Q104" s="22"/>
      <c r="R104" s="21" t="str">
        <f t="shared" si="81"/>
        <v/>
      </c>
      <c r="S104" s="21" t="str">
        <f t="shared" si="72"/>
        <v/>
      </c>
      <c r="T104" s="21" t="str">
        <f t="shared" si="82"/>
        <v/>
      </c>
      <c r="U104" s="21" t="str">
        <f t="shared" si="73"/>
        <v/>
      </c>
      <c r="V104" s="21" t="str">
        <f t="shared" si="74"/>
        <v/>
      </c>
      <c r="W104" s="21" t="str">
        <f t="shared" si="75"/>
        <v/>
      </c>
      <c r="X104" s="21" t="str">
        <f t="shared" si="76"/>
        <v/>
      </c>
      <c r="Y104" s="21" t="str">
        <f t="shared" si="77"/>
        <v/>
      </c>
      <c r="Z104" s="21" t="str">
        <f t="shared" si="78"/>
        <v/>
      </c>
      <c r="AA104" s="21" t="str">
        <f t="shared" si="83"/>
        <v/>
      </c>
      <c r="AB104" s="22" t="str">
        <f t="shared" si="80"/>
        <v/>
      </c>
    </row>
    <row r="105" spans="1:53" x14ac:dyDescent="0.3">
      <c r="D105" s="41">
        <v>1998</v>
      </c>
      <c r="E105" s="15" t="s">
        <v>62</v>
      </c>
      <c r="F105" s="17" t="s">
        <v>159</v>
      </c>
      <c r="G105" s="15">
        <v>3</v>
      </c>
      <c r="H105" s="16">
        <v>1</v>
      </c>
      <c r="I105" s="16">
        <v>4</v>
      </c>
      <c r="J105" s="16"/>
      <c r="K105" s="16"/>
      <c r="L105" s="16"/>
      <c r="M105" s="16"/>
      <c r="N105" s="16"/>
      <c r="O105" s="16"/>
      <c r="P105" s="16"/>
      <c r="Q105" s="16"/>
      <c r="R105" s="15">
        <f>IF(G105="-","",IF(G105/4*R$5=0, "",G105/4*R$5))</f>
        <v>7.5</v>
      </c>
      <c r="S105" s="16">
        <f t="shared" si="72"/>
        <v>2.5</v>
      </c>
      <c r="T105" s="16">
        <f>IF(I105="-","",IF(I105/4*T$5=0, "",I105/4*T$5))</f>
        <v>10</v>
      </c>
      <c r="U105" s="16" t="str">
        <f t="shared" si="73"/>
        <v/>
      </c>
      <c r="V105" s="16" t="str">
        <f t="shared" si="74"/>
        <v/>
      </c>
      <c r="W105" s="16" t="str">
        <f t="shared" si="75"/>
        <v/>
      </c>
      <c r="X105" s="16" t="str">
        <f t="shared" si="76"/>
        <v/>
      </c>
      <c r="Y105" s="16" t="str">
        <f t="shared" si="77"/>
        <v/>
      </c>
      <c r="Z105" s="16" t="str">
        <f t="shared" si="78"/>
        <v/>
      </c>
      <c r="AA105" s="16" t="str">
        <f t="shared" si="83"/>
        <v/>
      </c>
      <c r="AB105" s="17" t="str">
        <f t="shared" si="80"/>
        <v/>
      </c>
    </row>
    <row r="106" spans="1:53" x14ac:dyDescent="0.3">
      <c r="D106" s="42">
        <v>1998</v>
      </c>
      <c r="E106" s="18" t="s">
        <v>72</v>
      </c>
      <c r="F106" s="19" t="s">
        <v>159</v>
      </c>
      <c r="G106" s="18"/>
      <c r="H106" s="28"/>
      <c r="I106" s="28"/>
      <c r="J106" s="28">
        <v>4</v>
      </c>
      <c r="K106" s="28">
        <v>4</v>
      </c>
      <c r="L106" s="28">
        <v>2</v>
      </c>
      <c r="M106" s="28"/>
      <c r="N106" s="28"/>
      <c r="O106" s="28"/>
      <c r="P106" s="28"/>
      <c r="Q106" s="28"/>
      <c r="R106" s="18" t="str">
        <f t="shared" ref="R106:R108" si="84">IF(G106="-","",IF(G106/4*R$5=0, "",G106/4*R$5))</f>
        <v/>
      </c>
      <c r="S106" s="28" t="str">
        <f t="shared" si="72"/>
        <v/>
      </c>
      <c r="T106" s="28" t="str">
        <f t="shared" ref="T106:T108" si="85">IF(I106="-","",IF(I106/4*T$5=0, "",I106/4*T$5))</f>
        <v/>
      </c>
      <c r="U106" s="28">
        <f t="shared" si="73"/>
        <v>10</v>
      </c>
      <c r="V106" s="28">
        <f t="shared" si="74"/>
        <v>10</v>
      </c>
      <c r="W106" s="28">
        <f t="shared" si="75"/>
        <v>5</v>
      </c>
      <c r="X106" s="28" t="str">
        <f t="shared" si="76"/>
        <v/>
      </c>
      <c r="Y106" s="28" t="str">
        <f t="shared" si="77"/>
        <v/>
      </c>
      <c r="Z106" s="28" t="str">
        <f t="shared" si="78"/>
        <v/>
      </c>
      <c r="AA106" s="28" t="str">
        <f t="shared" si="83"/>
        <v/>
      </c>
      <c r="AB106" s="19" t="str">
        <f t="shared" si="80"/>
        <v/>
      </c>
    </row>
    <row r="107" spans="1:53" x14ac:dyDescent="0.3">
      <c r="D107" s="42">
        <v>1998</v>
      </c>
      <c r="E107" s="18" t="s">
        <v>78</v>
      </c>
      <c r="F107" s="19" t="s">
        <v>159</v>
      </c>
      <c r="G107" s="18"/>
      <c r="H107" s="28"/>
      <c r="I107" s="28"/>
      <c r="J107" s="28"/>
      <c r="K107" s="28"/>
      <c r="L107" s="28"/>
      <c r="M107" s="28">
        <v>4</v>
      </c>
      <c r="N107" s="28">
        <v>4</v>
      </c>
      <c r="O107" s="28"/>
      <c r="P107" s="28"/>
      <c r="Q107" s="28"/>
      <c r="R107" s="18" t="str">
        <f t="shared" si="84"/>
        <v/>
      </c>
      <c r="S107" s="28" t="str">
        <f t="shared" si="72"/>
        <v/>
      </c>
      <c r="T107" s="28" t="str">
        <f t="shared" si="85"/>
        <v/>
      </c>
      <c r="U107" s="28" t="str">
        <f t="shared" si="73"/>
        <v/>
      </c>
      <c r="V107" s="28" t="str">
        <f t="shared" si="74"/>
        <v/>
      </c>
      <c r="W107" s="28" t="str">
        <f t="shared" si="75"/>
        <v/>
      </c>
      <c r="X107" s="28">
        <f t="shared" si="76"/>
        <v>10</v>
      </c>
      <c r="Y107" s="28">
        <f t="shared" si="77"/>
        <v>5</v>
      </c>
      <c r="Z107" s="28" t="str">
        <f t="shared" si="78"/>
        <v/>
      </c>
      <c r="AA107" s="28" t="str">
        <f t="shared" si="83"/>
        <v/>
      </c>
      <c r="AB107" s="19" t="str">
        <f t="shared" si="80"/>
        <v/>
      </c>
    </row>
    <row r="108" spans="1:53" ht="14.5" thickBot="1" x14ac:dyDescent="0.35">
      <c r="D108" s="43">
        <v>1998</v>
      </c>
      <c r="E108" s="20" t="s">
        <v>126</v>
      </c>
      <c r="F108" s="22" t="s">
        <v>159</v>
      </c>
      <c r="G108" s="20"/>
      <c r="H108" s="21"/>
      <c r="I108" s="21"/>
      <c r="J108" s="21"/>
      <c r="K108" s="21"/>
      <c r="L108" s="21"/>
      <c r="M108" s="21"/>
      <c r="N108" s="21"/>
      <c r="O108" s="21" t="s">
        <v>153</v>
      </c>
      <c r="P108" s="21" t="s">
        <v>153</v>
      </c>
      <c r="Q108" s="21" t="s">
        <v>153</v>
      </c>
      <c r="R108" s="20" t="str">
        <f t="shared" si="84"/>
        <v/>
      </c>
      <c r="S108" s="21" t="str">
        <f t="shared" si="72"/>
        <v/>
      </c>
      <c r="T108" s="21" t="str">
        <f t="shared" si="85"/>
        <v/>
      </c>
      <c r="U108" s="21" t="str">
        <f t="shared" si="73"/>
        <v/>
      </c>
      <c r="V108" s="21" t="str">
        <f t="shared" si="74"/>
        <v/>
      </c>
      <c r="W108" s="21" t="str">
        <f t="shared" si="75"/>
        <v/>
      </c>
      <c r="X108" s="21" t="str">
        <f t="shared" si="76"/>
        <v/>
      </c>
      <c r="Y108" s="21" t="str">
        <f t="shared" si="77"/>
        <v/>
      </c>
      <c r="Z108" s="21" t="str">
        <f t="shared" si="78"/>
        <v/>
      </c>
      <c r="AA108" s="21" t="str">
        <f>IF(P108="-","",IF(P108/4*AA$5=0, "",P108/4*AA$5))</f>
        <v/>
      </c>
      <c r="AB108" s="22" t="str">
        <f t="shared" si="80"/>
        <v/>
      </c>
    </row>
    <row r="109" spans="1:53" x14ac:dyDescent="0.3">
      <c r="D109" s="41">
        <v>1998</v>
      </c>
      <c r="E109" s="15" t="s">
        <v>62</v>
      </c>
      <c r="F109" s="17" t="s">
        <v>159</v>
      </c>
      <c r="G109" s="15">
        <v>1</v>
      </c>
      <c r="H109" s="16">
        <v>2</v>
      </c>
      <c r="I109" s="16">
        <v>2</v>
      </c>
      <c r="J109" s="16"/>
      <c r="K109" s="16"/>
      <c r="L109" s="16"/>
      <c r="M109" s="16"/>
      <c r="N109" s="16"/>
      <c r="O109" s="16"/>
      <c r="P109" s="16"/>
      <c r="Q109" s="16"/>
      <c r="R109" s="15">
        <f>IF(G109="-","",IF(G109/4*R$5=0, "",G109/4*R$5))</f>
        <v>2.5</v>
      </c>
      <c r="S109" s="16">
        <f t="shared" si="72"/>
        <v>5</v>
      </c>
      <c r="T109" s="16">
        <f>IF(I109="-","",IF(I109/4*T$5=0, "",I109/4*T$5))</f>
        <v>5</v>
      </c>
      <c r="U109" s="16" t="str">
        <f t="shared" si="73"/>
        <v/>
      </c>
      <c r="V109" s="16" t="str">
        <f t="shared" si="74"/>
        <v/>
      </c>
      <c r="W109" s="16" t="str">
        <f t="shared" si="75"/>
        <v/>
      </c>
      <c r="X109" s="16" t="str">
        <f t="shared" si="76"/>
        <v/>
      </c>
      <c r="Y109" s="16" t="str">
        <f t="shared" si="77"/>
        <v/>
      </c>
      <c r="Z109" s="16" t="str">
        <f t="shared" si="78"/>
        <v/>
      </c>
      <c r="AA109" s="16" t="str">
        <f t="shared" ref="AA109:AA111" si="86">IF(P109="-","",IF(P109/4*AA$5=0, "",P109/4*AA$5))</f>
        <v/>
      </c>
      <c r="AB109" s="17" t="str">
        <f t="shared" si="80"/>
        <v/>
      </c>
    </row>
    <row r="110" spans="1:53" x14ac:dyDescent="0.3">
      <c r="D110" s="42">
        <v>1998</v>
      </c>
      <c r="E110" s="18" t="s">
        <v>72</v>
      </c>
      <c r="F110" s="19" t="s">
        <v>159</v>
      </c>
      <c r="G110" s="18"/>
      <c r="H110" s="28"/>
      <c r="I110" s="28"/>
      <c r="J110" s="28">
        <v>2</v>
      </c>
      <c r="K110" s="28">
        <v>3</v>
      </c>
      <c r="L110" s="28">
        <v>2</v>
      </c>
      <c r="M110" s="28"/>
      <c r="N110" s="28"/>
      <c r="O110" s="28"/>
      <c r="P110" s="28"/>
      <c r="Q110" s="28"/>
      <c r="R110" s="18" t="str">
        <f t="shared" ref="R110:R112" si="87">IF(G110="-","",IF(G110/4*R$5=0, "",G110/4*R$5))</f>
        <v/>
      </c>
      <c r="S110" s="28" t="str">
        <f t="shared" si="72"/>
        <v/>
      </c>
      <c r="T110" s="28" t="str">
        <f t="shared" ref="T110:T112" si="88">IF(I110="-","",IF(I110/4*T$5=0, "",I110/4*T$5))</f>
        <v/>
      </c>
      <c r="U110" s="28">
        <f t="shared" si="73"/>
        <v>5</v>
      </c>
      <c r="V110" s="28">
        <f t="shared" si="74"/>
        <v>7.5</v>
      </c>
      <c r="W110" s="28">
        <f t="shared" si="75"/>
        <v>5</v>
      </c>
      <c r="X110" s="28" t="str">
        <f t="shared" si="76"/>
        <v/>
      </c>
      <c r="Y110" s="28" t="str">
        <f t="shared" si="77"/>
        <v/>
      </c>
      <c r="Z110" s="28" t="str">
        <f t="shared" si="78"/>
        <v/>
      </c>
      <c r="AA110" s="28" t="str">
        <f t="shared" si="86"/>
        <v/>
      </c>
      <c r="AB110" s="19" t="str">
        <f t="shared" si="80"/>
        <v/>
      </c>
    </row>
    <row r="111" spans="1:53" x14ac:dyDescent="0.3">
      <c r="D111" s="42">
        <v>1998</v>
      </c>
      <c r="E111" s="18" t="s">
        <v>78</v>
      </c>
      <c r="F111" s="19" t="s">
        <v>159</v>
      </c>
      <c r="G111" s="18"/>
      <c r="H111" s="28"/>
      <c r="I111" s="28"/>
      <c r="J111" s="28"/>
      <c r="K111" s="28"/>
      <c r="L111" s="28"/>
      <c r="M111" s="28">
        <v>1</v>
      </c>
      <c r="N111" s="28">
        <v>2</v>
      </c>
      <c r="O111" s="28"/>
      <c r="P111" s="28"/>
      <c r="Q111" s="28"/>
      <c r="R111" s="18" t="str">
        <f t="shared" si="87"/>
        <v/>
      </c>
      <c r="S111" s="28" t="str">
        <f t="shared" si="72"/>
        <v/>
      </c>
      <c r="T111" s="28" t="str">
        <f t="shared" si="88"/>
        <v/>
      </c>
      <c r="U111" s="28" t="str">
        <f t="shared" si="73"/>
        <v/>
      </c>
      <c r="V111" s="28" t="str">
        <f t="shared" si="74"/>
        <v/>
      </c>
      <c r="W111" s="28" t="str">
        <f t="shared" si="75"/>
        <v/>
      </c>
      <c r="X111" s="28">
        <f t="shared" si="76"/>
        <v>2.5</v>
      </c>
      <c r="Y111" s="28">
        <f t="shared" si="77"/>
        <v>2.5</v>
      </c>
      <c r="Z111" s="28" t="str">
        <f t="shared" si="78"/>
        <v/>
      </c>
      <c r="AA111" s="28" t="str">
        <f t="shared" si="86"/>
        <v/>
      </c>
      <c r="AB111" s="19" t="str">
        <f t="shared" si="80"/>
        <v/>
      </c>
    </row>
    <row r="112" spans="1:53" ht="14.5" thickBot="1" x14ac:dyDescent="0.35">
      <c r="D112" s="43">
        <v>1998</v>
      </c>
      <c r="E112" s="20" t="s">
        <v>126</v>
      </c>
      <c r="F112" s="22" t="s">
        <v>159</v>
      </c>
      <c r="G112" s="20"/>
      <c r="H112" s="21"/>
      <c r="I112" s="21"/>
      <c r="J112" s="21"/>
      <c r="K112" s="21"/>
      <c r="L112" s="21"/>
      <c r="M112" s="21"/>
      <c r="N112" s="21"/>
      <c r="O112" s="21" t="s">
        <v>153</v>
      </c>
      <c r="P112" s="21" t="s">
        <v>153</v>
      </c>
      <c r="Q112" s="21" t="s">
        <v>153</v>
      </c>
      <c r="R112" s="20" t="str">
        <f t="shared" si="87"/>
        <v/>
      </c>
      <c r="S112" s="21" t="str">
        <f t="shared" si="72"/>
        <v/>
      </c>
      <c r="T112" s="21" t="str">
        <f t="shared" si="88"/>
        <v/>
      </c>
      <c r="U112" s="21" t="str">
        <f t="shared" si="73"/>
        <v/>
      </c>
      <c r="V112" s="21" t="str">
        <f t="shared" si="74"/>
        <v/>
      </c>
      <c r="W112" s="21" t="str">
        <f t="shared" si="75"/>
        <v/>
      </c>
      <c r="X112" s="21" t="str">
        <f t="shared" si="76"/>
        <v/>
      </c>
      <c r="Y112" s="21" t="str">
        <f t="shared" si="77"/>
        <v/>
      </c>
      <c r="Z112" s="21" t="str">
        <f t="shared" si="78"/>
        <v/>
      </c>
      <c r="AA112" s="21" t="str">
        <f>IF(P112="-","",IF(P112/4*AA$5=0, "",P112/4*AA$5))</f>
        <v/>
      </c>
      <c r="AB112" s="22" t="str">
        <f t="shared" si="80"/>
        <v/>
      </c>
    </row>
    <row r="113" spans="1:28" x14ac:dyDescent="0.3">
      <c r="D113" s="41">
        <v>1998</v>
      </c>
      <c r="E113" s="15" t="s">
        <v>62</v>
      </c>
      <c r="F113" s="17" t="s">
        <v>159</v>
      </c>
      <c r="G113" s="15">
        <v>4</v>
      </c>
      <c r="H113" s="16">
        <v>2</v>
      </c>
      <c r="I113" s="16">
        <v>4</v>
      </c>
      <c r="J113" s="16"/>
      <c r="K113" s="16"/>
      <c r="L113" s="16"/>
      <c r="M113" s="16"/>
      <c r="N113" s="16"/>
      <c r="O113" s="16"/>
      <c r="P113" s="16"/>
      <c r="Q113" s="17"/>
      <c r="R113" s="16">
        <f t="shared" ref="R113:R116" si="89">IF(G113="-","",IF(G113/4*R$5=0, "",G113/4*R$5))</f>
        <v>10</v>
      </c>
      <c r="S113" s="16">
        <f t="shared" ref="S113:S116" si="90">IF(H113="-","",IF(H113/4*S$5=0, "",H113/4*S$5))</f>
        <v>5</v>
      </c>
      <c r="T113" s="16">
        <f t="shared" ref="T113:T116" si="91">IF(I113="-","",IF(I113/4*T$5=0, "",I113/4*T$5))</f>
        <v>10</v>
      </c>
      <c r="U113" s="16" t="str">
        <f t="shared" ref="U113:U116" si="92">IF(J113="-","",IF(J113/4*U$5=0, "",J113/4*U$5))</f>
        <v/>
      </c>
      <c r="V113" s="16" t="str">
        <f t="shared" ref="V113:V116" si="93">IF(K113="-","",IF(K113/4*V$5=0, "",K113/4*V$5))</f>
        <v/>
      </c>
      <c r="W113" s="16" t="str">
        <f t="shared" ref="W113:W116" si="94">IF(L113="-","",IF(L113/4*W$5=0, "",L113/4*W$5))</f>
        <v/>
      </c>
      <c r="X113" s="16" t="str">
        <f t="shared" ref="X113:X116" si="95">IF(M113="-","",IF(M113/4*X$5=0, "",M113/4*X$5))</f>
        <v/>
      </c>
      <c r="Y113" s="16" t="str">
        <f t="shared" ref="Y113:Y116" si="96">IF(N113="-","",IF(N113/4*Y$5=0, "",N113/4*Y$5))</f>
        <v/>
      </c>
      <c r="Z113" s="16" t="str">
        <f t="shared" ref="Z113:Z116" si="97">IF(O113="-","",IF(O113/4*Z$5=0, "",O113/4*Z$5))</f>
        <v/>
      </c>
      <c r="AA113" s="16" t="str">
        <f t="shared" ref="AA113:AA116" si="98">IF(P113="-","",IF(P113/4*AA$5=0, "",P113/4*AA$5))</f>
        <v/>
      </c>
      <c r="AB113" s="17" t="str">
        <f t="shared" ref="AB113:AB116" si="99">IF(Q113="-","",IF(Q113/4*AB$5=0, "",Q113/4*AB$5))</f>
        <v/>
      </c>
    </row>
    <row r="114" spans="1:28" x14ac:dyDescent="0.3">
      <c r="D114" s="42">
        <v>1998</v>
      </c>
      <c r="E114" s="18" t="s">
        <v>72</v>
      </c>
      <c r="F114" s="19" t="s">
        <v>159</v>
      </c>
      <c r="G114" s="18"/>
      <c r="H114" s="28"/>
      <c r="I114" s="28"/>
      <c r="J114" s="28">
        <v>2</v>
      </c>
      <c r="K114" s="28">
        <v>3</v>
      </c>
      <c r="L114" s="28">
        <v>1</v>
      </c>
      <c r="M114" s="28"/>
      <c r="N114" s="28"/>
      <c r="O114" s="28"/>
      <c r="P114" s="28"/>
      <c r="Q114" s="19"/>
      <c r="R114" s="28" t="str">
        <f t="shared" si="89"/>
        <v/>
      </c>
      <c r="S114" s="28" t="str">
        <f t="shared" si="90"/>
        <v/>
      </c>
      <c r="T114" s="28" t="str">
        <f t="shared" si="91"/>
        <v/>
      </c>
      <c r="U114" s="28">
        <f t="shared" si="92"/>
        <v>5</v>
      </c>
      <c r="V114" s="28">
        <f t="shared" si="93"/>
        <v>7.5</v>
      </c>
      <c r="W114" s="28">
        <f t="shared" si="94"/>
        <v>2.5</v>
      </c>
      <c r="X114" s="28" t="str">
        <f t="shared" si="95"/>
        <v/>
      </c>
      <c r="Y114" s="28" t="str">
        <f t="shared" si="96"/>
        <v/>
      </c>
      <c r="Z114" s="28" t="str">
        <f t="shared" si="97"/>
        <v/>
      </c>
      <c r="AA114" s="28" t="str">
        <f t="shared" si="98"/>
        <v/>
      </c>
      <c r="AB114" s="19" t="str">
        <f t="shared" si="99"/>
        <v/>
      </c>
    </row>
    <row r="115" spans="1:28" x14ac:dyDescent="0.3">
      <c r="D115" s="42">
        <v>1998</v>
      </c>
      <c r="E115" s="18" t="s">
        <v>78</v>
      </c>
      <c r="F115" s="19" t="s">
        <v>159</v>
      </c>
      <c r="G115" s="18"/>
      <c r="H115" s="28"/>
      <c r="I115" s="28"/>
      <c r="J115" s="28"/>
      <c r="K115" s="28"/>
      <c r="L115" s="28"/>
      <c r="M115" s="28">
        <v>2</v>
      </c>
      <c r="N115" s="28">
        <v>2</v>
      </c>
      <c r="O115" s="28"/>
      <c r="P115" s="28"/>
      <c r="Q115" s="19"/>
      <c r="R115" s="28" t="str">
        <f t="shared" si="89"/>
        <v/>
      </c>
      <c r="S115" s="28" t="str">
        <f t="shared" si="90"/>
        <v/>
      </c>
      <c r="T115" s="28" t="str">
        <f t="shared" si="91"/>
        <v/>
      </c>
      <c r="U115" s="28" t="str">
        <f t="shared" si="92"/>
        <v/>
      </c>
      <c r="V115" s="28" t="str">
        <f t="shared" si="93"/>
        <v/>
      </c>
      <c r="W115" s="28" t="str">
        <f t="shared" si="94"/>
        <v/>
      </c>
      <c r="X115" s="28">
        <f t="shared" si="95"/>
        <v>5</v>
      </c>
      <c r="Y115" s="28">
        <f t="shared" si="96"/>
        <v>2.5</v>
      </c>
      <c r="Z115" s="28" t="str">
        <f t="shared" si="97"/>
        <v/>
      </c>
      <c r="AA115" s="28" t="str">
        <f t="shared" si="98"/>
        <v/>
      </c>
      <c r="AB115" s="19" t="str">
        <f t="shared" si="99"/>
        <v/>
      </c>
    </row>
    <row r="116" spans="1:28" ht="14.5" thickBot="1" x14ac:dyDescent="0.35">
      <c r="D116" s="43">
        <v>1998</v>
      </c>
      <c r="E116" s="20" t="s">
        <v>126</v>
      </c>
      <c r="F116" s="22" t="s">
        <v>159</v>
      </c>
      <c r="G116" s="20"/>
      <c r="H116" s="21"/>
      <c r="I116" s="21"/>
      <c r="J116" s="21"/>
      <c r="K116" s="21"/>
      <c r="L116" s="21"/>
      <c r="M116" s="21"/>
      <c r="N116" s="21"/>
      <c r="O116" s="45">
        <v>4</v>
      </c>
      <c r="P116" s="21" t="s">
        <v>153</v>
      </c>
      <c r="Q116" s="22" t="s">
        <v>153</v>
      </c>
      <c r="R116" s="21" t="str">
        <f t="shared" si="89"/>
        <v/>
      </c>
      <c r="S116" s="21" t="str">
        <f t="shared" si="90"/>
        <v/>
      </c>
      <c r="T116" s="21" t="str">
        <f t="shared" si="91"/>
        <v/>
      </c>
      <c r="U116" s="21" t="str">
        <f t="shared" si="92"/>
        <v/>
      </c>
      <c r="V116" s="21" t="str">
        <f t="shared" si="93"/>
        <v/>
      </c>
      <c r="W116" s="21" t="str">
        <f t="shared" si="94"/>
        <v/>
      </c>
      <c r="X116" s="21" t="str">
        <f t="shared" si="95"/>
        <v/>
      </c>
      <c r="Y116" s="21" t="str">
        <f t="shared" si="96"/>
        <v/>
      </c>
      <c r="Z116" s="21">
        <f t="shared" si="97"/>
        <v>5</v>
      </c>
      <c r="AA116" s="21" t="str">
        <f t="shared" si="98"/>
        <v/>
      </c>
      <c r="AB116" s="22" t="str">
        <f t="shared" si="99"/>
        <v/>
      </c>
    </row>
    <row r="117" spans="1:28" x14ac:dyDescent="0.3">
      <c r="C117"/>
      <c r="D117" s="41">
        <v>1998</v>
      </c>
      <c r="E117" s="15" t="s">
        <v>62</v>
      </c>
      <c r="F117" s="17" t="s">
        <v>161</v>
      </c>
      <c r="G117" s="15">
        <v>4</v>
      </c>
      <c r="H117" s="16">
        <v>1</v>
      </c>
      <c r="I117" s="16">
        <v>3</v>
      </c>
      <c r="J117" s="16"/>
      <c r="K117" s="16"/>
      <c r="L117" s="16"/>
      <c r="M117" s="16"/>
      <c r="N117" s="16"/>
      <c r="O117" s="16"/>
      <c r="P117" s="16"/>
      <c r="Q117" s="17"/>
      <c r="R117" s="16">
        <f>IF(G117="-","",IF(G117/4*R$5=0, "",G117/4*R$5))</f>
        <v>10</v>
      </c>
      <c r="S117" s="16">
        <f>IF(H117="-","",IF(H117/4*S$5=0, "",H117/4*S$5))</f>
        <v>2.5</v>
      </c>
      <c r="T117" s="16">
        <f>IF(I117="-","",IF(I117/4*T$5=0, "",I117/4*T$5))</f>
        <v>7.5</v>
      </c>
      <c r="U117" s="16" t="str">
        <f>IF(J117="-","",IF(J117/4*U$5=0, "",J117/4*U$5))</f>
        <v/>
      </c>
      <c r="V117" s="16" t="str">
        <f>IF(K117="-","",IF(K117/4*V$5=0, "",K117/4*V$5))</f>
        <v/>
      </c>
      <c r="W117" s="16" t="str">
        <f>IF(L117="-","",IF(L117/4*W$5=0, "",L117/4*W$5))</f>
        <v/>
      </c>
      <c r="X117" s="16" t="str">
        <f>IF(M117="-","",IF(M117/4*X$5=0, "",M117/4*X$5))</f>
        <v/>
      </c>
      <c r="Y117" s="16" t="str">
        <f>IF(N117="-","",IF(N117/4*Y$5=0, "",N117/4*Y$5))</f>
        <v/>
      </c>
      <c r="Z117" s="16" t="str">
        <f>IF(O117="-","",IF(O117/4*Z$5=0, "",O117/4*Z$5))</f>
        <v/>
      </c>
      <c r="AA117" s="16" t="str">
        <f>IF(P117="-","",IF(P117/4*AA$5=0, "",P117/4*AA$5))</f>
        <v/>
      </c>
      <c r="AB117" s="17" t="str">
        <f>IF(Q117="-","",IF(Q117/4*AB$5=0, "",Q117/4*AB$5))</f>
        <v/>
      </c>
    </row>
    <row r="118" spans="1:28" x14ac:dyDescent="0.3">
      <c r="C118"/>
      <c r="D118" s="42">
        <v>1998</v>
      </c>
      <c r="E118" s="18" t="s">
        <v>72</v>
      </c>
      <c r="F118" s="19" t="s">
        <v>161</v>
      </c>
      <c r="G118" s="18"/>
      <c r="H118" s="28"/>
      <c r="I118" s="28"/>
      <c r="J118" s="28">
        <v>1</v>
      </c>
      <c r="K118" s="28">
        <v>1</v>
      </c>
      <c r="L118" s="28">
        <v>3</v>
      </c>
      <c r="M118" s="28"/>
      <c r="N118" s="28"/>
      <c r="O118" s="28"/>
      <c r="P118" s="28"/>
      <c r="Q118" s="19"/>
      <c r="R118" s="28" t="str">
        <f>IF(G118="-","",IF(G118/4*R$5=0, "",G118/4*R$5))</f>
        <v/>
      </c>
      <c r="S118" s="28" t="str">
        <f>IF(H118="-","",IF(H118/4*S$5=0, "",H118/4*S$5))</f>
        <v/>
      </c>
      <c r="T118" s="28" t="str">
        <f>IF(I118="-","",IF(I118/4*T$5=0, "",I118/4*T$5))</f>
        <v/>
      </c>
      <c r="U118" s="28">
        <f>IF(J118="-","",IF(J118/4*U$5=0, "",J118/4*U$5))</f>
        <v>2.5</v>
      </c>
      <c r="V118" s="28">
        <f>IF(K118="-","",IF(K118/4*V$5=0, "",K118/4*V$5))</f>
        <v>2.5</v>
      </c>
      <c r="W118" s="28">
        <f>IF(L118="-","",IF(L118/4*W$5=0, "",L118/4*W$5))</f>
        <v>7.5</v>
      </c>
      <c r="X118" s="28" t="str">
        <f>IF(M118="-","",IF(M118/4*X$5=0, "",M118/4*X$5))</f>
        <v/>
      </c>
      <c r="Y118" s="28" t="str">
        <f>IF(N118="-","",IF(N118/4*Y$5=0, "",N118/4*Y$5))</f>
        <v/>
      </c>
      <c r="Z118" s="28" t="str">
        <f>IF(O118="-","",IF(O118/4*Z$5=0, "",O118/4*Z$5))</f>
        <v/>
      </c>
      <c r="AA118" s="28" t="str">
        <f>IF(P118="-","",IF(P118/4*AA$5=0, "",P118/4*AA$5))</f>
        <v/>
      </c>
      <c r="AB118" s="19" t="str">
        <f>IF(Q118="-","",IF(Q118/4*AB$5=0, "",Q118/4*AB$5))</f>
        <v/>
      </c>
    </row>
    <row r="119" spans="1:28" x14ac:dyDescent="0.3">
      <c r="C119"/>
      <c r="D119" s="42">
        <v>1998</v>
      </c>
      <c r="E119" s="18" t="s">
        <v>78</v>
      </c>
      <c r="F119" s="19" t="s">
        <v>161</v>
      </c>
      <c r="G119" s="18"/>
      <c r="H119" s="28"/>
      <c r="I119" s="28"/>
      <c r="J119" s="28"/>
      <c r="K119" s="28"/>
      <c r="L119" s="28"/>
      <c r="M119" s="28">
        <v>2</v>
      </c>
      <c r="N119" s="28">
        <v>2</v>
      </c>
      <c r="O119" s="28"/>
      <c r="P119" s="28"/>
      <c r="Q119" s="19"/>
      <c r="R119" s="28" t="str">
        <f>IF(G119="-","",IF(G119/4*R$5=0, "",G119/4*R$5))</f>
        <v/>
      </c>
      <c r="S119" s="28" t="str">
        <f>IF(H119="-","",IF(H119/4*S$5=0, "",H119/4*S$5))</f>
        <v/>
      </c>
      <c r="T119" s="28" t="str">
        <f>IF(I119="-","",IF(I119/4*T$5=0, "",I119/4*T$5))</f>
        <v/>
      </c>
      <c r="U119" s="28" t="str">
        <f>IF(J119="-","",IF(J119/4*U$5=0, "",J119/4*U$5))</f>
        <v/>
      </c>
      <c r="V119" s="28" t="str">
        <f>IF(K119="-","",IF(K119/4*V$5=0, "",K119/4*V$5))</f>
        <v/>
      </c>
      <c r="W119" s="28" t="str">
        <f>IF(L119="-","",IF(L119/4*W$5=0, "",L119/4*W$5))</f>
        <v/>
      </c>
      <c r="X119" s="28">
        <f>IF(M119="-","",IF(M119/4*X$5=0, "",M119/4*X$5))</f>
        <v>5</v>
      </c>
      <c r="Y119" s="28">
        <f>IF(N119="-","",IF(N119/4*Y$5=0, "",N119/4*Y$5))</f>
        <v>2.5</v>
      </c>
      <c r="Z119" s="28" t="str">
        <f>IF(O119="-","",IF(O119/4*Z$5=0, "",O119/4*Z$5))</f>
        <v/>
      </c>
      <c r="AA119" s="28" t="str">
        <f>IF(P119="-","",IF(P119/4*AA$5=0, "",P119/4*AA$5))</f>
        <v/>
      </c>
      <c r="AB119" s="19" t="str">
        <f>IF(Q119="-","",IF(Q119/4*AB$5=0, "",Q119/4*AB$5))</f>
        <v/>
      </c>
    </row>
    <row r="120" spans="1:28" ht="14.5" thickBot="1" x14ac:dyDescent="0.35">
      <c r="C120"/>
      <c r="D120" s="43">
        <v>1998</v>
      </c>
      <c r="E120" s="20" t="s">
        <v>126</v>
      </c>
      <c r="F120" s="22" t="s">
        <v>161</v>
      </c>
      <c r="G120" s="20"/>
      <c r="H120" s="21"/>
      <c r="I120" s="21"/>
      <c r="J120" s="21"/>
      <c r="K120" s="21"/>
      <c r="L120" s="21"/>
      <c r="M120" s="21"/>
      <c r="N120" s="21"/>
      <c r="O120" s="21">
        <v>1</v>
      </c>
      <c r="P120" s="21">
        <v>1</v>
      </c>
      <c r="Q120" s="22">
        <v>2</v>
      </c>
      <c r="R120" s="21" t="str">
        <f>IF(G120="-","",IF(G120/4*R$5=0, "",G120/4*R$5))</f>
        <v/>
      </c>
      <c r="S120" s="21" t="str">
        <f>IF(H120="-","",IF(H120/4*S$5=0, "",H120/4*S$5))</f>
        <v/>
      </c>
      <c r="T120" s="21" t="str">
        <f>IF(I120="-","",IF(I120/4*T$5=0, "",I120/4*T$5))</f>
        <v/>
      </c>
      <c r="U120" s="21" t="str">
        <f>IF(J120="-","",IF(J120/4*U$5=0, "",J120/4*U$5))</f>
        <v/>
      </c>
      <c r="V120" s="21" t="str">
        <f>IF(K120="-","",IF(K120/4*V$5=0, "",K120/4*V$5))</f>
        <v/>
      </c>
      <c r="W120" s="21" t="str">
        <f>IF(L120="-","",IF(L120/4*W$5=0, "",L120/4*W$5))</f>
        <v/>
      </c>
      <c r="X120" s="21" t="str">
        <f>IF(M120="-","",IF(M120/4*X$5=0, "",M120/4*X$5))</f>
        <v/>
      </c>
      <c r="Y120" s="21" t="str">
        <f>IF(N120="-","",IF(N120/4*Y$5=0, "",N120/4*Y$5))</f>
        <v/>
      </c>
      <c r="Z120" s="21">
        <f>IF(O120="-","",IF(O120/4*Z$5=0, "",O120/4*Z$5))</f>
        <v>1.25</v>
      </c>
      <c r="AA120" s="21">
        <f>IF(P120="-","",IF(P120/4*AA$5=0, "",P120/4*AA$5))</f>
        <v>1.25</v>
      </c>
      <c r="AB120" s="22">
        <f>IF(Q120="-","",IF(Q120/4*AB$5=0, "",Q120/4*AB$5))</f>
        <v>7.5</v>
      </c>
    </row>
    <row r="121" spans="1:28" x14ac:dyDescent="0.3">
      <c r="C121"/>
    </row>
    <row r="122" spans="1:28" x14ac:dyDescent="0.3">
      <c r="C122"/>
    </row>
    <row r="124" spans="1:28" x14ac:dyDescent="0.3">
      <c r="A124" s="4" t="s">
        <v>223</v>
      </c>
    </row>
    <row r="125" spans="1:28" x14ac:dyDescent="0.3">
      <c r="A125" s="46" t="s">
        <v>224</v>
      </c>
    </row>
  </sheetData>
  <phoneticPr fontId="4" type="noConversion"/>
  <hyperlinks>
    <hyperlink ref="A125" location="VW_FACT_MS_FORM_REPORT_V2!Link_ที่มีปัญหา_1" display="Link" xr:uid="{0E81911B-B811-4923-90F8-823B376AF8AF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VW_FACT_MS_FORM_V2</vt:lpstr>
      <vt:lpstr>VW_FACT_MS_FORM_REPORT_V2</vt:lpstr>
      <vt:lpstr>Tester</vt:lpstr>
      <vt:lpstr>VW_FACT_MS_FORM_REPORT_V2!Link_ที่มีปัญหา_1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2025-05-28T10:01:13Z</dcterms:modified>
</cp:coreProperties>
</file>