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EV/"/>
    </mc:Choice>
  </mc:AlternateContent>
  <xr:revisionPtr revIDLastSave="0" documentId="8_{A8974066-AF8B-436C-871E-8454703C1F90}" xr6:coauthVersionLast="47" xr6:coauthVersionMax="47" xr10:uidLastSave="{00000000-0000-0000-0000-000000000000}"/>
  <bookViews>
    <workbookView xWindow="-110" yWindow="-110" windowWidth="19420" windowHeight="10300" xr2:uid="{A2E7FE43-3892-4461-BF51-2456EB93A9E5}"/>
  </bookViews>
  <sheets>
    <sheet name="F. Concept Agreement_Tester" sheetId="2" r:id="rId1"/>
    <sheet name="Sheet1" sheetId="1" r:id="rId2"/>
  </sheets>
  <definedNames>
    <definedName name="_xlnm._FilterDatabase" localSheetId="0" hidden="1">'F. Concept Agreement_Tester'!$A$126:$B$126</definedName>
  </definedNames>
  <calcPr calcId="191029"/>
  <pivotCaches>
    <pivotCache cacheId="45" r:id="rId3"/>
    <pivotCache cacheId="46" r:id="rId4"/>
    <pivotCache cacheId="47" r:id="rId5"/>
    <pivotCache cacheId="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87" i="2" l="1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B120" i="2"/>
  <c r="AA120" i="2"/>
  <c r="Z120" i="2"/>
  <c r="Y120" i="2"/>
  <c r="X120" i="2"/>
  <c r="W120" i="2"/>
  <c r="V120" i="2"/>
  <c r="U120" i="2"/>
  <c r="T120" i="2"/>
  <c r="S120" i="2"/>
  <c r="R120" i="2"/>
  <c r="AB119" i="2"/>
  <c r="AA119" i="2"/>
  <c r="Z119" i="2"/>
  <c r="Y119" i="2"/>
  <c r="X119" i="2"/>
  <c r="W119" i="2"/>
  <c r="V119" i="2"/>
  <c r="U119" i="2"/>
  <c r="T119" i="2"/>
  <c r="S119" i="2"/>
  <c r="R119" i="2"/>
  <c r="AB118" i="2"/>
  <c r="AA118" i="2"/>
  <c r="Z118" i="2"/>
  <c r="Y118" i="2"/>
  <c r="X118" i="2"/>
  <c r="W118" i="2"/>
  <c r="V118" i="2"/>
  <c r="U118" i="2"/>
  <c r="T118" i="2"/>
  <c r="S118" i="2"/>
  <c r="R118" i="2"/>
  <c r="AB117" i="2"/>
  <c r="AA117" i="2"/>
  <c r="Z117" i="2"/>
  <c r="Y117" i="2"/>
  <c r="X117" i="2"/>
  <c r="W117" i="2"/>
  <c r="V117" i="2"/>
  <c r="U117" i="2"/>
  <c r="T117" i="2"/>
  <c r="S117" i="2"/>
  <c r="R117" i="2"/>
  <c r="AB116" i="2"/>
  <c r="AA116" i="2"/>
  <c r="Z116" i="2"/>
  <c r="Y116" i="2"/>
  <c r="X116" i="2"/>
  <c r="W116" i="2"/>
  <c r="V116" i="2"/>
  <c r="U116" i="2"/>
  <c r="T116" i="2"/>
  <c r="S116" i="2"/>
  <c r="R116" i="2"/>
  <c r="AB115" i="2"/>
  <c r="AA115" i="2"/>
  <c r="Z115" i="2"/>
  <c r="Y115" i="2"/>
  <c r="X115" i="2"/>
  <c r="W115" i="2"/>
  <c r="V115" i="2"/>
  <c r="U115" i="2"/>
  <c r="T115" i="2"/>
  <c r="S115" i="2"/>
  <c r="R115" i="2"/>
  <c r="AB114" i="2"/>
  <c r="AA114" i="2"/>
  <c r="Z114" i="2"/>
  <c r="Y114" i="2"/>
  <c r="X114" i="2"/>
  <c r="W114" i="2"/>
  <c r="V114" i="2"/>
  <c r="U114" i="2"/>
  <c r="T114" i="2"/>
  <c r="S114" i="2"/>
  <c r="R114" i="2"/>
  <c r="AB113" i="2"/>
  <c r="AA113" i="2"/>
  <c r="Z113" i="2"/>
  <c r="Y113" i="2"/>
  <c r="X113" i="2"/>
  <c r="W113" i="2"/>
  <c r="V113" i="2"/>
  <c r="U113" i="2"/>
  <c r="T113" i="2"/>
  <c r="S113" i="2"/>
  <c r="R113" i="2"/>
  <c r="AB112" i="2"/>
  <c r="AA112" i="2"/>
  <c r="Z112" i="2"/>
  <c r="Y112" i="2"/>
  <c r="X112" i="2"/>
  <c r="W112" i="2"/>
  <c r="V112" i="2"/>
  <c r="U112" i="2"/>
  <c r="T112" i="2"/>
  <c r="S112" i="2"/>
  <c r="R112" i="2"/>
  <c r="AB111" i="2"/>
  <c r="AA111" i="2"/>
  <c r="Z111" i="2"/>
  <c r="Y111" i="2"/>
  <c r="X111" i="2"/>
  <c r="W111" i="2"/>
  <c r="V111" i="2"/>
  <c r="U111" i="2"/>
  <c r="T111" i="2"/>
  <c r="S111" i="2"/>
  <c r="R111" i="2"/>
  <c r="AB110" i="2"/>
  <c r="AA110" i="2"/>
  <c r="Z110" i="2"/>
  <c r="Y110" i="2"/>
  <c r="X110" i="2"/>
  <c r="W110" i="2"/>
  <c r="V110" i="2"/>
  <c r="U110" i="2"/>
  <c r="T110" i="2"/>
  <c r="S110" i="2"/>
  <c r="R110" i="2"/>
  <c r="AB109" i="2"/>
  <c r="AA109" i="2"/>
  <c r="Z109" i="2"/>
  <c r="Y109" i="2"/>
  <c r="X109" i="2"/>
  <c r="W109" i="2"/>
  <c r="V109" i="2"/>
  <c r="U109" i="2"/>
  <c r="T109" i="2"/>
  <c r="S109" i="2"/>
  <c r="R109" i="2"/>
  <c r="AB108" i="2"/>
  <c r="AA108" i="2"/>
  <c r="Z108" i="2"/>
  <c r="Y108" i="2"/>
  <c r="X108" i="2"/>
  <c r="W108" i="2"/>
  <c r="V108" i="2"/>
  <c r="U108" i="2"/>
  <c r="T108" i="2"/>
  <c r="S108" i="2"/>
  <c r="R108" i="2"/>
  <c r="AB107" i="2"/>
  <c r="AA107" i="2"/>
  <c r="Z107" i="2"/>
  <c r="Y107" i="2"/>
  <c r="X107" i="2"/>
  <c r="W107" i="2"/>
  <c r="V107" i="2"/>
  <c r="U107" i="2"/>
  <c r="T107" i="2"/>
  <c r="S107" i="2"/>
  <c r="R107" i="2"/>
  <c r="AB106" i="2"/>
  <c r="AA106" i="2"/>
  <c r="Z106" i="2"/>
  <c r="Y106" i="2"/>
  <c r="X106" i="2"/>
  <c r="W106" i="2"/>
  <c r="V106" i="2"/>
  <c r="U106" i="2"/>
  <c r="T106" i="2"/>
  <c r="S106" i="2"/>
  <c r="R106" i="2"/>
  <c r="AB105" i="2"/>
  <c r="AA105" i="2"/>
  <c r="Z105" i="2"/>
  <c r="Y105" i="2"/>
  <c r="X105" i="2"/>
  <c r="W105" i="2"/>
  <c r="V105" i="2"/>
  <c r="U105" i="2"/>
  <c r="T105" i="2"/>
  <c r="S105" i="2"/>
  <c r="R105" i="2"/>
  <c r="AB104" i="2"/>
  <c r="AA104" i="2"/>
  <c r="Z104" i="2"/>
  <c r="Y104" i="2"/>
  <c r="X104" i="2"/>
  <c r="W104" i="2"/>
  <c r="V104" i="2"/>
  <c r="U104" i="2"/>
  <c r="T104" i="2"/>
  <c r="S104" i="2"/>
  <c r="R104" i="2"/>
  <c r="AB103" i="2"/>
  <c r="AA103" i="2"/>
  <c r="Z103" i="2"/>
  <c r="Y103" i="2"/>
  <c r="X103" i="2"/>
  <c r="W103" i="2"/>
  <c r="V103" i="2"/>
  <c r="U103" i="2"/>
  <c r="T103" i="2"/>
  <c r="S103" i="2"/>
  <c r="R103" i="2"/>
  <c r="AB102" i="2"/>
  <c r="AA102" i="2"/>
  <c r="Z102" i="2"/>
  <c r="Y102" i="2"/>
  <c r="X102" i="2"/>
  <c r="W102" i="2"/>
  <c r="V102" i="2"/>
  <c r="U102" i="2"/>
  <c r="T102" i="2"/>
  <c r="S102" i="2"/>
  <c r="R102" i="2"/>
  <c r="AB101" i="2"/>
  <c r="AA101" i="2"/>
  <c r="Z101" i="2"/>
  <c r="Y101" i="2"/>
  <c r="X101" i="2"/>
  <c r="W101" i="2"/>
  <c r="V101" i="2"/>
  <c r="U101" i="2"/>
  <c r="T101" i="2"/>
  <c r="S101" i="2"/>
  <c r="R101" i="2"/>
  <c r="AB100" i="2"/>
  <c r="AA100" i="2"/>
  <c r="Z100" i="2"/>
  <c r="Y100" i="2"/>
  <c r="X100" i="2"/>
  <c r="W100" i="2"/>
  <c r="V100" i="2"/>
  <c r="U100" i="2"/>
  <c r="T100" i="2"/>
  <c r="S100" i="2"/>
  <c r="R100" i="2"/>
  <c r="AB99" i="2"/>
  <c r="AA99" i="2"/>
  <c r="Z99" i="2"/>
  <c r="Y99" i="2"/>
  <c r="X99" i="2"/>
  <c r="W99" i="2"/>
  <c r="V99" i="2"/>
  <c r="U99" i="2"/>
  <c r="T99" i="2"/>
  <c r="S99" i="2"/>
  <c r="R99" i="2"/>
  <c r="AB98" i="2"/>
  <c r="AA98" i="2"/>
  <c r="Z98" i="2"/>
  <c r="Y98" i="2"/>
  <c r="X98" i="2"/>
  <c r="W98" i="2"/>
  <c r="V98" i="2"/>
  <c r="U98" i="2"/>
  <c r="T98" i="2"/>
  <c r="S98" i="2"/>
  <c r="R98" i="2"/>
  <c r="AB97" i="2"/>
  <c r="AA97" i="2"/>
  <c r="Z97" i="2"/>
  <c r="Y97" i="2"/>
  <c r="X97" i="2"/>
  <c r="W97" i="2"/>
  <c r="V97" i="2"/>
  <c r="U97" i="2"/>
  <c r="T97" i="2"/>
  <c r="S97" i="2"/>
  <c r="R97" i="2"/>
  <c r="AB96" i="2"/>
  <c r="AA96" i="2"/>
  <c r="Z96" i="2"/>
  <c r="Y96" i="2"/>
  <c r="X96" i="2"/>
  <c r="W96" i="2"/>
  <c r="V96" i="2"/>
  <c r="U96" i="2"/>
  <c r="T96" i="2"/>
  <c r="S96" i="2"/>
  <c r="R96" i="2"/>
  <c r="AB95" i="2"/>
  <c r="AA95" i="2"/>
  <c r="Z95" i="2"/>
  <c r="Y95" i="2"/>
  <c r="X95" i="2"/>
  <c r="W95" i="2"/>
  <c r="V95" i="2"/>
  <c r="U95" i="2"/>
  <c r="T95" i="2"/>
  <c r="S95" i="2"/>
  <c r="R95" i="2"/>
  <c r="AB94" i="2"/>
  <c r="AA94" i="2"/>
  <c r="Z94" i="2"/>
  <c r="Y94" i="2"/>
  <c r="X94" i="2"/>
  <c r="W94" i="2"/>
  <c r="V94" i="2"/>
  <c r="U94" i="2"/>
  <c r="T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BC92" i="2"/>
  <c r="BB92" i="2"/>
  <c r="BA92" i="2"/>
  <c r="AB92" i="2"/>
  <c r="AA92" i="2"/>
  <c r="Z92" i="2"/>
  <c r="Y92" i="2"/>
  <c r="X92" i="2"/>
  <c r="W92" i="2"/>
  <c r="V92" i="2"/>
  <c r="U92" i="2"/>
  <c r="T92" i="2"/>
  <c r="S92" i="2"/>
  <c r="R92" i="2"/>
  <c r="BC91" i="2"/>
  <c r="BB91" i="2"/>
  <c r="BA91" i="2"/>
  <c r="AB91" i="2"/>
  <c r="AA91" i="2"/>
  <c r="Z91" i="2"/>
  <c r="Y91" i="2"/>
  <c r="X91" i="2"/>
  <c r="W91" i="2"/>
  <c r="V91" i="2"/>
  <c r="U91" i="2"/>
  <c r="T91" i="2"/>
  <c r="S91" i="2"/>
  <c r="R91" i="2"/>
  <c r="BC90" i="2"/>
  <c r="BB90" i="2"/>
  <c r="BA90" i="2"/>
  <c r="AB90" i="2"/>
  <c r="AA90" i="2"/>
  <c r="Z90" i="2"/>
  <c r="Y90" i="2"/>
  <c r="X90" i="2"/>
  <c r="W90" i="2"/>
  <c r="V90" i="2"/>
  <c r="U90" i="2"/>
  <c r="T90" i="2"/>
  <c r="S90" i="2"/>
  <c r="R90" i="2"/>
  <c r="AB89" i="2"/>
  <c r="AA89" i="2"/>
  <c r="Z89" i="2"/>
  <c r="Y89" i="2"/>
  <c r="X89" i="2"/>
  <c r="W89" i="2"/>
  <c r="V89" i="2"/>
  <c r="U89" i="2"/>
  <c r="T89" i="2"/>
  <c r="S89" i="2"/>
  <c r="R89" i="2"/>
  <c r="AB80" i="2"/>
  <c r="AA80" i="2"/>
  <c r="Z80" i="2"/>
  <c r="Y80" i="2"/>
  <c r="X80" i="2"/>
  <c r="W80" i="2"/>
  <c r="V80" i="2"/>
  <c r="U80" i="2"/>
  <c r="T80" i="2"/>
  <c r="S80" i="2"/>
  <c r="R80" i="2"/>
  <c r="AB79" i="2"/>
  <c r="AA79" i="2"/>
  <c r="Z79" i="2"/>
  <c r="Y79" i="2"/>
  <c r="X79" i="2"/>
  <c r="W79" i="2"/>
  <c r="V79" i="2"/>
  <c r="U79" i="2"/>
  <c r="T79" i="2"/>
  <c r="S79" i="2"/>
  <c r="R79" i="2"/>
  <c r="AB78" i="2"/>
  <c r="AA78" i="2"/>
  <c r="Z78" i="2"/>
  <c r="Y78" i="2"/>
  <c r="X78" i="2"/>
  <c r="W78" i="2"/>
  <c r="V78" i="2"/>
  <c r="U78" i="2"/>
  <c r="T78" i="2"/>
  <c r="S78" i="2"/>
  <c r="R78" i="2"/>
  <c r="AB77" i="2"/>
  <c r="AA77" i="2"/>
  <c r="Z77" i="2"/>
  <c r="Y77" i="2"/>
  <c r="X77" i="2"/>
  <c r="W77" i="2"/>
  <c r="V77" i="2"/>
  <c r="U77" i="2"/>
  <c r="T77" i="2"/>
  <c r="S77" i="2"/>
  <c r="R77" i="2"/>
  <c r="AB76" i="2"/>
  <c r="AA76" i="2"/>
  <c r="Z76" i="2"/>
  <c r="Y76" i="2"/>
  <c r="X76" i="2"/>
  <c r="W76" i="2"/>
  <c r="V76" i="2"/>
  <c r="U76" i="2"/>
  <c r="T76" i="2"/>
  <c r="S76" i="2"/>
  <c r="R76" i="2"/>
  <c r="AB75" i="2"/>
  <c r="AA75" i="2"/>
  <c r="Z75" i="2"/>
  <c r="Y75" i="2"/>
  <c r="X75" i="2"/>
  <c r="W75" i="2"/>
  <c r="V75" i="2"/>
  <c r="U75" i="2"/>
  <c r="T75" i="2"/>
  <c r="S75" i="2"/>
  <c r="R75" i="2"/>
  <c r="AB74" i="2"/>
  <c r="AA74" i="2"/>
  <c r="Z74" i="2"/>
  <c r="Y74" i="2"/>
  <c r="X74" i="2"/>
  <c r="W74" i="2"/>
  <c r="V74" i="2"/>
  <c r="U74" i="2"/>
  <c r="T74" i="2"/>
  <c r="S74" i="2"/>
  <c r="R74" i="2"/>
  <c r="AB73" i="2"/>
  <c r="AA73" i="2"/>
  <c r="Z73" i="2"/>
  <c r="Y73" i="2"/>
  <c r="X73" i="2"/>
  <c r="W73" i="2"/>
  <c r="V73" i="2"/>
  <c r="U73" i="2"/>
  <c r="T73" i="2"/>
  <c r="S73" i="2"/>
  <c r="R73" i="2"/>
  <c r="AB72" i="2"/>
  <c r="AA72" i="2"/>
  <c r="Z72" i="2"/>
  <c r="Y72" i="2"/>
  <c r="X72" i="2"/>
  <c r="W72" i="2"/>
  <c r="V72" i="2"/>
  <c r="U72" i="2"/>
  <c r="T72" i="2"/>
  <c r="S72" i="2"/>
  <c r="R72" i="2"/>
  <c r="AB71" i="2"/>
  <c r="AA71" i="2"/>
  <c r="Z71" i="2"/>
  <c r="Y71" i="2"/>
  <c r="X71" i="2"/>
  <c r="W71" i="2"/>
  <c r="V71" i="2"/>
  <c r="U71" i="2"/>
  <c r="T71" i="2"/>
  <c r="S71" i="2"/>
  <c r="R71" i="2"/>
  <c r="AB70" i="2"/>
  <c r="AA70" i="2"/>
  <c r="Z70" i="2"/>
  <c r="Y70" i="2"/>
  <c r="X70" i="2"/>
  <c r="W70" i="2"/>
  <c r="V70" i="2"/>
  <c r="U70" i="2"/>
  <c r="T70" i="2"/>
  <c r="S70" i="2"/>
  <c r="R70" i="2"/>
  <c r="AB69" i="2"/>
  <c r="AA69" i="2"/>
  <c r="Z69" i="2"/>
  <c r="Y69" i="2"/>
  <c r="X69" i="2"/>
  <c r="W69" i="2"/>
  <c r="V69" i="2"/>
  <c r="U69" i="2"/>
  <c r="T69" i="2"/>
  <c r="S69" i="2"/>
  <c r="R69" i="2"/>
  <c r="AB68" i="2"/>
  <c r="AA68" i="2"/>
  <c r="Z68" i="2"/>
  <c r="Y68" i="2"/>
  <c r="X68" i="2"/>
  <c r="W68" i="2"/>
  <c r="V68" i="2"/>
  <c r="U68" i="2"/>
  <c r="T68" i="2"/>
  <c r="S68" i="2"/>
  <c r="R68" i="2"/>
  <c r="AB67" i="2"/>
  <c r="AA67" i="2"/>
  <c r="Z67" i="2"/>
  <c r="Y67" i="2"/>
  <c r="X67" i="2"/>
  <c r="W67" i="2"/>
  <c r="V67" i="2"/>
  <c r="U67" i="2"/>
  <c r="T67" i="2"/>
  <c r="S67" i="2"/>
  <c r="R67" i="2"/>
  <c r="AB66" i="2"/>
  <c r="AA66" i="2"/>
  <c r="Z66" i="2"/>
  <c r="Y66" i="2"/>
  <c r="X66" i="2"/>
  <c r="W66" i="2"/>
  <c r="V66" i="2"/>
  <c r="U66" i="2"/>
  <c r="T66" i="2"/>
  <c r="S66" i="2"/>
  <c r="R66" i="2"/>
  <c r="AB65" i="2"/>
  <c r="AA65" i="2"/>
  <c r="Z65" i="2"/>
  <c r="Y65" i="2"/>
  <c r="X65" i="2"/>
  <c r="W65" i="2"/>
  <c r="V65" i="2"/>
  <c r="U65" i="2"/>
  <c r="T65" i="2"/>
  <c r="S65" i="2"/>
  <c r="R65" i="2"/>
  <c r="AB64" i="2"/>
  <c r="AA64" i="2"/>
  <c r="Z64" i="2"/>
  <c r="Y64" i="2"/>
  <c r="X64" i="2"/>
  <c r="W64" i="2"/>
  <c r="V64" i="2"/>
  <c r="U64" i="2"/>
  <c r="T64" i="2"/>
  <c r="S64" i="2"/>
  <c r="R64" i="2"/>
  <c r="AB63" i="2"/>
  <c r="AA63" i="2"/>
  <c r="Z63" i="2"/>
  <c r="Y63" i="2"/>
  <c r="X63" i="2"/>
  <c r="W63" i="2"/>
  <c r="V63" i="2"/>
  <c r="U63" i="2"/>
  <c r="T63" i="2"/>
  <c r="S63" i="2"/>
  <c r="R63" i="2"/>
  <c r="AB62" i="2"/>
  <c r="AA62" i="2"/>
  <c r="Z62" i="2"/>
  <c r="Y62" i="2"/>
  <c r="X62" i="2"/>
  <c r="W62" i="2"/>
  <c r="V62" i="2"/>
  <c r="U62" i="2"/>
  <c r="T62" i="2"/>
  <c r="S62" i="2"/>
  <c r="R62" i="2"/>
  <c r="AB61" i="2"/>
  <c r="AA61" i="2"/>
  <c r="Z61" i="2"/>
  <c r="Y61" i="2"/>
  <c r="X61" i="2"/>
  <c r="W61" i="2"/>
  <c r="V61" i="2"/>
  <c r="U61" i="2"/>
  <c r="T61" i="2"/>
  <c r="S61" i="2"/>
  <c r="R61" i="2"/>
  <c r="AB60" i="2"/>
  <c r="AA60" i="2"/>
  <c r="Z60" i="2"/>
  <c r="Y60" i="2"/>
  <c r="X60" i="2"/>
  <c r="W60" i="2"/>
  <c r="V60" i="2"/>
  <c r="U60" i="2"/>
  <c r="T60" i="2"/>
  <c r="S60" i="2"/>
  <c r="R60" i="2"/>
  <c r="AB59" i="2"/>
  <c r="AA59" i="2"/>
  <c r="Z59" i="2"/>
  <c r="Y59" i="2"/>
  <c r="X59" i="2"/>
  <c r="W59" i="2"/>
  <c r="V59" i="2"/>
  <c r="U59" i="2"/>
  <c r="T59" i="2"/>
  <c r="S59" i="2"/>
  <c r="R59" i="2"/>
  <c r="AB58" i="2"/>
  <c r="AA58" i="2"/>
  <c r="Z58" i="2"/>
  <c r="Y58" i="2"/>
  <c r="X58" i="2"/>
  <c r="W58" i="2"/>
  <c r="V58" i="2"/>
  <c r="U58" i="2"/>
  <c r="T58" i="2"/>
  <c r="S58" i="2"/>
  <c r="R58" i="2"/>
  <c r="AB57" i="2"/>
  <c r="AA57" i="2"/>
  <c r="Z57" i="2"/>
  <c r="Y57" i="2"/>
  <c r="X57" i="2"/>
  <c r="W57" i="2"/>
  <c r="V57" i="2"/>
  <c r="U57" i="2"/>
  <c r="T57" i="2"/>
  <c r="S57" i="2"/>
  <c r="R57" i="2"/>
  <c r="BB56" i="2"/>
  <c r="BA56" i="2"/>
  <c r="AB56" i="2"/>
  <c r="AA56" i="2"/>
  <c r="Z56" i="2"/>
  <c r="Y56" i="2"/>
  <c r="X56" i="2"/>
  <c r="W56" i="2"/>
  <c r="V56" i="2"/>
  <c r="U56" i="2"/>
  <c r="T56" i="2"/>
  <c r="S56" i="2"/>
  <c r="R56" i="2"/>
  <c r="BB55" i="2"/>
  <c r="BA55" i="2"/>
  <c r="AB55" i="2"/>
  <c r="AA55" i="2"/>
  <c r="Z55" i="2"/>
  <c r="Y55" i="2"/>
  <c r="X55" i="2"/>
  <c r="W55" i="2"/>
  <c r="V55" i="2"/>
  <c r="U55" i="2"/>
  <c r="T55" i="2"/>
  <c r="S55" i="2"/>
  <c r="R55" i="2"/>
  <c r="BB54" i="2"/>
  <c r="BA54" i="2"/>
  <c r="AB54" i="2"/>
  <c r="AA54" i="2"/>
  <c r="Z54" i="2"/>
  <c r="Y54" i="2"/>
  <c r="X54" i="2"/>
  <c r="W54" i="2"/>
  <c r="V54" i="2"/>
  <c r="U54" i="2"/>
  <c r="T54" i="2"/>
  <c r="S54" i="2"/>
  <c r="R54" i="2"/>
  <c r="AB53" i="2"/>
  <c r="AA53" i="2"/>
  <c r="Z53" i="2"/>
  <c r="Y53" i="2"/>
  <c r="X53" i="2"/>
  <c r="W53" i="2"/>
  <c r="V53" i="2"/>
  <c r="U53" i="2"/>
  <c r="T53" i="2"/>
  <c r="S53" i="2"/>
  <c r="R53" i="2"/>
  <c r="AB43" i="2"/>
  <c r="AA43" i="2"/>
  <c r="Z43" i="2"/>
  <c r="Y43" i="2"/>
  <c r="X43" i="2"/>
  <c r="W43" i="2"/>
  <c r="V43" i="2"/>
  <c r="U43" i="2"/>
  <c r="T43" i="2"/>
  <c r="S43" i="2"/>
  <c r="R43" i="2"/>
  <c r="AB42" i="2"/>
  <c r="AA42" i="2"/>
  <c r="Z42" i="2"/>
  <c r="Y42" i="2"/>
  <c r="X42" i="2"/>
  <c r="W42" i="2"/>
  <c r="V42" i="2"/>
  <c r="U42" i="2"/>
  <c r="T42" i="2"/>
  <c r="S42" i="2"/>
  <c r="R42" i="2"/>
  <c r="AB41" i="2"/>
  <c r="AA41" i="2"/>
  <c r="Z41" i="2"/>
  <c r="Y41" i="2"/>
  <c r="X41" i="2"/>
  <c r="W41" i="2"/>
  <c r="V41" i="2"/>
  <c r="U41" i="2"/>
  <c r="T41" i="2"/>
  <c r="S41" i="2"/>
  <c r="R41" i="2"/>
  <c r="AB40" i="2"/>
  <c r="AA40" i="2"/>
  <c r="Z40" i="2"/>
  <c r="Y40" i="2"/>
  <c r="X40" i="2"/>
  <c r="W40" i="2"/>
  <c r="V40" i="2"/>
  <c r="U40" i="2"/>
  <c r="T40" i="2"/>
  <c r="S40" i="2"/>
  <c r="R40" i="2"/>
  <c r="AB39" i="2"/>
  <c r="AA39" i="2"/>
  <c r="Z39" i="2"/>
  <c r="Y39" i="2"/>
  <c r="X39" i="2"/>
  <c r="W39" i="2"/>
  <c r="V39" i="2"/>
  <c r="U39" i="2"/>
  <c r="T39" i="2"/>
  <c r="S39" i="2"/>
  <c r="R39" i="2"/>
  <c r="AB38" i="2"/>
  <c r="AA38" i="2"/>
  <c r="Z38" i="2"/>
  <c r="Y38" i="2"/>
  <c r="X38" i="2"/>
  <c r="W38" i="2"/>
  <c r="V38" i="2"/>
  <c r="U38" i="2"/>
  <c r="T38" i="2"/>
  <c r="S38" i="2"/>
  <c r="R38" i="2"/>
  <c r="AB37" i="2"/>
  <c r="AA37" i="2"/>
  <c r="Z37" i="2"/>
  <c r="Y37" i="2"/>
  <c r="X37" i="2"/>
  <c r="W37" i="2"/>
  <c r="V37" i="2"/>
  <c r="U37" i="2"/>
  <c r="T37" i="2"/>
  <c r="S37" i="2"/>
  <c r="R37" i="2"/>
  <c r="AB36" i="2"/>
  <c r="AA36" i="2"/>
  <c r="Z36" i="2"/>
  <c r="Y36" i="2"/>
  <c r="X36" i="2"/>
  <c r="W36" i="2"/>
  <c r="V36" i="2"/>
  <c r="U36" i="2"/>
  <c r="T36" i="2"/>
  <c r="S36" i="2"/>
  <c r="R36" i="2"/>
  <c r="AB35" i="2"/>
  <c r="AA35" i="2"/>
  <c r="Z35" i="2"/>
  <c r="Y35" i="2"/>
  <c r="X35" i="2"/>
  <c r="W35" i="2"/>
  <c r="V35" i="2"/>
  <c r="U35" i="2"/>
  <c r="T35" i="2"/>
  <c r="S35" i="2"/>
  <c r="R35" i="2"/>
  <c r="AB34" i="2"/>
  <c r="AA34" i="2"/>
  <c r="Z34" i="2"/>
  <c r="Y34" i="2"/>
  <c r="X34" i="2"/>
  <c r="W34" i="2"/>
  <c r="V34" i="2"/>
  <c r="U34" i="2"/>
  <c r="T34" i="2"/>
  <c r="S34" i="2"/>
  <c r="R34" i="2"/>
  <c r="AB33" i="2"/>
  <c r="AA33" i="2"/>
  <c r="Z33" i="2"/>
  <c r="Y33" i="2"/>
  <c r="X33" i="2"/>
  <c r="W33" i="2"/>
  <c r="V33" i="2"/>
  <c r="U33" i="2"/>
  <c r="T33" i="2"/>
  <c r="S33" i="2"/>
  <c r="R33" i="2"/>
  <c r="AB32" i="2"/>
  <c r="AA32" i="2"/>
  <c r="Z32" i="2"/>
  <c r="Y32" i="2"/>
  <c r="X32" i="2"/>
  <c r="W32" i="2"/>
  <c r="V32" i="2"/>
  <c r="U32" i="2"/>
  <c r="T32" i="2"/>
  <c r="S32" i="2"/>
  <c r="R32" i="2"/>
  <c r="BB31" i="2"/>
  <c r="BA31" i="2"/>
  <c r="AB31" i="2"/>
  <c r="AA31" i="2"/>
  <c r="Z31" i="2"/>
  <c r="Y31" i="2"/>
  <c r="X31" i="2"/>
  <c r="W31" i="2"/>
  <c r="V31" i="2"/>
  <c r="U31" i="2"/>
  <c r="T31" i="2"/>
  <c r="S31" i="2"/>
  <c r="R31" i="2"/>
  <c r="BB30" i="2"/>
  <c r="BA30" i="2"/>
  <c r="AB30" i="2"/>
  <c r="AA30" i="2"/>
  <c r="Z30" i="2"/>
  <c r="Y30" i="2"/>
  <c r="X30" i="2"/>
  <c r="W30" i="2"/>
  <c r="V30" i="2"/>
  <c r="U30" i="2"/>
  <c r="T30" i="2"/>
  <c r="S30" i="2"/>
  <c r="R30" i="2"/>
  <c r="BB29" i="2"/>
  <c r="BA29" i="2"/>
  <c r="AB29" i="2"/>
  <c r="AA29" i="2"/>
  <c r="Z29" i="2"/>
  <c r="Y29" i="2"/>
  <c r="X29" i="2"/>
  <c r="W29" i="2"/>
  <c r="V29" i="2"/>
  <c r="U29" i="2"/>
  <c r="T29" i="2"/>
  <c r="S29" i="2"/>
  <c r="R29" i="2"/>
  <c r="AB28" i="2"/>
  <c r="AA28" i="2"/>
  <c r="Z28" i="2"/>
  <c r="Y28" i="2"/>
  <c r="X28" i="2"/>
  <c r="W28" i="2"/>
  <c r="V28" i="2"/>
  <c r="U28" i="2"/>
  <c r="T28" i="2"/>
  <c r="S28" i="2"/>
  <c r="R28" i="2"/>
  <c r="AB18" i="2"/>
  <c r="AA18" i="2"/>
  <c r="Z18" i="2"/>
  <c r="Y18" i="2"/>
  <c r="X18" i="2"/>
  <c r="W18" i="2"/>
  <c r="V18" i="2"/>
  <c r="U18" i="2"/>
  <c r="T18" i="2"/>
  <c r="S18" i="2"/>
  <c r="R18" i="2"/>
  <c r="AB17" i="2"/>
  <c r="AA17" i="2"/>
  <c r="Z17" i="2"/>
  <c r="Y17" i="2"/>
  <c r="X17" i="2"/>
  <c r="W17" i="2"/>
  <c r="V17" i="2"/>
  <c r="U17" i="2"/>
  <c r="T17" i="2"/>
  <c r="S17" i="2"/>
  <c r="R17" i="2"/>
  <c r="AB16" i="2"/>
  <c r="AA16" i="2"/>
  <c r="Z16" i="2"/>
  <c r="Y16" i="2"/>
  <c r="X16" i="2"/>
  <c r="W16" i="2"/>
  <c r="V16" i="2"/>
  <c r="U16" i="2"/>
  <c r="T16" i="2"/>
  <c r="S16" i="2"/>
  <c r="R16" i="2"/>
  <c r="AB15" i="2"/>
  <c r="AA15" i="2"/>
  <c r="Z15" i="2"/>
  <c r="Y15" i="2"/>
  <c r="X15" i="2"/>
  <c r="W15" i="2"/>
  <c r="V15" i="2"/>
  <c r="U15" i="2"/>
  <c r="T15" i="2"/>
  <c r="S15" i="2"/>
  <c r="R15" i="2"/>
  <c r="AB14" i="2"/>
  <c r="AA14" i="2"/>
  <c r="Z14" i="2"/>
  <c r="Y14" i="2"/>
  <c r="X14" i="2"/>
  <c r="W14" i="2"/>
  <c r="V14" i="2"/>
  <c r="U14" i="2"/>
  <c r="T14" i="2"/>
  <c r="S14" i="2"/>
  <c r="R14" i="2"/>
  <c r="AB13" i="2"/>
  <c r="AA13" i="2"/>
  <c r="Z13" i="2"/>
  <c r="Y13" i="2"/>
  <c r="X13" i="2"/>
  <c r="W13" i="2"/>
  <c r="V13" i="2"/>
  <c r="U13" i="2"/>
  <c r="T13" i="2"/>
  <c r="S13" i="2"/>
  <c r="R13" i="2"/>
  <c r="AB12" i="2"/>
  <c r="AA12" i="2"/>
  <c r="Z12" i="2"/>
  <c r="Y12" i="2"/>
  <c r="X12" i="2"/>
  <c r="W12" i="2"/>
  <c r="V12" i="2"/>
  <c r="U12" i="2"/>
  <c r="T12" i="2"/>
  <c r="S12" i="2"/>
  <c r="R12" i="2"/>
  <c r="AB11" i="2"/>
  <c r="AA11" i="2"/>
  <c r="Z11" i="2"/>
  <c r="Y11" i="2"/>
  <c r="X11" i="2"/>
  <c r="W11" i="2"/>
  <c r="V11" i="2"/>
  <c r="U11" i="2"/>
  <c r="T11" i="2"/>
  <c r="S11" i="2"/>
  <c r="R11" i="2"/>
  <c r="AB10" i="2"/>
  <c r="AA10" i="2"/>
  <c r="Z10" i="2"/>
  <c r="Y10" i="2"/>
  <c r="X10" i="2"/>
  <c r="W10" i="2"/>
  <c r="V10" i="2"/>
  <c r="U10" i="2"/>
  <c r="T10" i="2"/>
  <c r="S10" i="2"/>
  <c r="R10" i="2"/>
  <c r="BB9" i="2"/>
  <c r="BA9" i="2"/>
  <c r="AB9" i="2"/>
  <c r="AA9" i="2"/>
  <c r="Z9" i="2"/>
  <c r="Y9" i="2"/>
  <c r="X9" i="2"/>
  <c r="W9" i="2"/>
  <c r="V9" i="2"/>
  <c r="U9" i="2"/>
  <c r="T9" i="2"/>
  <c r="S9" i="2"/>
  <c r="R9" i="2"/>
  <c r="BB8" i="2"/>
  <c r="BA8" i="2"/>
  <c r="AB8" i="2"/>
  <c r="AA8" i="2"/>
  <c r="Z8" i="2"/>
  <c r="Y8" i="2"/>
  <c r="X8" i="2"/>
  <c r="W8" i="2"/>
  <c r="V8" i="2"/>
  <c r="U8" i="2"/>
  <c r="T8" i="2"/>
  <c r="S8" i="2"/>
  <c r="R8" i="2"/>
  <c r="BC7" i="2"/>
  <c r="BB7" i="2"/>
  <c r="BA7" i="2"/>
  <c r="AB7" i="2"/>
  <c r="AA7" i="2"/>
  <c r="Z7" i="2"/>
  <c r="Y7" i="2"/>
  <c r="X7" i="2"/>
  <c r="W7" i="2"/>
  <c r="V7" i="2"/>
  <c r="U7" i="2"/>
  <c r="T7" i="2"/>
  <c r="S7" i="2"/>
  <c r="R7" i="2"/>
</calcChain>
</file>

<file path=xl/sharedStrings.xml><?xml version="1.0" encoding="utf-8"?>
<sst xmlns="http://schemas.openxmlformats.org/spreadsheetml/2006/main" count="1094" uniqueCount="107">
  <si>
    <t>วิธีทดสอบ</t>
  </si>
  <si>
    <t>1. Vendor ที่ Packaging ไม่ประเมิน &gt;&gt; จะประเมิน 2 ชุด</t>
  </si>
  <si>
    <t>QA</t>
  </si>
  <si>
    <t>Store</t>
  </si>
  <si>
    <t>Buyer</t>
  </si>
  <si>
    <t>Packaging</t>
  </si>
  <si>
    <t>ทดสอบกับ Form Agile</t>
  </si>
  <si>
    <t>ผู้ประเมิน</t>
  </si>
  <si>
    <t>VendorName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</si>
  <si>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</si>
  <si>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</si>
  <si>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</si>
  <si>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</si>
  <si>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</si>
  <si>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</si>
  <si>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</si>
  <si>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</si>
  <si>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</si>
  <si>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</si>
  <si>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</si>
  <si>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</si>
  <si>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</si>
  <si>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</si>
  <si>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</si>
  <si>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</si>
  <si>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</si>
  <si>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</si>
  <si>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</si>
  <si>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</si>
  <si>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</si>
  <si>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</si>
  <si>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Row Labels1</t>
  </si>
  <si>
    <t>Q.1</t>
  </si>
  <si>
    <t>Q.2</t>
  </si>
  <si>
    <t>Q.3</t>
  </si>
  <si>
    <t>Q.4</t>
  </si>
  <si>
    <t>Q.5</t>
  </si>
  <si>
    <t>Q.6</t>
  </si>
  <si>
    <t>Q.7</t>
  </si>
  <si>
    <t>Q.8</t>
  </si>
  <si>
    <t>Q.9</t>
  </si>
  <si>
    <t>Q.10</t>
  </si>
  <si>
    <t>Q.11</t>
  </si>
  <si>
    <t>S.1</t>
  </si>
  <si>
    <t>S.2</t>
  </si>
  <si>
    <t>S.3</t>
  </si>
  <si>
    <t>S.4</t>
  </si>
  <si>
    <t>S.5</t>
  </si>
  <si>
    <t>S.6</t>
  </si>
  <si>
    <t>S.7</t>
  </si>
  <si>
    <t>S.8</t>
  </si>
  <si>
    <t>S.9</t>
  </si>
  <si>
    <t>S.10</t>
  </si>
  <si>
    <t>S.11</t>
  </si>
  <si>
    <t>Total_Q</t>
  </si>
  <si>
    <t>Total_S</t>
  </si>
  <si>
    <t>บริษัท แอสเซนด์ แทรเวิล</t>
  </si>
  <si>
    <t>บริษัท ดีเอพีพี ยูนิฟอร์ม จำกัด</t>
  </si>
  <si>
    <t>Grand Total</t>
  </si>
  <si>
    <t>-</t>
  </si>
  <si>
    <t>1. Vendor ที่ Packaging ไม่ประเมิน &gt;&gt; จะประเมิน 3 ชุด</t>
  </si>
  <si>
    <t>โดยชุดที่ 3 Packaging ไม่ประเมินเลย</t>
  </si>
  <si>
    <t>พิสูจน์แล้วว่า Vendor ที่ Packaging ไม่ประเมิน</t>
  </si>
  <si>
    <t>หากว่า Vendor เข้ามาประเมินแบบ "-" กับ ไม่เข้ามาประเมินเลย &gt;&gt; ให้ผลลัพธ์เท่ากัน</t>
  </si>
  <si>
    <t>3. เหมือนตัวอย่างที่ 2 แต่ทดสอบ สองปี</t>
  </si>
  <si>
    <t>ปี</t>
  </si>
  <si>
    <t>4. ต่อจาก 3. กรณีที่ Packaing บางคนดันให้คะแนน</t>
  </si>
  <si>
    <t>จำลองจาก ข้อมูลจริง</t>
  </si>
  <si>
    <t>PURCHASING</t>
  </si>
  <si>
    <t>หน่วยงานที่สังกัด</t>
  </si>
  <si>
    <t>Question</t>
  </si>
  <si>
    <t>โรงงาน</t>
  </si>
  <si>
    <t>ประเภทสินค้า</t>
  </si>
  <si>
    <t>Q12</t>
  </si>
  <si>
    <t>Q13</t>
  </si>
  <si>
    <t>Q20</t>
  </si>
  <si>
    <t>Q14</t>
  </si>
  <si>
    <t>Q16</t>
  </si>
  <si>
    <t>Q21</t>
  </si>
  <si>
    <t>Q15</t>
  </si>
  <si>
    <t>Q17</t>
  </si>
  <si>
    <t>Q18</t>
  </si>
  <si>
    <t>Q19</t>
  </si>
  <si>
    <t>S12</t>
  </si>
  <si>
    <t>S13</t>
  </si>
  <si>
    <t>S20</t>
  </si>
  <si>
    <t>S14</t>
  </si>
  <si>
    <t>S16</t>
  </si>
  <si>
    <t>S21</t>
  </si>
  <si>
    <t>S15</t>
  </si>
  <si>
    <t>S17</t>
  </si>
  <si>
    <t>S18</t>
  </si>
  <si>
    <t>S19</t>
  </si>
  <si>
    <t>โคราช</t>
  </si>
  <si>
    <t>Support Sheet</t>
  </si>
  <si>
    <t>บริษัท ตะวันนาบรรจุภัณฑ์ จำกัด</t>
  </si>
  <si>
    <t>ขอนแก่น</t>
  </si>
  <si>
    <t>ปทุมธานี</t>
  </si>
  <si>
    <t>BIB BOX</t>
  </si>
  <si>
    <t>รังสิต</t>
  </si>
  <si>
    <t>ลำปาง</t>
  </si>
  <si>
    <t>สรุป case นี้ คำนวณผิดพลาด &gt;&gt; ดูวิธีการคิดได้ดังนี้</t>
  </si>
  <si>
    <t>Link</t>
  </si>
  <si>
    <t>SUGAR</t>
  </si>
  <si>
    <t>บริษัท อุตสาหกรรมน้ำตาลอีสานจำกัด</t>
  </si>
  <si>
    <t>LIQUID SUCROSE</t>
  </si>
  <si>
    <t>บริษัท เคเอสแอล อะโกร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</si>
</sst>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2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1"/>
    <xf numFmtId="0" fontId="1" fillId="2" borderId="1" xfId="1" applyFill="1" applyBorder="1"/>
    <xf numFmtId="0" fontId="1" fillId="3" borderId="1" xfId="1" applyFill="1" applyBorder="1"/>
    <xf numFmtId="0" fontId="1" fillId="4" borderId="1" xfId="1" applyFill="1" applyBorder="1"/>
    <xf numFmtId="0" fontId="1" fillId="5" borderId="1" xfId="1" applyFill="1" applyBorder="1"/>
    <xf numFmtId="43" fontId="0" fillId="0" borderId="0" xfId="2" applyFont="1"/>
    <xf numFmtId="0" fontId="0" fillId="0" borderId="0" xfId="2" applyNumberFormat="1" applyFont="1"/>
    <xf numFmtId="0" fontId="1" fillId="0" borderId="0" xfId="1" applyAlignment="1">
      <alignment vertical="center"/>
    </xf>
    <xf numFmtId="0" fontId="1" fillId="0" borderId="2" xfId="1" applyBorder="1"/>
    <xf numFmtId="0" fontId="1" fillId="0" borderId="3" xfId="1" applyBorder="1"/>
    <xf numFmtId="0" fontId="1" fillId="6" borderId="4" xfId="1" applyFill="1" applyBorder="1"/>
    <xf numFmtId="0" fontId="1" fillId="6" borderId="5" xfId="1" applyFill="1" applyBorder="1"/>
    <xf numFmtId="59" fontId="1" fillId="6" borderId="5" xfId="1" applyNumberFormat="1" applyFill="1" applyBorder="1"/>
    <xf numFmtId="59" fontId="1" fillId="6" borderId="6" xfId="1" applyNumberFormat="1" applyFill="1" applyBorder="1"/>
    <xf numFmtId="0" fontId="1" fillId="7" borderId="4" xfId="1" applyFill="1" applyBorder="1"/>
    <xf numFmtId="0" fontId="1" fillId="7" borderId="5" xfId="1" applyFill="1" applyBorder="1"/>
    <xf numFmtId="59" fontId="1" fillId="7" borderId="5" xfId="1" applyNumberFormat="1" applyFill="1" applyBorder="1"/>
    <xf numFmtId="59" fontId="1" fillId="7" borderId="6" xfId="1" applyNumberFormat="1" applyFill="1" applyBorder="1"/>
    <xf numFmtId="43" fontId="1" fillId="0" borderId="0" xfId="1" applyNumberFormat="1"/>
    <xf numFmtId="0" fontId="1" fillId="0" borderId="7" xfId="1" applyBorder="1"/>
    <xf numFmtId="0" fontId="1" fillId="0" borderId="8" xfId="1" applyBorder="1"/>
    <xf numFmtId="0" fontId="1" fillId="0" borderId="9" xfId="1" applyBorder="1"/>
    <xf numFmtId="43" fontId="1" fillId="0" borderId="0" xfId="1" applyNumberFormat="1" applyAlignment="1">
      <alignment horizontal="left"/>
    </xf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2" fillId="0" borderId="0" xfId="1" applyFont="1"/>
    <xf numFmtId="0" fontId="1" fillId="0" borderId="0" xfId="1" applyAlignment="1">
      <alignment horizontal="left"/>
    </xf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3" fillId="0" borderId="14" xfId="1" applyFont="1" applyBorder="1"/>
    <xf numFmtId="0" fontId="4" fillId="0" borderId="0" xfId="1" applyFont="1"/>
    <xf numFmtId="0" fontId="2" fillId="4" borderId="1" xfId="1" applyFont="1" applyFill="1" applyBorder="1"/>
    <xf numFmtId="0" fontId="1" fillId="0" borderId="18" xfId="1" applyBorder="1"/>
    <xf numFmtId="0" fontId="1" fillId="0" borderId="19" xfId="1" applyBorder="1"/>
    <xf numFmtId="0" fontId="1" fillId="6" borderId="20" xfId="1" applyFill="1" applyBorder="1"/>
    <xf numFmtId="0" fontId="1" fillId="7" borderId="20" xfId="1" applyFill="1" applyBorder="1"/>
    <xf numFmtId="0" fontId="1" fillId="8" borderId="18" xfId="1" applyFill="1" applyBorder="1"/>
    <xf numFmtId="0" fontId="5" fillId="0" borderId="0" xfId="3" applyFill="1"/>
    <xf numFmtId="0" fontId="1" fillId="2" borderId="18" xfId="1" applyFill="1" applyBorder="1"/>
    <xf numFmtId="0" fontId="1" fillId="9" borderId="18" xfId="1" applyFill="1" applyBorder="1"/>
    <xf numFmtId="0" fontId="1" fillId="3" borderId="18" xfId="1" applyFill="1" applyBorder="1"/>
  </cellXfs>
  <cellStyles count="4">
    <cellStyle name="Comma 2" xfId="2" xr:uid="{4FE95D85-33FD-47AB-81EC-8760D86262E2}"/>
    <cellStyle name="Hyperlink 2" xfId="3" xr:uid="{098FE23C-2689-47E7-B19B-41775AF710FB}"/>
    <cellStyle name="Normal" xfId="0" builtinId="0"/>
    <cellStyle name="Normal 2" xfId="1" xr:uid="{C906A348-75C0-4FF1-98FD-F347B6AC61A6}"/>
  </cellStyles>
  <dxfs count="26"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265546</xdr:colOff>
      <xdr:row>94</xdr:row>
      <xdr:rowOff>69273</xdr:rowOff>
    </xdr:from>
    <xdr:ext cx="12952124" cy="3908974"/>
    <xdr:pic>
      <xdr:nvPicPr>
        <xdr:cNvPr id="2" name="Picture 1">
          <a:extLst>
            <a:ext uri="{FF2B5EF4-FFF2-40B4-BE49-F238E27FC236}">
              <a16:creationId xmlns:a16="http://schemas.microsoft.com/office/drawing/2014/main" id="{774D64C3-F8E4-44C6-864A-4FD7107B7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17496" y="16928523"/>
          <a:ext cx="12952124" cy="3908974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Management%20ful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Management%20full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Management%20full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Management%20full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95607407407" createdVersion="7" refreshedVersion="7" minRefreshableVersion="3" recordCount="16" xr:uid="{31213F32-1F38-4A39-B673-AF62A1DDA90A}">
  <cacheSource type="worksheet">
    <worksheetSource ref="E27:AB43" sheet="Tester" r:id="rId2"/>
  </cacheSource>
  <cacheFields count="24"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2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1" maxValue="3"/>
    </cacheField>
    <cacheField name="Q4" numFmtId="0">
      <sharedItems containsString="0" containsBlank="1" containsNumber="1" containsInteger="1" minValue="2" maxValue="4"/>
    </cacheField>
    <cacheField name="Q5" numFmtId="0">
      <sharedItems containsString="0" containsBlank="1" containsNumber="1" containsInteger="1" minValue="2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2" maxValue="4"/>
    </cacheField>
    <cacheField name="Q8" numFmtId="0">
      <sharedItems containsString="0" containsBlank="1" containsNumber="1" containsInteger="1" minValue="1" maxValue="2"/>
    </cacheField>
    <cacheField name="Q9" numFmtId="0">
      <sharedItems containsBlank="1" containsMixedTypes="1" containsNumber="1" containsInteger="1" minValue="3" maxValue="3"/>
    </cacheField>
    <cacheField name="Q10" numFmtId="0">
      <sharedItems containsBlank="1" containsMixedTypes="1" containsNumber="1" containsInteger="1" minValue="4" maxValue="4"/>
    </cacheField>
    <cacheField name="Q11" numFmtId="0">
      <sharedItems containsBlank="1" containsMixedTypes="1" containsNumber="1" containsInteger="1" minValue="4" maxValue="4"/>
    </cacheField>
    <cacheField name="S1" numFmtId="0">
      <sharedItems containsMixedTypes="1" containsNumber="1" minValue="5" maxValue="10"/>
    </cacheField>
    <cacheField name="S2" numFmtId="0">
      <sharedItems containsMixedTypes="1" containsNumber="1" containsInteger="1" minValue="5" maxValue="10"/>
    </cacheField>
    <cacheField name="S3" numFmtId="0">
      <sharedItems containsMixedTypes="1" containsNumber="1" minValue="2.5" maxValue="7.5"/>
    </cacheField>
    <cacheField name="S4" numFmtId="0">
      <sharedItems containsMixedTypes="1" containsNumber="1" minValue="5" maxValue="10"/>
    </cacheField>
    <cacheField name="S5" numFmtId="0">
      <sharedItems containsMixedTypes="1" containsNumber="1" minValue="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5" maxValue="10"/>
    </cacheField>
    <cacheField name="S8" numFmtId="0">
      <sharedItems containsMixedTypes="1" containsNumber="1" minValue="1.25" maxValue="2.5"/>
    </cacheField>
    <cacheField name="S9" numFmtId="0">
      <sharedItems containsMixedTypes="1" containsNumber="1" minValue="3.75" maxValue="3.75"/>
    </cacheField>
    <cacheField name="S10" numFmtId="0">
      <sharedItems containsMixedTypes="1" containsNumber="1" containsInteger="1" minValue="5" maxValue="5"/>
    </cacheField>
    <cacheField name="S11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556760648149" createdVersion="7" refreshedVersion="7" minRefreshableVersion="3" recordCount="28" xr:uid="{9E965D22-F60F-4817-A57D-1A950941D463}">
  <cacheSource type="worksheet">
    <worksheetSource ref="D52:AB80" sheet="Tester" r:id="rId2"/>
  </cacheSource>
  <cacheFields count="25">
    <cacheField name="ปี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1" maxValue="4"/>
    </cacheField>
    <cacheField name="Q2" numFmtId="0">
      <sharedItems containsString="0" containsBlank="1" containsNumber="1" containsInteger="1" minValue="1" maxValue="4"/>
    </cacheField>
    <cacheField name="Q3" numFmtId="0">
      <sharedItems containsString="0" containsBlank="1" containsNumber="1" containsInteger="1" minValue="1" maxValue="4"/>
    </cacheField>
    <cacheField name="Q4" numFmtId="0">
      <sharedItems containsString="0" containsBlank="1" containsNumber="1" containsInteger="1" minValue="1" maxValue="4"/>
    </cacheField>
    <cacheField name="Q5" numFmtId="0">
      <sharedItems containsString="0" containsBlank="1" containsNumber="1" containsInteger="1" minValue="1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1" maxValue="4"/>
    </cacheField>
    <cacheField name="Q9" numFmtId="0">
      <sharedItems containsBlank="1" containsMixedTypes="1" containsNumber="1" containsInteger="1" minValue="1" maxValue="3"/>
    </cacheField>
    <cacheField name="Q10" numFmtId="0">
      <sharedItems containsBlank="1" containsMixedTypes="1" containsNumber="1" containsInteger="1" minValue="1" maxValue="4"/>
    </cacheField>
    <cacheField name="Q11" numFmtId="0">
      <sharedItems containsBlank="1" containsMixedTypes="1" containsNumber="1" containsInteger="1" minValue="2" maxValue="4"/>
    </cacheField>
    <cacheField name="S1" numFmtId="0">
      <sharedItems containsMixedTypes="1" containsNumber="1" minValue="2.5" maxValue="10"/>
    </cacheField>
    <cacheField name="S2" numFmtId="0">
      <sharedItems containsMixedTypes="1" containsNumber="1" minValue="2.5" maxValue="10"/>
    </cacheField>
    <cacheField name="S3" numFmtId="0">
      <sharedItems containsMixedTypes="1" containsNumber="1" minValue="2.5" maxValue="10"/>
    </cacheField>
    <cacheField name="S4" numFmtId="0">
      <sharedItems containsMixedTypes="1" containsNumber="1" minValue="2.5" maxValue="10"/>
    </cacheField>
    <cacheField name="S5" numFmtId="0">
      <sharedItems containsMixedTypes="1" containsNumber="1" minValue="2.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2.5" maxValue="10"/>
    </cacheField>
    <cacheField name="S8" numFmtId="0">
      <sharedItems containsMixedTypes="1" containsNumber="1" minValue="1.25" maxValue="5"/>
    </cacheField>
    <cacheField name="S9" numFmtId="0">
      <sharedItems containsMixedTypes="1" containsNumber="1" minValue="1.25" maxValue="3.75"/>
    </cacheField>
    <cacheField name="S10" numFmtId="0">
      <sharedItems containsMixedTypes="1" containsNumber="1" minValue="1.25" maxValue="5"/>
    </cacheField>
    <cacheField name="S11" numFmtId="0">
      <sharedItems containsMixedTypes="1" containsNumber="1" minValue="7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4.644797222223" createdVersion="7" refreshedVersion="7" minRefreshableVersion="3" recordCount="32" xr:uid="{F7003DC0-3BBF-4E53-8E1E-9F1A282978F0}">
  <cacheSource type="worksheet">
    <worksheetSource ref="D88:AB116" sheet="Tester" r:id="rId2"/>
  </cacheSource>
  <cacheFields count="25">
    <cacheField name="ปี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Name" numFmtId="0">
      <sharedItems count="2">
        <s v="บริษัท แอสเซนด์ แทรเวิล"/>
        <s v="บริษัท ดีเอพีพี ยูนิฟอร์ม จำกัด"/>
      </sharedItems>
    </cacheField>
    <cacheField name="Q1" numFmtId="0">
      <sharedItems containsString="0" containsBlank="1" containsNumber="1" containsInteger="1" minValue="1" maxValue="4"/>
    </cacheField>
    <cacheField name="Q2" numFmtId="0">
      <sharedItems containsString="0" containsBlank="1" containsNumber="1" containsInteger="1" minValue="1" maxValue="4"/>
    </cacheField>
    <cacheField name="Q3" numFmtId="0">
      <sharedItems containsString="0" containsBlank="1" containsNumber="1" containsInteger="1" minValue="1" maxValue="4"/>
    </cacheField>
    <cacheField name="Q4" numFmtId="0">
      <sharedItems containsString="0" containsBlank="1" containsNumber="1" containsInteger="1" minValue="1" maxValue="4"/>
    </cacheField>
    <cacheField name="Q5" numFmtId="0">
      <sharedItems containsString="0" containsBlank="1" containsNumber="1" containsInteger="1" minValue="1" maxValue="4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1" maxValue="4"/>
    </cacheField>
    <cacheField name="Q9" numFmtId="0">
      <sharedItems containsBlank="1" containsMixedTypes="1" containsNumber="1" containsInteger="1" minValue="1" maxValue="4"/>
    </cacheField>
    <cacheField name="Q10" numFmtId="0">
      <sharedItems containsBlank="1" containsMixedTypes="1" containsNumber="1" containsInteger="1" minValue="1" maxValue="4"/>
    </cacheField>
    <cacheField name="Q11" numFmtId="0">
      <sharedItems containsBlank="1" containsMixedTypes="1" containsNumber="1" containsInteger="1" minValue="2" maxValue="4"/>
    </cacheField>
    <cacheField name="S1" numFmtId="0">
      <sharedItems containsMixedTypes="1" containsNumber="1" minValue="2.5" maxValue="10"/>
    </cacheField>
    <cacheField name="S2" numFmtId="0">
      <sharedItems containsMixedTypes="1" containsNumber="1" minValue="2.5" maxValue="10"/>
    </cacheField>
    <cacheField name="S3" numFmtId="0">
      <sharedItems containsMixedTypes="1" containsNumber="1" minValue="2.5" maxValue="10"/>
    </cacheField>
    <cacheField name="S4" numFmtId="0">
      <sharedItems containsMixedTypes="1" containsNumber="1" minValue="2.5" maxValue="10"/>
    </cacheField>
    <cacheField name="S5" numFmtId="0">
      <sharedItems containsMixedTypes="1" containsNumber="1" minValue="2.5" maxValue="10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2.5" maxValue="10"/>
    </cacheField>
    <cacheField name="S8" numFmtId="0">
      <sharedItems containsMixedTypes="1" containsNumber="1" minValue="1.25" maxValue="5"/>
    </cacheField>
    <cacheField name="S9" numFmtId="0">
      <sharedItems containsMixedTypes="1" containsNumber="1" minValue="1.25" maxValue="5"/>
    </cacheField>
    <cacheField name="S10" numFmtId="0">
      <sharedItems containsMixedTypes="1" containsNumber="1" minValue="1.25" maxValue="5"/>
    </cacheField>
    <cacheField name="S11" numFmtId="0">
      <sharedItems containsMixedTypes="1" containsNumber="1" minValue="7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800.463895138892" createdVersion="7" refreshedVersion="7" minRefreshableVersion="3" recordCount="12" xr:uid="{062D81C7-0A12-469C-8CF4-A7E53345C7AC}">
  <cacheSource type="worksheet">
    <worksheetSource ref="E6:AB18" sheet="Tester" r:id="rId2"/>
  </cacheSource>
  <cacheFields count="24">
    <cacheField name="ผู้ประเมิน" numFmtId="0">
      <sharedItems/>
    </cacheField>
    <cacheField name="VendorName" numFmtId="0">
      <sharedItems count="4">
        <s v="บริษัท แอสเซนด์ แทรเวิล"/>
        <s v="บริษัท ดีเอพีพี ยูนิฟอร์ม จำกัด"/>
        <s v="บริษัท ซี.พี.แลนด์" u="1"/>
        <s v="บริษัท ดีวอลล์" u="1"/>
      </sharedItems>
    </cacheField>
    <cacheField name="Q1" numFmtId="0">
      <sharedItems containsString="0" containsBlank="1" containsNumber="1" containsInteger="1" minValue="2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1" maxValue="2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1" maxValue="2"/>
    </cacheField>
    <cacheField name="Q7" numFmtId="0">
      <sharedItems containsString="0" containsBlank="1" containsNumber="1" containsInteger="1" minValue="2" maxValue="4"/>
    </cacheField>
    <cacheField name="Q8" numFmtId="0">
      <sharedItems containsString="0" containsBlank="1" containsNumber="1" containsInteger="1" minValue="2" maxValue="2"/>
    </cacheField>
    <cacheField name="Q9" numFmtId="0">
      <sharedItems containsBlank="1" containsMixedTypes="1" containsNumber="1" containsInteger="1" minValue="3" maxValue="3"/>
    </cacheField>
    <cacheField name="Q10" numFmtId="0">
      <sharedItems containsBlank="1" containsMixedTypes="1" containsNumber="1" containsInteger="1" minValue="4" maxValue="4"/>
    </cacheField>
    <cacheField name="Q11" numFmtId="0">
      <sharedItems containsBlank="1" containsMixedTypes="1" containsNumber="1" containsInteger="1" minValue="4" maxValue="4"/>
    </cacheField>
    <cacheField name="S1" numFmtId="0">
      <sharedItems containsMixedTypes="1" containsNumber="1" minValue="5" maxValue="10"/>
    </cacheField>
    <cacheField name="S2" numFmtId="0">
      <sharedItems containsMixedTypes="1" containsNumber="1" containsInteger="1" minValue="5" maxValue="10"/>
    </cacheField>
    <cacheField name="S3" numFmtId="0">
      <sharedItems containsMixedTypes="1" containsNumber="1" minValue="2.5" maxValue="5"/>
    </cacheField>
    <cacheField name="S4" numFmtId="0">
      <sharedItems containsMixedTypes="1" containsNumber="1" minValue="7.5" maxValue="10"/>
    </cacheField>
    <cacheField name="S5" numFmtId="0">
      <sharedItems containsMixedTypes="1" containsNumber="1" minValue="7.5" maxValue="10"/>
    </cacheField>
    <cacheField name="S6" numFmtId="0">
      <sharedItems containsMixedTypes="1" containsNumber="1" minValue="2.5" maxValue="5"/>
    </cacheField>
    <cacheField name="S7" numFmtId="0">
      <sharedItems containsMixedTypes="1" containsNumber="1" minValue="5" maxValue="10"/>
    </cacheField>
    <cacheField name="S8" numFmtId="0">
      <sharedItems containsMixedTypes="1" containsNumber="1" minValue="2.5" maxValue="2.5"/>
    </cacheField>
    <cacheField name="S9" numFmtId="0">
      <sharedItems containsMixedTypes="1" containsNumber="1" minValue="3.75" maxValue="3.75"/>
    </cacheField>
    <cacheField name="S10" numFmtId="0">
      <sharedItems containsMixedTypes="1" containsNumber="1" containsInteger="1" minValue="5" maxValue="5"/>
    </cacheField>
    <cacheField name="S11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x v="0"/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x v="0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0"/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x v="0"/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x v="0"/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x v="0"/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0"/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x v="0"/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x v="0"/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x v="0"/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0"/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x v="0"/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x v="0"/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1"/>
    <s v="QA"/>
    <x v="0"/>
    <n v="3"/>
    <n v="1"/>
    <n v="4"/>
    <m/>
    <m/>
    <m/>
    <m/>
    <m/>
    <m/>
    <m/>
    <m/>
    <n v="7.5"/>
    <n v="2.5"/>
    <n v="10"/>
    <s v=""/>
    <s v=""/>
    <s v=""/>
    <s v=""/>
    <s v=""/>
    <s v=""/>
    <s v=""/>
    <s v=""/>
  </r>
  <r>
    <x v="1"/>
    <s v="Store"/>
    <x v="0"/>
    <m/>
    <m/>
    <m/>
    <n v="4"/>
    <n v="4"/>
    <n v="2"/>
    <m/>
    <m/>
    <m/>
    <m/>
    <m/>
    <s v=""/>
    <s v=""/>
    <s v=""/>
    <n v="10"/>
    <n v="10"/>
    <n v="5"/>
    <s v=""/>
    <s v=""/>
    <s v=""/>
    <s v=""/>
    <s v=""/>
  </r>
  <r>
    <x v="1"/>
    <s v="Buyer"/>
    <x v="0"/>
    <m/>
    <m/>
    <m/>
    <m/>
    <m/>
    <m/>
    <n v="4"/>
    <n v="4"/>
    <m/>
    <m/>
    <m/>
    <s v=""/>
    <s v=""/>
    <s v=""/>
    <s v=""/>
    <s v=""/>
    <s v=""/>
    <n v="10"/>
    <n v="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0"/>
    <n v="1"/>
    <n v="2"/>
    <n v="2"/>
    <m/>
    <m/>
    <m/>
    <m/>
    <m/>
    <m/>
    <m/>
    <m/>
    <n v="2.5"/>
    <n v="5"/>
    <n v="5"/>
    <s v=""/>
    <s v=""/>
    <s v=""/>
    <s v=""/>
    <s v=""/>
    <s v=""/>
    <s v=""/>
    <s v=""/>
  </r>
  <r>
    <x v="1"/>
    <s v="Store"/>
    <x v="0"/>
    <m/>
    <m/>
    <m/>
    <n v="2"/>
    <n v="3"/>
    <n v="2"/>
    <m/>
    <m/>
    <m/>
    <m/>
    <m/>
    <s v=""/>
    <s v=""/>
    <s v=""/>
    <n v="5"/>
    <n v="7.5"/>
    <n v="5"/>
    <s v=""/>
    <s v=""/>
    <s v=""/>
    <s v=""/>
    <s v=""/>
  </r>
  <r>
    <x v="1"/>
    <s v="Buyer"/>
    <x v="0"/>
    <m/>
    <m/>
    <m/>
    <m/>
    <m/>
    <m/>
    <n v="1"/>
    <n v="2"/>
    <m/>
    <m/>
    <m/>
    <s v=""/>
    <s v=""/>
    <s v=""/>
    <s v=""/>
    <s v=""/>
    <s v=""/>
    <n v="2.5"/>
    <n v="2.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1"/>
    <n v="4"/>
    <n v="1"/>
    <n v="3"/>
    <m/>
    <m/>
    <m/>
    <m/>
    <m/>
    <m/>
    <m/>
    <m/>
    <n v="10"/>
    <n v="2.5"/>
    <n v="7.5"/>
    <s v=""/>
    <s v=""/>
    <s v=""/>
    <s v=""/>
    <s v=""/>
    <s v=""/>
    <s v=""/>
    <s v=""/>
  </r>
  <r>
    <x v="1"/>
    <s v="Store"/>
    <x v="1"/>
    <m/>
    <m/>
    <m/>
    <n v="1"/>
    <n v="1"/>
    <n v="3"/>
    <m/>
    <m/>
    <m/>
    <m/>
    <m/>
    <s v=""/>
    <s v=""/>
    <s v=""/>
    <n v="2.5"/>
    <n v="2.5"/>
    <n v="7.5"/>
    <s v=""/>
    <s v=""/>
    <s v=""/>
    <s v=""/>
    <s v=""/>
  </r>
  <r>
    <x v="1"/>
    <s v="Buyer"/>
    <x v="1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1"/>
    <m/>
    <m/>
    <m/>
    <m/>
    <m/>
    <m/>
    <m/>
    <m/>
    <n v="1"/>
    <n v="1"/>
    <n v="2"/>
    <s v=""/>
    <s v=""/>
    <s v=""/>
    <s v=""/>
    <s v=""/>
    <s v=""/>
    <s v=""/>
    <s v=""/>
    <n v="1.25"/>
    <n v="1.25"/>
    <n v="7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x v="0"/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x v="0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0"/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x v="0"/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x v="0"/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x v="0"/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0"/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x v="0"/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x v="0"/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x v="0"/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0"/>
    <s v="QA"/>
    <x v="1"/>
    <n v="4"/>
    <n v="4"/>
    <n v="3"/>
    <m/>
    <m/>
    <m/>
    <m/>
    <m/>
    <m/>
    <m/>
    <m/>
    <n v="10"/>
    <n v="10"/>
    <n v="7.5"/>
    <s v=""/>
    <s v=""/>
    <s v=""/>
    <s v=""/>
    <s v=""/>
    <s v=""/>
    <s v=""/>
    <s v=""/>
  </r>
  <r>
    <x v="0"/>
    <s v="Store"/>
    <x v="1"/>
    <m/>
    <m/>
    <m/>
    <n v="2"/>
    <n v="2"/>
    <n v="4"/>
    <m/>
    <m/>
    <m/>
    <m/>
    <m/>
    <s v=""/>
    <s v=""/>
    <s v=""/>
    <n v="5"/>
    <n v="5"/>
    <n v="10"/>
    <s v=""/>
    <s v=""/>
    <s v=""/>
    <s v=""/>
    <s v=""/>
  </r>
  <r>
    <x v="0"/>
    <s v="Buyer"/>
    <x v="1"/>
    <m/>
    <m/>
    <m/>
    <m/>
    <m/>
    <m/>
    <n v="3"/>
    <n v="1"/>
    <m/>
    <m/>
    <m/>
    <s v=""/>
    <s v=""/>
    <s v=""/>
    <s v=""/>
    <s v=""/>
    <s v=""/>
    <n v="7.5"/>
    <n v="1.25"/>
    <s v=""/>
    <s v=""/>
    <s v=""/>
  </r>
  <r>
    <x v="0"/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x v="1"/>
    <s v="QA"/>
    <x v="0"/>
    <n v="3"/>
    <n v="1"/>
    <n v="4"/>
    <m/>
    <m/>
    <m/>
    <m/>
    <m/>
    <m/>
    <m/>
    <m/>
    <n v="7.5"/>
    <n v="2.5"/>
    <n v="10"/>
    <s v=""/>
    <s v=""/>
    <s v=""/>
    <s v=""/>
    <s v=""/>
    <s v=""/>
    <s v=""/>
    <s v=""/>
  </r>
  <r>
    <x v="1"/>
    <s v="Store"/>
    <x v="0"/>
    <m/>
    <m/>
    <m/>
    <n v="4"/>
    <n v="4"/>
    <n v="2"/>
    <m/>
    <m/>
    <m/>
    <m/>
    <m/>
    <s v=""/>
    <s v=""/>
    <s v=""/>
    <n v="10"/>
    <n v="10"/>
    <n v="5"/>
    <s v=""/>
    <s v=""/>
    <s v=""/>
    <s v=""/>
    <s v=""/>
  </r>
  <r>
    <x v="1"/>
    <s v="Buyer"/>
    <x v="0"/>
    <m/>
    <m/>
    <m/>
    <m/>
    <m/>
    <m/>
    <n v="4"/>
    <n v="4"/>
    <m/>
    <m/>
    <m/>
    <s v=""/>
    <s v=""/>
    <s v=""/>
    <s v=""/>
    <s v=""/>
    <s v=""/>
    <n v="10"/>
    <n v="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0"/>
    <n v="1"/>
    <n v="2"/>
    <n v="2"/>
    <m/>
    <m/>
    <m/>
    <m/>
    <m/>
    <m/>
    <m/>
    <m/>
    <n v="2.5"/>
    <n v="5"/>
    <n v="5"/>
    <s v=""/>
    <s v=""/>
    <s v=""/>
    <s v=""/>
    <s v=""/>
    <s v=""/>
    <s v=""/>
    <s v=""/>
  </r>
  <r>
    <x v="1"/>
    <s v="Store"/>
    <x v="0"/>
    <m/>
    <m/>
    <m/>
    <n v="2"/>
    <n v="3"/>
    <n v="2"/>
    <m/>
    <m/>
    <m/>
    <m/>
    <m/>
    <s v=""/>
    <s v=""/>
    <s v=""/>
    <n v="5"/>
    <n v="7.5"/>
    <n v="5"/>
    <s v=""/>
    <s v=""/>
    <s v=""/>
    <s v=""/>
    <s v=""/>
  </r>
  <r>
    <x v="1"/>
    <s v="Buyer"/>
    <x v="0"/>
    <m/>
    <m/>
    <m/>
    <m/>
    <m/>
    <m/>
    <n v="1"/>
    <n v="2"/>
    <m/>
    <m/>
    <m/>
    <s v=""/>
    <s v=""/>
    <s v=""/>
    <s v=""/>
    <s v=""/>
    <s v=""/>
    <n v="2.5"/>
    <n v="2.5"/>
    <s v=""/>
    <s v=""/>
    <s v=""/>
  </r>
  <r>
    <x v="1"/>
    <s v="Packaging"/>
    <x v="0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  <r>
    <x v="1"/>
    <s v="QA"/>
    <x v="1"/>
    <n v="4"/>
    <n v="1"/>
    <n v="3"/>
    <m/>
    <m/>
    <m/>
    <m/>
    <m/>
    <m/>
    <m/>
    <m/>
    <n v="10"/>
    <n v="2.5"/>
    <n v="7.5"/>
    <s v=""/>
    <s v=""/>
    <s v=""/>
    <s v=""/>
    <s v=""/>
    <s v=""/>
    <s v=""/>
    <s v=""/>
  </r>
  <r>
    <x v="1"/>
    <s v="Store"/>
    <x v="1"/>
    <m/>
    <m/>
    <m/>
    <n v="1"/>
    <n v="1"/>
    <n v="3"/>
    <m/>
    <m/>
    <m/>
    <m/>
    <m/>
    <s v=""/>
    <s v=""/>
    <s v=""/>
    <n v="2.5"/>
    <n v="2.5"/>
    <n v="7.5"/>
    <s v=""/>
    <s v=""/>
    <s v=""/>
    <s v=""/>
    <s v=""/>
  </r>
  <r>
    <x v="1"/>
    <s v="Buyer"/>
    <x v="1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1"/>
    <m/>
    <m/>
    <m/>
    <m/>
    <m/>
    <m/>
    <m/>
    <m/>
    <n v="1"/>
    <n v="1"/>
    <n v="2"/>
    <s v=""/>
    <s v=""/>
    <s v=""/>
    <s v=""/>
    <s v=""/>
    <s v=""/>
    <s v=""/>
    <s v=""/>
    <n v="1.25"/>
    <n v="1.25"/>
    <n v="7.5"/>
  </r>
  <r>
    <x v="1"/>
    <s v="QA"/>
    <x v="0"/>
    <n v="4"/>
    <n v="2"/>
    <n v="4"/>
    <m/>
    <m/>
    <m/>
    <m/>
    <m/>
    <m/>
    <m/>
    <m/>
    <n v="10"/>
    <n v="5"/>
    <n v="10"/>
    <s v=""/>
    <s v=""/>
    <s v=""/>
    <s v=""/>
    <s v=""/>
    <s v=""/>
    <s v=""/>
    <s v=""/>
  </r>
  <r>
    <x v="1"/>
    <s v="Store"/>
    <x v="0"/>
    <m/>
    <m/>
    <m/>
    <n v="2"/>
    <n v="3"/>
    <n v="1"/>
    <m/>
    <m/>
    <m/>
    <m/>
    <m/>
    <s v=""/>
    <s v=""/>
    <s v=""/>
    <n v="5"/>
    <n v="7.5"/>
    <n v="2.5"/>
    <s v=""/>
    <s v=""/>
    <s v=""/>
    <s v=""/>
    <s v=""/>
  </r>
  <r>
    <x v="1"/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x v="1"/>
    <s v="Packaging"/>
    <x v="0"/>
    <m/>
    <m/>
    <m/>
    <m/>
    <m/>
    <m/>
    <m/>
    <m/>
    <n v="4"/>
    <s v="-"/>
    <s v="-"/>
    <s v=""/>
    <s v=""/>
    <s v=""/>
    <s v=""/>
    <s v=""/>
    <s v=""/>
    <s v=""/>
    <s v=""/>
    <n v="5"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QA"/>
    <x v="0"/>
    <n v="4"/>
    <n v="4"/>
    <n v="2"/>
    <m/>
    <m/>
    <m/>
    <m/>
    <m/>
    <m/>
    <m/>
    <m/>
    <n v="10"/>
    <n v="10"/>
    <n v="5"/>
    <s v=""/>
    <s v=""/>
    <s v=""/>
    <s v=""/>
    <s v=""/>
    <s v=""/>
    <s v=""/>
    <s v=""/>
  </r>
  <r>
    <s v="Store"/>
    <x v="0"/>
    <m/>
    <m/>
    <m/>
    <n v="3"/>
    <n v="3"/>
    <n v="1"/>
    <m/>
    <m/>
    <m/>
    <m/>
    <m/>
    <s v=""/>
    <s v=""/>
    <s v=""/>
    <n v="7.5"/>
    <n v="7.5"/>
    <n v="2.5"/>
    <s v=""/>
    <s v=""/>
    <s v=""/>
    <s v=""/>
    <s v=""/>
  </r>
  <r>
    <s v="Buyer"/>
    <x v="0"/>
    <m/>
    <m/>
    <m/>
    <m/>
    <m/>
    <m/>
    <n v="2"/>
    <n v="2"/>
    <m/>
    <m/>
    <m/>
    <s v=""/>
    <s v=""/>
    <s v=""/>
    <s v=""/>
    <s v=""/>
    <s v=""/>
    <n v="5"/>
    <n v="2.5"/>
    <s v=""/>
    <s v=""/>
    <s v=""/>
  </r>
  <r>
    <s v="Packaging"/>
    <x v="0"/>
    <m/>
    <m/>
    <m/>
    <m/>
    <m/>
    <m/>
    <m/>
    <m/>
    <n v="3"/>
    <n v="4"/>
    <n v="4"/>
    <s v=""/>
    <s v=""/>
    <s v=""/>
    <s v=""/>
    <s v=""/>
    <s v=""/>
    <s v=""/>
    <s v=""/>
    <n v="3.75"/>
    <n v="5"/>
    <n v="15"/>
  </r>
  <r>
    <s v="QA"/>
    <x v="1"/>
    <n v="3"/>
    <n v="2"/>
    <n v="2"/>
    <m/>
    <m/>
    <m/>
    <m/>
    <m/>
    <m/>
    <m/>
    <m/>
    <n v="7.5"/>
    <n v="5"/>
    <n v="5"/>
    <s v=""/>
    <s v=""/>
    <s v=""/>
    <s v=""/>
    <s v=""/>
    <s v=""/>
    <s v=""/>
    <s v=""/>
  </r>
  <r>
    <s v="Store"/>
    <x v="1"/>
    <m/>
    <m/>
    <m/>
    <n v="4"/>
    <n v="4"/>
    <n v="1"/>
    <m/>
    <m/>
    <m/>
    <m/>
    <m/>
    <s v=""/>
    <s v=""/>
    <s v=""/>
    <n v="10"/>
    <n v="10"/>
    <n v="2.5"/>
    <s v=""/>
    <s v=""/>
    <s v=""/>
    <s v=""/>
    <s v=""/>
  </r>
  <r>
    <s v="Buyer"/>
    <x v="1"/>
    <m/>
    <m/>
    <m/>
    <m/>
    <m/>
    <m/>
    <n v="4"/>
    <n v="2"/>
    <m/>
    <m/>
    <m/>
    <s v=""/>
    <s v=""/>
    <s v=""/>
    <s v=""/>
    <s v=""/>
    <s v=""/>
    <n v="10"/>
    <n v="2.5"/>
    <s v=""/>
    <s v=""/>
    <s v=""/>
  </r>
  <r>
    <s v="Packaging"/>
    <x v="1"/>
    <m/>
    <m/>
    <m/>
    <m/>
    <m/>
    <m/>
    <m/>
    <m/>
    <m/>
    <m/>
    <m/>
    <s v=""/>
    <s v=""/>
    <s v=""/>
    <s v=""/>
    <s v=""/>
    <s v=""/>
    <s v=""/>
    <s v=""/>
    <s v=""/>
    <s v=""/>
    <s v=""/>
  </r>
  <r>
    <s v="QA"/>
    <x v="1"/>
    <n v="2"/>
    <n v="4"/>
    <n v="1"/>
    <m/>
    <m/>
    <m/>
    <m/>
    <m/>
    <m/>
    <m/>
    <m/>
    <n v="5"/>
    <n v="10"/>
    <n v="2.5"/>
    <s v=""/>
    <s v=""/>
    <s v=""/>
    <s v=""/>
    <s v=""/>
    <s v=""/>
    <s v=""/>
    <s v=""/>
  </r>
  <r>
    <s v="Store"/>
    <x v="1"/>
    <m/>
    <m/>
    <m/>
    <n v="3"/>
    <n v="4"/>
    <n v="2"/>
    <m/>
    <m/>
    <m/>
    <m/>
    <m/>
    <s v=""/>
    <s v=""/>
    <s v=""/>
    <n v="7.5"/>
    <n v="10"/>
    <n v="5"/>
    <s v=""/>
    <s v=""/>
    <s v=""/>
    <s v=""/>
    <s v=""/>
  </r>
  <r>
    <s v="Buyer"/>
    <x v="1"/>
    <m/>
    <m/>
    <m/>
    <m/>
    <m/>
    <m/>
    <n v="3"/>
    <n v="2"/>
    <m/>
    <m/>
    <m/>
    <s v=""/>
    <s v=""/>
    <s v=""/>
    <s v=""/>
    <s v=""/>
    <s v=""/>
    <n v="7.5"/>
    <n v="2.5"/>
    <s v=""/>
    <s v=""/>
    <s v=""/>
  </r>
  <r>
    <s v="Packaging"/>
    <x v="1"/>
    <m/>
    <m/>
    <m/>
    <m/>
    <m/>
    <m/>
    <m/>
    <m/>
    <s v="-"/>
    <s v="-"/>
    <s v="-"/>
    <s v=""/>
    <s v="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F8D24-2291-477E-84E9-F438D1F7C99B}" name="PivotTable13" cacheId="46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53:AZ56" firstHeaderRow="0" firstDataRow="1" firstDataCol="1" rowPageCount="1" colPageCount="1"/>
  <pivotFields count="25">
    <pivotField axis="axisPage" multipleItemSelectionAllowed="1" showAll="0">
      <items count="3">
        <item h="1" x="1"/>
        <item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1" baseItem="0"/>
    <dataField name="Q.11" fld="13" subtotal="average" baseField="1" baseItem="2"/>
    <dataField name="S.1" fld="14" subtotal="average" baseField="1" baseItem="0"/>
    <dataField name="S.2" fld="15" subtotal="average" baseField="1" baseItem="0"/>
    <dataField name="S.3" fld="16" subtotal="average" baseField="1" baseItem="0"/>
    <dataField name="S.4" fld="17" subtotal="average" baseField="1" baseItem="0"/>
    <dataField name="S.5" fld="18" subtotal="average" baseField="1" baseItem="0"/>
    <dataField name="S.6" fld="19" subtotal="average" baseField="1" baseItem="0"/>
    <dataField name="S.7" fld="20" subtotal="average" baseField="1" baseItem="0"/>
    <dataField name="S.8" fld="21" subtotal="average" baseField="1" baseItem="0"/>
    <dataField name="S.9" fld="22" subtotal="average" baseField="1" baseItem="0"/>
    <dataField name="S.10" fld="23" subtotal="average" baseField="1" baseItem="0"/>
    <dataField name="S.11" fld="24" subtotal="average" baseField="1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0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76E12-8B64-4099-9BCD-0777B85A12FA}" name="PivotTable12" cacheId="45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28:AZ31" firstHeaderRow="0" firstDataRow="1" firstDataCol="1"/>
  <pivotFields count="24"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Q.1" fld="2" subtotal="average" baseField="1" baseItem="0"/>
    <dataField name="Q.2" fld="3" subtotal="average" baseField="1" baseItem="0"/>
    <dataField name="Q.3" fld="4" subtotal="average" baseField="1" baseItem="0"/>
    <dataField name="Q.4" fld="5" subtotal="average" baseField="1" baseItem="0"/>
    <dataField name="Q.5" fld="6" subtotal="average" baseField="1" baseItem="0"/>
    <dataField name="Q.6" fld="7" subtotal="average" baseField="1" baseItem="0"/>
    <dataField name="Q.7" fld="8" subtotal="average" baseField="1" baseItem="0"/>
    <dataField name="Q.8" fld="9" subtotal="average" baseField="1" baseItem="0"/>
    <dataField name="Q.9" fld="10" subtotal="average" baseField="1" baseItem="0"/>
    <dataField name="Q.10" fld="11" subtotal="average" baseField="1" baseItem="0"/>
    <dataField name="Q.11" fld="12" subtotal="average" baseField="1" baseItem="2"/>
    <dataField name="S.1" fld="13" subtotal="average" baseField="1" baseItem="0"/>
    <dataField name="S.2" fld="14" subtotal="average" baseField="1" baseItem="0"/>
    <dataField name="S.3" fld="15" subtotal="average" baseField="1" baseItem="0"/>
    <dataField name="S.4" fld="16" subtotal="average" baseField="1" baseItem="0"/>
    <dataField name="S.5" fld="17" subtotal="average" baseField="1" baseItem="0"/>
    <dataField name="S.6" fld="18" subtotal="average" baseField="1" baseItem="0"/>
    <dataField name="S.7" fld="19" subtotal="average" baseField="1" baseItem="0"/>
    <dataField name="S.8" fld="20" subtotal="average" baseField="1" baseItem="0"/>
    <dataField name="S.9" fld="21" subtotal="average" baseField="1" baseItem="0"/>
    <dataField name="S.10" fld="22" subtotal="average" baseField="1" baseItem="0"/>
    <dataField name="S.11" fld="23" subtotal="average" baseField="1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E0151-6E9A-4653-BEF9-48134736F2E5}" name="PivotTable9" cacheId="48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6:AZ9" firstHeaderRow="0" firstDataRow="1" firstDataCol="1"/>
  <pivotFields count="24">
    <pivotField showAll="0"/>
    <pivotField axis="axisRow" showAll="0" sortType="ascending">
      <items count="5">
        <item m="1" x="2"/>
        <item m="1" x="3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 v="2"/>
    </i>
    <i>
      <x v="3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Q.1" fld="2" subtotal="average" baseField="1" baseItem="0"/>
    <dataField name="Q.2" fld="3" subtotal="average" baseField="1" baseItem="0"/>
    <dataField name="Q.3" fld="4" subtotal="average" baseField="1" baseItem="0"/>
    <dataField name="Q.4" fld="5" subtotal="average" baseField="1" baseItem="0"/>
    <dataField name="Q.5" fld="6" subtotal="average" baseField="1" baseItem="0"/>
    <dataField name="Q.6" fld="7" subtotal="average" baseField="1" baseItem="0"/>
    <dataField name="Q.7" fld="8" subtotal="average" baseField="1" baseItem="0"/>
    <dataField name="Q.8" fld="9" subtotal="average" baseField="1" baseItem="0"/>
    <dataField name="Q.9" fld="10" subtotal="average" baseField="1" baseItem="0"/>
    <dataField name="Q.10" fld="11" subtotal="average" baseField="1" baseItem="0"/>
    <dataField name="Q.11" fld="12" subtotal="average" baseField="1" baseItem="2"/>
    <dataField name="S.1" fld="13" subtotal="average" baseField="1" baseItem="0"/>
    <dataField name="S.2" fld="14" subtotal="average" baseField="1" baseItem="0"/>
    <dataField name="S.3" fld="15" subtotal="average" baseField="1" baseItem="0"/>
    <dataField name="S.4" fld="16" subtotal="average" baseField="1" baseItem="0"/>
    <dataField name="S.5" fld="17" subtotal="average" baseField="1" baseItem="0"/>
    <dataField name="S.6" fld="18" subtotal="average" baseField="1" baseItem="0"/>
    <dataField name="S.7" fld="19" subtotal="average" baseField="1" baseItem="0"/>
    <dataField name="S.8" fld="20" subtotal="average" baseField="1" baseItem="0"/>
    <dataField name="S.9" fld="21" subtotal="average" baseField="1" baseItem="0"/>
    <dataField name="S.10" fld="22" subtotal="average" baseField="1" baseItem="0"/>
    <dataField name="S.11" fld="23" subtotal="average" baseField="1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DC85D-E138-463B-8A4D-357D98B68177}" name="PivotTable6" cacheId="47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AD89:AZ92" firstHeaderRow="0" firstDataRow="1" firstDataCol="1" rowPageCount="1" colPageCount="1"/>
  <pivotFields count="25">
    <pivotField axis="axisPage" multipleItemSelectionAllowed="1" showAll="0">
      <items count="3">
        <item x="1"/>
        <item h="1"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1" baseItem="0"/>
    <dataField name="Q.11" fld="13" subtotal="average" baseField="1" baseItem="2"/>
    <dataField name="S.1" fld="14" subtotal="average" baseField="1" baseItem="0"/>
    <dataField name="S.2" fld="15" subtotal="average" baseField="1" baseItem="0"/>
    <dataField name="S.3" fld="16" subtotal="average" baseField="1" baseItem="0"/>
    <dataField name="S.4" fld="17" subtotal="average" baseField="1" baseItem="0"/>
    <dataField name="S.5" fld="18" subtotal="average" baseField="1" baseItem="0"/>
    <dataField name="S.6" fld="19" subtotal="average" baseField="1" baseItem="0"/>
    <dataField name="S.7" fld="20" subtotal="average" baseField="1" baseItem="0"/>
    <dataField name="S.8" fld="21" subtotal="average" baseField="1" baseItem="0"/>
    <dataField name="S.9" fld="22" subtotal="average" baseField="1" baseItem="0"/>
    <dataField name="S.10" fld="23" subtotal="average" baseField="1" baseItem="0"/>
    <dataField name="S.11" fld="24" subtotal="average" baseField="1" baseItem="0"/>
  </dataFields>
  <formats count="7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9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85DE-4CDD-4670-A731-EB2E0602A694}">
  <sheetPr>
    <tabColor rgb="FFC00000"/>
  </sheetPr>
  <dimension ref="A1:BD187"/>
  <sheetViews>
    <sheetView tabSelected="1" topLeftCell="A122" zoomScale="25" zoomScaleNormal="25" workbookViewId="0">
      <selection activeCell="Y142" sqref="Y142"/>
    </sheetView>
  </sheetViews>
  <sheetFormatPr defaultRowHeight="14" x14ac:dyDescent="0.3"/>
  <cols>
    <col min="1" max="1" width="18.83203125" style="1" customWidth="1"/>
    <col min="2" max="2" width="16.08203125" style="1" customWidth="1"/>
    <col min="3" max="3" width="9.75" style="1" customWidth="1"/>
    <col min="4" max="5" width="8.6640625" style="1"/>
    <col min="6" max="6" width="17.25" style="1" customWidth="1"/>
    <col min="7" max="7" width="29.5" style="1" bestFit="1" customWidth="1"/>
    <col min="8" max="8" width="11.9140625" style="1" customWidth="1"/>
    <col min="9" max="9" width="3.33203125" style="1" bestFit="1" customWidth="1"/>
    <col min="10" max="12" width="5.08203125" style="1" bestFit="1" customWidth="1"/>
    <col min="13" max="14" width="5.58203125" style="1" bestFit="1" customWidth="1"/>
    <col min="15" max="17" width="8.9140625" style="1" bestFit="1" customWidth="1"/>
    <col min="18" max="20" width="5.08203125" style="1" bestFit="1" customWidth="1"/>
    <col min="21" max="25" width="12" style="1" bestFit="1" customWidth="1"/>
    <col min="26" max="29" width="8.9140625" style="1" bestFit="1" customWidth="1"/>
    <col min="30" max="30" width="6.33203125" style="1" customWidth="1"/>
    <col min="31" max="31" width="8.5" style="1" bestFit="1" customWidth="1"/>
    <col min="32" max="39" width="7" style="1" bestFit="1" customWidth="1"/>
    <col min="40" max="41" width="7.08203125" style="1" bestFit="1" customWidth="1"/>
    <col min="42" max="51" width="7" style="1" bestFit="1" customWidth="1"/>
    <col min="52" max="52" width="8.9140625" style="1" bestFit="1" customWidth="1"/>
    <col min="53" max="53" width="15.08203125" style="1" bestFit="1" customWidth="1"/>
    <col min="54" max="54" width="8.6640625" style="1"/>
    <col min="55" max="55" width="0" style="1" hidden="1" customWidth="1"/>
    <col min="56" max="16384" width="8.6640625" style="1"/>
  </cols>
  <sheetData>
    <row r="1" spans="1:56" x14ac:dyDescent="0.3">
      <c r="A1" s="1" t="s">
        <v>0</v>
      </c>
    </row>
    <row r="3" spans="1:56" x14ac:dyDescent="0.3">
      <c r="A3" s="1" t="s">
        <v>1</v>
      </c>
      <c r="G3" s="2" t="s">
        <v>2</v>
      </c>
      <c r="H3" s="2" t="s">
        <v>2</v>
      </c>
      <c r="I3" s="2" t="s">
        <v>2</v>
      </c>
      <c r="J3" s="3" t="s">
        <v>3</v>
      </c>
      <c r="K3" s="3" t="s">
        <v>3</v>
      </c>
      <c r="L3" s="3" t="s">
        <v>3</v>
      </c>
      <c r="M3" s="4" t="s">
        <v>4</v>
      </c>
      <c r="N3" s="4" t="s">
        <v>4</v>
      </c>
      <c r="O3" s="5" t="s">
        <v>5</v>
      </c>
      <c r="P3" s="5" t="s">
        <v>5</v>
      </c>
      <c r="Q3" s="5" t="s">
        <v>5</v>
      </c>
      <c r="R3" s="2" t="s">
        <v>2</v>
      </c>
      <c r="S3" s="2" t="s">
        <v>2</v>
      </c>
      <c r="T3" s="2" t="s">
        <v>2</v>
      </c>
      <c r="U3" s="3" t="s">
        <v>3</v>
      </c>
      <c r="V3" s="3" t="s">
        <v>3</v>
      </c>
      <c r="W3" s="3" t="s">
        <v>3</v>
      </c>
      <c r="X3" s="4" t="s">
        <v>4</v>
      </c>
      <c r="Y3" s="4" t="s">
        <v>4</v>
      </c>
      <c r="Z3" s="5" t="s">
        <v>5</v>
      </c>
      <c r="AA3" s="5" t="s">
        <v>5</v>
      </c>
      <c r="AB3" s="5" t="s">
        <v>5</v>
      </c>
      <c r="AE3" s="2" t="s">
        <v>2</v>
      </c>
      <c r="AF3" s="2" t="s">
        <v>2</v>
      </c>
      <c r="AG3" s="2" t="s">
        <v>2</v>
      </c>
      <c r="AH3" s="3" t="s">
        <v>3</v>
      </c>
      <c r="AI3" s="3" t="s">
        <v>3</v>
      </c>
      <c r="AJ3" s="3" t="s">
        <v>3</v>
      </c>
      <c r="AK3" s="4" t="s">
        <v>4</v>
      </c>
      <c r="AL3" s="4" t="s">
        <v>4</v>
      </c>
      <c r="AM3" s="5" t="s">
        <v>5</v>
      </c>
      <c r="AN3" s="5" t="s">
        <v>5</v>
      </c>
      <c r="AO3" s="5" t="s">
        <v>5</v>
      </c>
      <c r="AP3" s="2" t="s">
        <v>2</v>
      </c>
      <c r="AQ3" s="2" t="s">
        <v>2</v>
      </c>
      <c r="AR3" s="2" t="s">
        <v>2</v>
      </c>
      <c r="AS3" s="3" t="s">
        <v>3</v>
      </c>
      <c r="AT3" s="3" t="s">
        <v>3</v>
      </c>
      <c r="AU3" s="3" t="s">
        <v>3</v>
      </c>
      <c r="AV3" s="4" t="s">
        <v>4</v>
      </c>
      <c r="AW3" s="4" t="s">
        <v>4</v>
      </c>
      <c r="AX3" s="5" t="s">
        <v>5</v>
      </c>
      <c r="AY3" s="5" t="s">
        <v>5</v>
      </c>
      <c r="AZ3" s="5" t="s">
        <v>5</v>
      </c>
    </row>
    <row r="4" spans="1:56" x14ac:dyDescent="0.3">
      <c r="E4" s="1" t="s">
        <v>6</v>
      </c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7"/>
      <c r="AA4" s="7"/>
      <c r="AB4" s="7"/>
    </row>
    <row r="5" spans="1:56" ht="14.5" thickBot="1" x14ac:dyDescent="0.35">
      <c r="G5" s="8">
        <v>10</v>
      </c>
      <c r="H5" s="8">
        <v>10</v>
      </c>
      <c r="I5" s="8">
        <v>10</v>
      </c>
      <c r="J5" s="8">
        <v>10</v>
      </c>
      <c r="K5" s="8">
        <v>10</v>
      </c>
      <c r="L5" s="8">
        <v>10</v>
      </c>
      <c r="M5" s="8">
        <v>10</v>
      </c>
      <c r="N5" s="8">
        <v>5</v>
      </c>
      <c r="O5" s="8">
        <v>5</v>
      </c>
      <c r="P5" s="8">
        <v>5</v>
      </c>
      <c r="Q5" s="8">
        <v>15</v>
      </c>
      <c r="R5" s="8">
        <v>10</v>
      </c>
      <c r="S5" s="8">
        <v>10</v>
      </c>
      <c r="T5" s="8">
        <v>10</v>
      </c>
      <c r="U5" s="8">
        <v>10</v>
      </c>
      <c r="V5" s="8">
        <v>10</v>
      </c>
      <c r="W5" s="8">
        <v>10</v>
      </c>
      <c r="X5" s="8">
        <v>10</v>
      </c>
      <c r="Y5" s="8">
        <v>5</v>
      </c>
      <c r="Z5" s="8">
        <v>5</v>
      </c>
      <c r="AA5" s="8">
        <v>5</v>
      </c>
      <c r="AB5" s="8">
        <v>15</v>
      </c>
      <c r="AE5" s="8">
        <v>10</v>
      </c>
      <c r="AF5" s="8">
        <v>10</v>
      </c>
      <c r="AG5" s="8">
        <v>10</v>
      </c>
      <c r="AH5" s="8">
        <v>10</v>
      </c>
      <c r="AI5" s="8">
        <v>10</v>
      </c>
      <c r="AJ5" s="8">
        <v>10</v>
      </c>
      <c r="AK5" s="8">
        <v>10</v>
      </c>
      <c r="AL5" s="8">
        <v>5</v>
      </c>
      <c r="AM5" s="8">
        <v>5</v>
      </c>
      <c r="AN5" s="8">
        <v>5</v>
      </c>
      <c r="AO5" s="8">
        <v>15</v>
      </c>
      <c r="AP5" s="8">
        <v>10</v>
      </c>
      <c r="AQ5" s="8">
        <v>10</v>
      </c>
      <c r="AR5" s="8">
        <v>10</v>
      </c>
      <c r="AS5" s="8">
        <v>10</v>
      </c>
      <c r="AT5" s="8">
        <v>10</v>
      </c>
      <c r="AU5" s="8">
        <v>10</v>
      </c>
      <c r="AV5" s="8">
        <v>10</v>
      </c>
      <c r="AW5" s="8">
        <v>5</v>
      </c>
      <c r="AX5" s="8">
        <v>5</v>
      </c>
      <c r="AY5" s="8">
        <v>5</v>
      </c>
      <c r="AZ5" s="8">
        <v>15</v>
      </c>
      <c r="BA5" s="8"/>
    </row>
    <row r="6" spans="1:56" ht="14.5" thickBot="1" x14ac:dyDescent="0.35">
      <c r="E6" s="9" t="s">
        <v>7</v>
      </c>
      <c r="F6" s="10" t="s">
        <v>8</v>
      </c>
      <c r="G6" s="11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3" t="s">
        <v>17</v>
      </c>
      <c r="P6" s="13" t="s">
        <v>18</v>
      </c>
      <c r="Q6" s="14" t="s">
        <v>19</v>
      </c>
      <c r="R6" s="15" t="s">
        <v>20</v>
      </c>
      <c r="S6" s="16" t="s">
        <v>21</v>
      </c>
      <c r="T6" s="16" t="s">
        <v>22</v>
      </c>
      <c r="U6" s="16" t="s">
        <v>23</v>
      </c>
      <c r="V6" s="16" t="s">
        <v>24</v>
      </c>
      <c r="W6" s="16" t="s">
        <v>25</v>
      </c>
      <c r="X6" s="16" t="s">
        <v>26</v>
      </c>
      <c r="Y6" s="16" t="s">
        <v>27</v>
      </c>
      <c r="Z6" s="17" t="s">
        <v>28</v>
      </c>
      <c r="AA6" s="17" t="s">
        <v>29</v>
      </c>
      <c r="AB6" s="18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19" t="s">
        <v>35</v>
      </c>
      <c r="AI6" s="19" t="s">
        <v>36</v>
      </c>
      <c r="AJ6" s="19" t="s">
        <v>37</v>
      </c>
      <c r="AK6" s="19" t="s">
        <v>38</v>
      </c>
      <c r="AL6" s="19" t="s">
        <v>39</v>
      </c>
      <c r="AM6" s="19" t="s">
        <v>40</v>
      </c>
      <c r="AN6" s="19" t="s">
        <v>41</v>
      </c>
      <c r="AO6" s="19" t="s">
        <v>42</v>
      </c>
      <c r="AP6" s="19" t="s">
        <v>43</v>
      </c>
      <c r="AQ6" s="19" t="s">
        <v>44</v>
      </c>
      <c r="AR6" s="19" t="s">
        <v>45</v>
      </c>
      <c r="AS6" s="19" t="s">
        <v>46</v>
      </c>
      <c r="AT6" s="19" t="s">
        <v>47</v>
      </c>
      <c r="AU6" s="19" t="s">
        <v>48</v>
      </c>
      <c r="AV6" s="19" t="s">
        <v>49</v>
      </c>
      <c r="AW6" s="19" t="s">
        <v>50</v>
      </c>
      <c r="AX6" s="19" t="s">
        <v>51</v>
      </c>
      <c r="AY6" s="19" t="s">
        <v>52</v>
      </c>
      <c r="AZ6" s="19" t="s">
        <v>53</v>
      </c>
      <c r="BA6" s="19" t="s">
        <v>54</v>
      </c>
      <c r="BB6" s="19" t="s">
        <v>55</v>
      </c>
    </row>
    <row r="7" spans="1:56" x14ac:dyDescent="0.3">
      <c r="A7" s="2" t="s">
        <v>2</v>
      </c>
      <c r="B7" s="2" t="s">
        <v>9</v>
      </c>
      <c r="E7" s="20" t="s">
        <v>2</v>
      </c>
      <c r="F7" s="21" t="s">
        <v>56</v>
      </c>
      <c r="G7" s="20">
        <v>4</v>
      </c>
      <c r="H7" s="22">
        <v>4</v>
      </c>
      <c r="I7" s="22">
        <v>2</v>
      </c>
      <c r="J7" s="22"/>
      <c r="K7" s="22"/>
      <c r="L7" s="22"/>
      <c r="M7" s="22"/>
      <c r="N7" s="22"/>
      <c r="O7" s="22"/>
      <c r="P7" s="22"/>
      <c r="Q7" s="22"/>
      <c r="R7" s="20">
        <f t="shared" ref="R7:AB18" si="0">IF(G7="-","",IF(G7/4*R$5=0, "",G7/4*R$5))</f>
        <v>10</v>
      </c>
      <c r="S7" s="22">
        <f t="shared" si="0"/>
        <v>10</v>
      </c>
      <c r="T7" s="22">
        <f t="shared" si="0"/>
        <v>5</v>
      </c>
      <c r="U7" s="22" t="str">
        <f t="shared" si="0"/>
        <v/>
      </c>
      <c r="V7" s="22" t="str">
        <f t="shared" si="0"/>
        <v/>
      </c>
      <c r="W7" s="22" t="str">
        <f t="shared" si="0"/>
        <v/>
      </c>
      <c r="X7" s="22" t="str">
        <f t="shared" si="0"/>
        <v/>
      </c>
      <c r="Y7" s="22" t="str">
        <f t="shared" si="0"/>
        <v/>
      </c>
      <c r="Z7" s="22" t="str">
        <f t="shared" si="0"/>
        <v/>
      </c>
      <c r="AA7" s="22" t="str">
        <f t="shared" si="0"/>
        <v/>
      </c>
      <c r="AB7" s="21" t="str">
        <f t="shared" si="0"/>
        <v/>
      </c>
      <c r="AD7" s="23" t="s">
        <v>57</v>
      </c>
      <c r="AE7" s="19">
        <v>2.5</v>
      </c>
      <c r="AF7" s="19">
        <v>3</v>
      </c>
      <c r="AG7" s="19">
        <v>1.5</v>
      </c>
      <c r="AH7" s="19">
        <v>3.5</v>
      </c>
      <c r="AI7" s="19">
        <v>4</v>
      </c>
      <c r="AJ7" s="19">
        <v>1.5</v>
      </c>
      <c r="AK7" s="19">
        <v>3.5</v>
      </c>
      <c r="AL7" s="19">
        <v>2</v>
      </c>
      <c r="AM7" s="19"/>
      <c r="AN7" s="19"/>
      <c r="AO7" s="19"/>
      <c r="AP7" s="19">
        <v>6.25</v>
      </c>
      <c r="AQ7" s="19">
        <v>7.5</v>
      </c>
      <c r="AR7" s="19">
        <v>3.75</v>
      </c>
      <c r="AS7" s="19">
        <v>8.75</v>
      </c>
      <c r="AT7" s="19">
        <v>10</v>
      </c>
      <c r="AU7" s="19">
        <v>3.75</v>
      </c>
      <c r="AV7" s="19">
        <v>8.75</v>
      </c>
      <c r="AW7" s="19">
        <v>2.5</v>
      </c>
      <c r="AX7" s="19"/>
      <c r="AY7" s="19"/>
      <c r="AZ7" s="19"/>
      <c r="BA7" s="19">
        <f>SUM(AE7:AO7)</f>
        <v>21.5</v>
      </c>
      <c r="BB7" s="19">
        <f>SUMIFS(AP7:AZ7, AP7:AZ7, "&lt;&gt;")/SUMIFS($AP$5:$AZ$5, AP7:AZ7, "&lt;&gt;")*100</f>
        <v>68.333333333333329</v>
      </c>
      <c r="BC7" s="19">
        <f>SUM(AP7:AW7)/SUM(AP5:AW5)*100</f>
        <v>68.333333333333329</v>
      </c>
      <c r="BD7" s="19"/>
    </row>
    <row r="8" spans="1:56" x14ac:dyDescent="0.3">
      <c r="A8" s="2" t="s">
        <v>2</v>
      </c>
      <c r="B8" s="2" t="s">
        <v>10</v>
      </c>
      <c r="E8" s="24" t="s">
        <v>3</v>
      </c>
      <c r="F8" s="25" t="s">
        <v>56</v>
      </c>
      <c r="G8" s="24"/>
      <c r="J8" s="1">
        <v>3</v>
      </c>
      <c r="K8" s="1">
        <v>3</v>
      </c>
      <c r="L8" s="1">
        <v>1</v>
      </c>
      <c r="R8" s="24" t="str">
        <f t="shared" si="0"/>
        <v/>
      </c>
      <c r="S8" s="1" t="str">
        <f t="shared" si="0"/>
        <v/>
      </c>
      <c r="T8" s="1" t="str">
        <f t="shared" si="0"/>
        <v/>
      </c>
      <c r="U8" s="1">
        <f t="shared" si="0"/>
        <v>7.5</v>
      </c>
      <c r="V8" s="1">
        <f t="shared" si="0"/>
        <v>7.5</v>
      </c>
      <c r="W8" s="1">
        <f t="shared" si="0"/>
        <v>2.5</v>
      </c>
      <c r="X8" s="1" t="str">
        <f t="shared" si="0"/>
        <v/>
      </c>
      <c r="Y8" s="1" t="str">
        <f t="shared" si="0"/>
        <v/>
      </c>
      <c r="Z8" s="1" t="str">
        <f t="shared" si="0"/>
        <v/>
      </c>
      <c r="AA8" s="1" t="str">
        <f t="shared" si="0"/>
        <v/>
      </c>
      <c r="AB8" s="25" t="str">
        <f t="shared" si="0"/>
        <v/>
      </c>
      <c r="AD8" s="23" t="s">
        <v>56</v>
      </c>
      <c r="AE8" s="19">
        <v>4</v>
      </c>
      <c r="AF8" s="19">
        <v>4</v>
      </c>
      <c r="AG8" s="19">
        <v>2</v>
      </c>
      <c r="AH8" s="19">
        <v>3</v>
      </c>
      <c r="AI8" s="19">
        <v>3</v>
      </c>
      <c r="AJ8" s="19">
        <v>1</v>
      </c>
      <c r="AK8" s="19">
        <v>2</v>
      </c>
      <c r="AL8" s="19">
        <v>2</v>
      </c>
      <c r="AM8" s="19">
        <v>3</v>
      </c>
      <c r="AN8" s="19">
        <v>4</v>
      </c>
      <c r="AO8" s="19">
        <v>4</v>
      </c>
      <c r="AP8" s="19">
        <v>10</v>
      </c>
      <c r="AQ8" s="19">
        <v>10</v>
      </c>
      <c r="AR8" s="19">
        <v>5</v>
      </c>
      <c r="AS8" s="19">
        <v>7.5</v>
      </c>
      <c r="AT8" s="19">
        <v>7.5</v>
      </c>
      <c r="AU8" s="19">
        <v>2.5</v>
      </c>
      <c r="AV8" s="19">
        <v>5</v>
      </c>
      <c r="AW8" s="19">
        <v>2.5</v>
      </c>
      <c r="AX8" s="19">
        <v>3.75</v>
      </c>
      <c r="AY8" s="19">
        <v>5</v>
      </c>
      <c r="AZ8" s="19">
        <v>15</v>
      </c>
      <c r="BA8" s="19">
        <f>SUM(AE8:AO8)</f>
        <v>32</v>
      </c>
      <c r="BB8" s="19">
        <f>SUMIFS(AP8:AZ8, AP8:AZ8, "&lt;&gt;")/SUMIFS($AP$5:$AZ$5, AP8:AZ8, "&lt;&gt;")*100</f>
        <v>73.75</v>
      </c>
    </row>
    <row r="9" spans="1:56" x14ac:dyDescent="0.3">
      <c r="A9" s="2" t="s">
        <v>2</v>
      </c>
      <c r="B9" s="2" t="s">
        <v>11</v>
      </c>
      <c r="E9" s="24" t="s">
        <v>4</v>
      </c>
      <c r="F9" s="25" t="s">
        <v>56</v>
      </c>
      <c r="G9" s="24"/>
      <c r="M9" s="1">
        <v>2</v>
      </c>
      <c r="N9" s="1">
        <v>2</v>
      </c>
      <c r="R9" s="24" t="str">
        <f t="shared" si="0"/>
        <v/>
      </c>
      <c r="S9" s="1" t="str">
        <f t="shared" si="0"/>
        <v/>
      </c>
      <c r="T9" s="1" t="str">
        <f t="shared" si="0"/>
        <v/>
      </c>
      <c r="U9" s="1" t="str">
        <f t="shared" si="0"/>
        <v/>
      </c>
      <c r="V9" s="1" t="str">
        <f t="shared" si="0"/>
        <v/>
      </c>
      <c r="W9" s="1" t="str">
        <f t="shared" si="0"/>
        <v/>
      </c>
      <c r="X9" s="1">
        <f t="shared" si="0"/>
        <v>5</v>
      </c>
      <c r="Y9" s="1">
        <f t="shared" si="0"/>
        <v>2.5</v>
      </c>
      <c r="Z9" s="1" t="str">
        <f t="shared" si="0"/>
        <v/>
      </c>
      <c r="AA9" s="1" t="str">
        <f t="shared" si="0"/>
        <v/>
      </c>
      <c r="AB9" s="25" t="str">
        <f t="shared" si="0"/>
        <v/>
      </c>
      <c r="AD9" s="23" t="s">
        <v>58</v>
      </c>
      <c r="AE9" s="19">
        <v>3</v>
      </c>
      <c r="AF9" s="19">
        <v>3.3333333333333335</v>
      </c>
      <c r="AG9" s="19">
        <v>1.6666666666666667</v>
      </c>
      <c r="AH9" s="19">
        <v>3.3333333333333335</v>
      </c>
      <c r="AI9" s="19">
        <v>3.6666666666666665</v>
      </c>
      <c r="AJ9" s="19">
        <v>1.3333333333333333</v>
      </c>
      <c r="AK9" s="19">
        <v>3</v>
      </c>
      <c r="AL9" s="19">
        <v>2</v>
      </c>
      <c r="AM9" s="19">
        <v>3</v>
      </c>
      <c r="AN9" s="19">
        <v>4</v>
      </c>
      <c r="AO9" s="19">
        <v>4</v>
      </c>
      <c r="AP9" s="19">
        <v>7.5</v>
      </c>
      <c r="AQ9" s="19">
        <v>8.3333333333333339</v>
      </c>
      <c r="AR9" s="19">
        <v>4.166666666666667</v>
      </c>
      <c r="AS9" s="19">
        <v>8.3333333333333339</v>
      </c>
      <c r="AT9" s="19">
        <v>9.1666666666666661</v>
      </c>
      <c r="AU9" s="19">
        <v>3.3333333333333335</v>
      </c>
      <c r="AV9" s="19">
        <v>7.5</v>
      </c>
      <c r="AW9" s="19">
        <v>2.5</v>
      </c>
      <c r="AX9" s="19">
        <v>3.75</v>
      </c>
      <c r="AY9" s="19">
        <v>5</v>
      </c>
      <c r="AZ9" s="19">
        <v>15</v>
      </c>
      <c r="BA9" s="19">
        <f>SUM(AE9:AO9)</f>
        <v>32.333333333333329</v>
      </c>
      <c r="BB9" s="19">
        <f>SUMIFS(AP9:AZ9, AP9:AZ9, "&lt;&gt;")/SUMIFS($AP$5:$AZ$5, AP9:AZ9, "&lt;&gt;")*100</f>
        <v>74.583333333333343</v>
      </c>
    </row>
    <row r="10" spans="1:56" ht="14.5" thickBot="1" x14ac:dyDescent="0.35">
      <c r="A10" s="3" t="s">
        <v>3</v>
      </c>
      <c r="B10" s="3" t="s">
        <v>12</v>
      </c>
      <c r="E10" s="26" t="s">
        <v>5</v>
      </c>
      <c r="F10" s="27" t="s">
        <v>56</v>
      </c>
      <c r="G10" s="26"/>
      <c r="H10" s="28"/>
      <c r="I10" s="28"/>
      <c r="J10" s="28"/>
      <c r="K10" s="28"/>
      <c r="L10" s="28"/>
      <c r="M10" s="28"/>
      <c r="N10" s="28"/>
      <c r="O10" s="28">
        <v>3</v>
      </c>
      <c r="P10" s="28">
        <v>4</v>
      </c>
      <c r="Q10" s="28">
        <v>4</v>
      </c>
      <c r="R10" s="26" t="str">
        <f t="shared" si="0"/>
        <v/>
      </c>
      <c r="S10" s="28" t="str">
        <f t="shared" si="0"/>
        <v/>
      </c>
      <c r="T10" s="28" t="str">
        <f t="shared" si="0"/>
        <v/>
      </c>
      <c r="U10" s="28" t="str">
        <f t="shared" si="0"/>
        <v/>
      </c>
      <c r="V10" s="28" t="str">
        <f t="shared" si="0"/>
        <v/>
      </c>
      <c r="W10" s="28" t="str">
        <f t="shared" si="0"/>
        <v/>
      </c>
      <c r="X10" s="28" t="str">
        <f t="shared" si="0"/>
        <v/>
      </c>
      <c r="Y10" s="28" t="str">
        <f t="shared" si="0"/>
        <v/>
      </c>
      <c r="Z10" s="28">
        <f t="shared" si="0"/>
        <v>3.75</v>
      </c>
      <c r="AA10" s="28">
        <f t="shared" si="0"/>
        <v>5</v>
      </c>
      <c r="AB10" s="27">
        <f t="shared" si="0"/>
        <v>15</v>
      </c>
      <c r="BB10" s="19"/>
    </row>
    <row r="11" spans="1:56" x14ac:dyDescent="0.3">
      <c r="A11" s="3" t="s">
        <v>3</v>
      </c>
      <c r="B11" s="3" t="s">
        <v>13</v>
      </c>
      <c r="E11" s="20" t="s">
        <v>2</v>
      </c>
      <c r="F11" s="21" t="s">
        <v>57</v>
      </c>
      <c r="G11" s="20">
        <v>3</v>
      </c>
      <c r="H11" s="22">
        <v>2</v>
      </c>
      <c r="I11" s="22">
        <v>2</v>
      </c>
      <c r="J11" s="22"/>
      <c r="K11" s="22"/>
      <c r="L11" s="22"/>
      <c r="M11" s="22"/>
      <c r="N11" s="22"/>
      <c r="O11" s="22"/>
      <c r="P11" s="22"/>
      <c r="Q11" s="22"/>
      <c r="R11" s="20">
        <f t="shared" si="0"/>
        <v>7.5</v>
      </c>
      <c r="S11" s="22">
        <f t="shared" si="0"/>
        <v>5</v>
      </c>
      <c r="T11" s="22">
        <f t="shared" si="0"/>
        <v>5</v>
      </c>
      <c r="U11" s="22" t="str">
        <f t="shared" si="0"/>
        <v/>
      </c>
      <c r="V11" s="22" t="str">
        <f t="shared" si="0"/>
        <v/>
      </c>
      <c r="W11" s="22" t="str">
        <f t="shared" si="0"/>
        <v/>
      </c>
      <c r="X11" s="22" t="str">
        <f t="shared" si="0"/>
        <v/>
      </c>
      <c r="Y11" s="22" t="str">
        <f t="shared" si="0"/>
        <v/>
      </c>
      <c r="Z11" s="22" t="str">
        <f t="shared" si="0"/>
        <v/>
      </c>
      <c r="AA11" s="22" t="str">
        <f t="shared" si="0"/>
        <v/>
      </c>
      <c r="AB11" s="21" t="str">
        <f t="shared" si="0"/>
        <v/>
      </c>
    </row>
    <row r="12" spans="1:56" x14ac:dyDescent="0.3">
      <c r="A12" s="3" t="s">
        <v>3</v>
      </c>
      <c r="B12" s="3" t="s">
        <v>14</v>
      </c>
      <c r="E12" s="24" t="s">
        <v>3</v>
      </c>
      <c r="F12" s="25" t="s">
        <v>57</v>
      </c>
      <c r="G12" s="24"/>
      <c r="J12" s="1">
        <v>4</v>
      </c>
      <c r="K12" s="1">
        <v>4</v>
      </c>
      <c r="L12" s="1">
        <v>1</v>
      </c>
      <c r="R12" s="24" t="str">
        <f t="shared" si="0"/>
        <v/>
      </c>
      <c r="S12" s="1" t="str">
        <f t="shared" si="0"/>
        <v/>
      </c>
      <c r="T12" s="1" t="str">
        <f t="shared" si="0"/>
        <v/>
      </c>
      <c r="U12" s="1">
        <f t="shared" si="0"/>
        <v>10</v>
      </c>
      <c r="V12" s="1">
        <f t="shared" si="0"/>
        <v>10</v>
      </c>
      <c r="W12" s="1">
        <f t="shared" si="0"/>
        <v>2.5</v>
      </c>
      <c r="X12" s="1" t="str">
        <f t="shared" si="0"/>
        <v/>
      </c>
      <c r="Y12" s="1" t="str">
        <f t="shared" si="0"/>
        <v/>
      </c>
      <c r="Z12" s="1" t="str">
        <f t="shared" si="0"/>
        <v/>
      </c>
      <c r="AA12" s="1" t="str">
        <f t="shared" si="0"/>
        <v/>
      </c>
      <c r="AB12" s="25" t="str">
        <f t="shared" si="0"/>
        <v/>
      </c>
    </row>
    <row r="13" spans="1:56" x14ac:dyDescent="0.3">
      <c r="A13" s="4" t="s">
        <v>4</v>
      </c>
      <c r="B13" s="4" t="s">
        <v>15</v>
      </c>
      <c r="E13" s="24" t="s">
        <v>4</v>
      </c>
      <c r="F13" s="25" t="s">
        <v>57</v>
      </c>
      <c r="G13" s="24"/>
      <c r="M13" s="1">
        <v>4</v>
      </c>
      <c r="N13" s="1">
        <v>2</v>
      </c>
      <c r="R13" s="24" t="str">
        <f t="shared" si="0"/>
        <v/>
      </c>
      <c r="S13" s="1" t="str">
        <f t="shared" si="0"/>
        <v/>
      </c>
      <c r="T13" s="1" t="str">
        <f t="shared" si="0"/>
        <v/>
      </c>
      <c r="U13" s="1" t="str">
        <f t="shared" si="0"/>
        <v/>
      </c>
      <c r="V13" s="1" t="str">
        <f t="shared" si="0"/>
        <v/>
      </c>
      <c r="W13" s="1" t="str">
        <f t="shared" si="0"/>
        <v/>
      </c>
      <c r="X13" s="1">
        <f t="shared" si="0"/>
        <v>10</v>
      </c>
      <c r="Y13" s="1">
        <f t="shared" si="0"/>
        <v>2.5</v>
      </c>
      <c r="Z13" s="1" t="str">
        <f t="shared" si="0"/>
        <v/>
      </c>
      <c r="AA13" s="1" t="str">
        <f t="shared" si="0"/>
        <v/>
      </c>
      <c r="AB13" s="25" t="str">
        <f t="shared" si="0"/>
        <v/>
      </c>
    </row>
    <row r="14" spans="1:56" ht="14.5" thickBot="1" x14ac:dyDescent="0.35">
      <c r="A14" s="4" t="s">
        <v>4</v>
      </c>
      <c r="B14" s="4" t="s">
        <v>16</v>
      </c>
      <c r="E14" s="26" t="s">
        <v>5</v>
      </c>
      <c r="F14" s="27" t="s">
        <v>57</v>
      </c>
      <c r="G14" s="26"/>
      <c r="H14" s="28"/>
      <c r="I14" s="28"/>
      <c r="J14" s="28"/>
      <c r="K14" s="28"/>
      <c r="L14" s="28"/>
      <c r="M14" s="28"/>
      <c r="N14" s="28"/>
      <c r="O14" s="28" t="s">
        <v>59</v>
      </c>
      <c r="P14" s="28" t="s">
        <v>59</v>
      </c>
      <c r="Q14" s="28" t="s">
        <v>59</v>
      </c>
      <c r="R14" s="26" t="str">
        <f t="shared" si="0"/>
        <v/>
      </c>
      <c r="S14" s="28" t="str">
        <f t="shared" si="0"/>
        <v/>
      </c>
      <c r="T14" s="28" t="str">
        <f t="shared" si="0"/>
        <v/>
      </c>
      <c r="U14" s="28" t="str">
        <f t="shared" si="0"/>
        <v/>
      </c>
      <c r="V14" s="28" t="str">
        <f t="shared" si="0"/>
        <v/>
      </c>
      <c r="W14" s="28" t="str">
        <f t="shared" si="0"/>
        <v/>
      </c>
      <c r="X14" s="28" t="str">
        <f t="shared" si="0"/>
        <v/>
      </c>
      <c r="Y14" s="28" t="str">
        <f t="shared" si="0"/>
        <v/>
      </c>
      <c r="Z14" s="28" t="str">
        <f t="shared" si="0"/>
        <v/>
      </c>
      <c r="AA14" s="28" t="str">
        <f t="shared" si="0"/>
        <v/>
      </c>
      <c r="AB14" s="27" t="str">
        <f t="shared" si="0"/>
        <v/>
      </c>
    </row>
    <row r="15" spans="1:56" x14ac:dyDescent="0.3">
      <c r="A15" s="5" t="s">
        <v>5</v>
      </c>
      <c r="B15" s="5" t="s">
        <v>17</v>
      </c>
      <c r="E15" s="20" t="s">
        <v>2</v>
      </c>
      <c r="F15" s="21" t="s">
        <v>57</v>
      </c>
      <c r="G15" s="20">
        <v>2</v>
      </c>
      <c r="H15" s="22">
        <v>4</v>
      </c>
      <c r="I15" s="22">
        <v>1</v>
      </c>
      <c r="J15" s="22"/>
      <c r="K15" s="22"/>
      <c r="L15" s="22"/>
      <c r="M15" s="22"/>
      <c r="N15" s="22"/>
      <c r="O15" s="22"/>
      <c r="P15" s="22"/>
      <c r="Q15" s="22"/>
      <c r="R15" s="20">
        <f t="shared" si="0"/>
        <v>5</v>
      </c>
      <c r="S15" s="22">
        <f t="shared" si="0"/>
        <v>10</v>
      </c>
      <c r="T15" s="22">
        <f t="shared" si="0"/>
        <v>2.5</v>
      </c>
      <c r="U15" s="22" t="str">
        <f t="shared" si="0"/>
        <v/>
      </c>
      <c r="V15" s="22" t="str">
        <f t="shared" si="0"/>
        <v/>
      </c>
      <c r="W15" s="22" t="str">
        <f t="shared" si="0"/>
        <v/>
      </c>
      <c r="X15" s="22" t="str">
        <f t="shared" si="0"/>
        <v/>
      </c>
      <c r="Y15" s="22" t="str">
        <f t="shared" si="0"/>
        <v/>
      </c>
      <c r="Z15" s="22" t="str">
        <f t="shared" si="0"/>
        <v/>
      </c>
      <c r="AA15" s="22" t="str">
        <f t="shared" si="0"/>
        <v/>
      </c>
      <c r="AB15" s="21" t="str">
        <f t="shared" si="0"/>
        <v/>
      </c>
      <c r="AP15" s="8"/>
      <c r="AQ15" s="8"/>
      <c r="AR15" s="8"/>
      <c r="AS15" s="8"/>
      <c r="AT15" s="8"/>
      <c r="AU15" s="8"/>
      <c r="AV15" s="8"/>
      <c r="AW15" s="8"/>
      <c r="AY15" s="19"/>
    </row>
    <row r="16" spans="1:56" x14ac:dyDescent="0.3">
      <c r="A16" s="5" t="s">
        <v>5</v>
      </c>
      <c r="B16" s="5" t="s">
        <v>18</v>
      </c>
      <c r="E16" s="24" t="s">
        <v>3</v>
      </c>
      <c r="F16" s="25" t="s">
        <v>57</v>
      </c>
      <c r="G16" s="24"/>
      <c r="J16" s="1">
        <v>3</v>
      </c>
      <c r="K16" s="1">
        <v>4</v>
      </c>
      <c r="L16" s="1">
        <v>2</v>
      </c>
      <c r="R16" s="24" t="str">
        <f t="shared" si="0"/>
        <v/>
      </c>
      <c r="S16" s="1" t="str">
        <f t="shared" si="0"/>
        <v/>
      </c>
      <c r="T16" s="1" t="str">
        <f t="shared" si="0"/>
        <v/>
      </c>
      <c r="U16" s="1">
        <f t="shared" si="0"/>
        <v>7.5</v>
      </c>
      <c r="V16" s="1">
        <f t="shared" si="0"/>
        <v>10</v>
      </c>
      <c r="W16" s="1">
        <f t="shared" si="0"/>
        <v>5</v>
      </c>
      <c r="X16" s="1" t="str">
        <f t="shared" si="0"/>
        <v/>
      </c>
      <c r="Y16" s="1" t="str">
        <f t="shared" si="0"/>
        <v/>
      </c>
      <c r="Z16" s="1" t="str">
        <f t="shared" si="0"/>
        <v/>
      </c>
      <c r="AA16" s="1" t="str">
        <f t="shared" si="0"/>
        <v/>
      </c>
      <c r="AB16" s="25" t="str">
        <f t="shared" si="0"/>
        <v/>
      </c>
      <c r="AP16" s="19"/>
      <c r="AQ16" s="19"/>
      <c r="AR16" s="19"/>
      <c r="AS16" s="19"/>
      <c r="AT16" s="19"/>
      <c r="AU16" s="19"/>
      <c r="AV16" s="19"/>
      <c r="AW16" s="19"/>
      <c r="AY16" s="19"/>
    </row>
    <row r="17" spans="1:54" x14ac:dyDescent="0.3">
      <c r="A17" s="5" t="s">
        <v>5</v>
      </c>
      <c r="B17" s="5" t="s">
        <v>19</v>
      </c>
      <c r="E17" s="24" t="s">
        <v>4</v>
      </c>
      <c r="F17" s="25" t="s">
        <v>57</v>
      </c>
      <c r="G17" s="24"/>
      <c r="M17" s="1">
        <v>3</v>
      </c>
      <c r="N17" s="1">
        <v>2</v>
      </c>
      <c r="R17" s="24" t="str">
        <f t="shared" si="0"/>
        <v/>
      </c>
      <c r="S17" s="1" t="str">
        <f t="shared" si="0"/>
        <v/>
      </c>
      <c r="T17" s="1" t="str">
        <f t="shared" si="0"/>
        <v/>
      </c>
      <c r="U17" s="1" t="str">
        <f t="shared" si="0"/>
        <v/>
      </c>
      <c r="V17" s="1" t="str">
        <f t="shared" si="0"/>
        <v/>
      </c>
      <c r="W17" s="1" t="str">
        <f t="shared" si="0"/>
        <v/>
      </c>
      <c r="X17" s="1">
        <f t="shared" si="0"/>
        <v>7.5</v>
      </c>
      <c r="Y17" s="1">
        <f t="shared" si="0"/>
        <v>2.5</v>
      </c>
      <c r="Z17" s="1" t="str">
        <f t="shared" si="0"/>
        <v/>
      </c>
      <c r="AA17" s="1" t="str">
        <f t="shared" si="0"/>
        <v/>
      </c>
      <c r="AB17" s="25" t="str">
        <f t="shared" si="0"/>
        <v/>
      </c>
      <c r="AP17" s="19"/>
      <c r="AQ17" s="19"/>
      <c r="AR17" s="19"/>
      <c r="AS17" s="19"/>
      <c r="AT17" s="19"/>
      <c r="AU17" s="19"/>
      <c r="AV17" s="19"/>
      <c r="AW17" s="19"/>
      <c r="AY17" s="19"/>
    </row>
    <row r="18" spans="1:54" ht="14.5" thickBot="1" x14ac:dyDescent="0.35">
      <c r="E18" s="26" t="s">
        <v>5</v>
      </c>
      <c r="F18" s="27" t="s">
        <v>57</v>
      </c>
      <c r="G18" s="26"/>
      <c r="H18" s="28"/>
      <c r="I18" s="28"/>
      <c r="J18" s="28"/>
      <c r="K18" s="28"/>
      <c r="L18" s="28"/>
      <c r="M18" s="28"/>
      <c r="N18" s="28"/>
      <c r="O18" s="28" t="s">
        <v>59</v>
      </c>
      <c r="P18" s="28" t="s">
        <v>59</v>
      </c>
      <c r="Q18" s="28" t="s">
        <v>59</v>
      </c>
      <c r="R18" s="26" t="str">
        <f t="shared" si="0"/>
        <v/>
      </c>
      <c r="S18" s="28" t="str">
        <f t="shared" si="0"/>
        <v/>
      </c>
      <c r="T18" s="28" t="str">
        <f t="shared" si="0"/>
        <v/>
      </c>
      <c r="U18" s="28" t="str">
        <f t="shared" si="0"/>
        <v/>
      </c>
      <c r="V18" s="28" t="str">
        <f t="shared" si="0"/>
        <v/>
      </c>
      <c r="W18" s="28" t="str">
        <f t="shared" si="0"/>
        <v/>
      </c>
      <c r="X18" s="28" t="str">
        <f t="shared" si="0"/>
        <v/>
      </c>
      <c r="Y18" s="28" t="str">
        <f t="shared" si="0"/>
        <v/>
      </c>
      <c r="Z18" s="28" t="str">
        <f t="shared" si="0"/>
        <v/>
      </c>
      <c r="AA18" s="28" t="str">
        <f t="shared" si="0"/>
        <v/>
      </c>
      <c r="AB18" s="27" t="str">
        <f t="shared" si="0"/>
        <v/>
      </c>
      <c r="AY18" s="19"/>
    </row>
    <row r="19" spans="1:54" x14ac:dyDescent="0.3">
      <c r="AY19" s="19"/>
    </row>
    <row r="20" spans="1:54" x14ac:dyDescent="0.3">
      <c r="AY20" s="19"/>
    </row>
    <row r="21" spans="1:54" x14ac:dyDescent="0.3">
      <c r="AY21" s="19"/>
    </row>
    <row r="24" spans="1:54" x14ac:dyDescent="0.3">
      <c r="A24" s="1" t="s">
        <v>60</v>
      </c>
      <c r="G24" s="2" t="s">
        <v>2</v>
      </c>
      <c r="H24" s="2" t="s">
        <v>2</v>
      </c>
      <c r="I24" s="2" t="s">
        <v>2</v>
      </c>
      <c r="J24" s="3" t="s">
        <v>3</v>
      </c>
      <c r="K24" s="3" t="s">
        <v>3</v>
      </c>
      <c r="L24" s="3" t="s">
        <v>3</v>
      </c>
      <c r="M24" s="4" t="s">
        <v>4</v>
      </c>
      <c r="N24" s="4" t="s">
        <v>4</v>
      </c>
      <c r="O24" s="5" t="s">
        <v>5</v>
      </c>
      <c r="P24" s="5" t="s">
        <v>5</v>
      </c>
      <c r="Q24" s="5" t="s">
        <v>5</v>
      </c>
      <c r="R24" s="2" t="s">
        <v>2</v>
      </c>
      <c r="S24" s="2" t="s">
        <v>2</v>
      </c>
      <c r="T24" s="2" t="s">
        <v>2</v>
      </c>
      <c r="U24" s="3" t="s">
        <v>3</v>
      </c>
      <c r="V24" s="3" t="s">
        <v>3</v>
      </c>
      <c r="W24" s="3" t="s">
        <v>3</v>
      </c>
      <c r="X24" s="4" t="s">
        <v>4</v>
      </c>
      <c r="Y24" s="4" t="s">
        <v>4</v>
      </c>
      <c r="Z24" s="5" t="s">
        <v>5</v>
      </c>
      <c r="AA24" s="5" t="s">
        <v>5</v>
      </c>
      <c r="AB24" s="5" t="s">
        <v>5</v>
      </c>
    </row>
    <row r="25" spans="1:54" x14ac:dyDescent="0.3">
      <c r="A25" s="29" t="s">
        <v>61</v>
      </c>
      <c r="E25" s="1" t="s">
        <v>6</v>
      </c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6"/>
      <c r="S25" s="6"/>
      <c r="T25" s="6"/>
      <c r="U25" s="6"/>
      <c r="V25" s="6"/>
      <c r="W25" s="6"/>
      <c r="X25" s="6"/>
      <c r="Y25" s="6"/>
      <c r="Z25" s="7"/>
      <c r="AA25" s="7"/>
      <c r="AB25" s="7"/>
      <c r="AE25" s="2" t="s">
        <v>2</v>
      </c>
      <c r="AF25" s="2" t="s">
        <v>2</v>
      </c>
      <c r="AG25" s="2" t="s">
        <v>2</v>
      </c>
      <c r="AH25" s="3" t="s">
        <v>3</v>
      </c>
      <c r="AI25" s="3" t="s">
        <v>3</v>
      </c>
      <c r="AJ25" s="3" t="s">
        <v>3</v>
      </c>
      <c r="AK25" s="4" t="s">
        <v>4</v>
      </c>
      <c r="AL25" s="4" t="s">
        <v>4</v>
      </c>
      <c r="AM25" s="5" t="s">
        <v>5</v>
      </c>
      <c r="AN25" s="5" t="s">
        <v>5</v>
      </c>
      <c r="AO25" s="5" t="s">
        <v>5</v>
      </c>
      <c r="AP25" s="2" t="s">
        <v>2</v>
      </c>
      <c r="AQ25" s="2" t="s">
        <v>2</v>
      </c>
      <c r="AR25" s="2" t="s">
        <v>2</v>
      </c>
      <c r="AS25" s="3" t="s">
        <v>3</v>
      </c>
      <c r="AT25" s="3" t="s">
        <v>3</v>
      </c>
      <c r="AU25" s="3" t="s">
        <v>3</v>
      </c>
      <c r="AV25" s="4" t="s">
        <v>4</v>
      </c>
      <c r="AW25" s="4" t="s">
        <v>4</v>
      </c>
      <c r="AX25" s="5" t="s">
        <v>5</v>
      </c>
      <c r="AY25" s="5" t="s">
        <v>5</v>
      </c>
      <c r="AZ25" s="5" t="s">
        <v>5</v>
      </c>
    </row>
    <row r="26" spans="1:54" ht="14.5" thickBot="1" x14ac:dyDescent="0.35">
      <c r="G26" s="8">
        <v>10</v>
      </c>
      <c r="H26" s="8">
        <v>10</v>
      </c>
      <c r="I26" s="8">
        <v>10</v>
      </c>
      <c r="J26" s="8">
        <v>10</v>
      </c>
      <c r="K26" s="8">
        <v>10</v>
      </c>
      <c r="L26" s="8">
        <v>10</v>
      </c>
      <c r="M26" s="8">
        <v>10</v>
      </c>
      <c r="N26" s="8">
        <v>5</v>
      </c>
      <c r="O26" s="8">
        <v>5</v>
      </c>
      <c r="P26" s="8">
        <v>5</v>
      </c>
      <c r="Q26" s="8">
        <v>15</v>
      </c>
      <c r="R26" s="8">
        <v>10</v>
      </c>
      <c r="S26" s="8">
        <v>10</v>
      </c>
      <c r="T26" s="8">
        <v>10</v>
      </c>
      <c r="U26" s="8">
        <v>10</v>
      </c>
      <c r="V26" s="8">
        <v>10</v>
      </c>
      <c r="W26" s="8">
        <v>10</v>
      </c>
      <c r="X26" s="8">
        <v>10</v>
      </c>
      <c r="Y26" s="8">
        <v>5</v>
      </c>
      <c r="Z26" s="8">
        <v>5</v>
      </c>
      <c r="AA26" s="8">
        <v>5</v>
      </c>
      <c r="AB26" s="8">
        <v>15</v>
      </c>
    </row>
    <row r="27" spans="1:54" ht="14.5" thickBot="1" x14ac:dyDescent="0.35">
      <c r="E27" s="9" t="s">
        <v>7</v>
      </c>
      <c r="F27" s="10" t="s">
        <v>8</v>
      </c>
      <c r="G27" s="11" t="s">
        <v>9</v>
      </c>
      <c r="H27" s="12" t="s">
        <v>10</v>
      </c>
      <c r="I27" s="12" t="s">
        <v>11</v>
      </c>
      <c r="J27" s="12" t="s">
        <v>12</v>
      </c>
      <c r="K27" s="12" t="s">
        <v>13</v>
      </c>
      <c r="L27" s="12" t="s">
        <v>14</v>
      </c>
      <c r="M27" s="12" t="s">
        <v>15</v>
      </c>
      <c r="N27" s="12" t="s">
        <v>16</v>
      </c>
      <c r="O27" s="13" t="s">
        <v>17</v>
      </c>
      <c r="P27" s="13" t="s">
        <v>18</v>
      </c>
      <c r="Q27" s="14" t="s">
        <v>19</v>
      </c>
      <c r="R27" s="15" t="s">
        <v>20</v>
      </c>
      <c r="S27" s="16" t="s">
        <v>21</v>
      </c>
      <c r="T27" s="16" t="s">
        <v>22</v>
      </c>
      <c r="U27" s="16" t="s">
        <v>23</v>
      </c>
      <c r="V27" s="16" t="s">
        <v>24</v>
      </c>
      <c r="W27" s="16" t="s">
        <v>25</v>
      </c>
      <c r="X27" s="16" t="s">
        <v>26</v>
      </c>
      <c r="Y27" s="16" t="s">
        <v>27</v>
      </c>
      <c r="Z27" s="17" t="s">
        <v>28</v>
      </c>
      <c r="AA27" s="17" t="s">
        <v>29</v>
      </c>
      <c r="AB27" s="18" t="s">
        <v>30</v>
      </c>
      <c r="AE27" s="8">
        <v>10</v>
      </c>
      <c r="AF27" s="8">
        <v>10</v>
      </c>
      <c r="AG27" s="8">
        <v>10</v>
      </c>
      <c r="AH27" s="8">
        <v>10</v>
      </c>
      <c r="AI27" s="8">
        <v>10</v>
      </c>
      <c r="AJ27" s="8">
        <v>10</v>
      </c>
      <c r="AK27" s="8">
        <v>10</v>
      </c>
      <c r="AL27" s="8">
        <v>5</v>
      </c>
      <c r="AM27" s="8">
        <v>5</v>
      </c>
      <c r="AN27" s="8">
        <v>5</v>
      </c>
      <c r="AO27" s="8">
        <v>15</v>
      </c>
      <c r="AP27" s="8">
        <v>10</v>
      </c>
      <c r="AQ27" s="8">
        <v>10</v>
      </c>
      <c r="AR27" s="8">
        <v>10</v>
      </c>
      <c r="AS27" s="8">
        <v>10</v>
      </c>
      <c r="AT27" s="8">
        <v>10</v>
      </c>
      <c r="AU27" s="8">
        <v>10</v>
      </c>
      <c r="AV27" s="8">
        <v>10</v>
      </c>
      <c r="AW27" s="8">
        <v>5</v>
      </c>
      <c r="AX27" s="8">
        <v>5</v>
      </c>
      <c r="AY27" s="8">
        <v>5</v>
      </c>
      <c r="AZ27" s="8">
        <v>15</v>
      </c>
      <c r="BA27" s="8"/>
    </row>
    <row r="28" spans="1:54" x14ac:dyDescent="0.3">
      <c r="A28" s="2" t="s">
        <v>2</v>
      </c>
      <c r="B28" s="2" t="s">
        <v>9</v>
      </c>
      <c r="E28" s="20" t="s">
        <v>2</v>
      </c>
      <c r="F28" s="21" t="s">
        <v>56</v>
      </c>
      <c r="G28" s="20">
        <v>4</v>
      </c>
      <c r="H28" s="22">
        <v>4</v>
      </c>
      <c r="I28" s="22">
        <v>2</v>
      </c>
      <c r="J28" s="22"/>
      <c r="K28" s="22"/>
      <c r="L28" s="22"/>
      <c r="M28" s="22"/>
      <c r="N28" s="22"/>
      <c r="O28" s="22"/>
      <c r="P28" s="22"/>
      <c r="Q28" s="22"/>
      <c r="R28" s="20">
        <f t="shared" ref="R28:AB43" si="1">IF(G28="-","",IF(G28/4*R$5=0, "",G28/4*R$5))</f>
        <v>10</v>
      </c>
      <c r="S28" s="22">
        <f t="shared" si="1"/>
        <v>10</v>
      </c>
      <c r="T28" s="22">
        <f t="shared" si="1"/>
        <v>5</v>
      </c>
      <c r="U28" s="22" t="str">
        <f t="shared" si="1"/>
        <v/>
      </c>
      <c r="V28" s="22" t="str">
        <f t="shared" si="1"/>
        <v/>
      </c>
      <c r="W28" s="22" t="str">
        <f t="shared" si="1"/>
        <v/>
      </c>
      <c r="X28" s="22" t="str">
        <f t="shared" si="1"/>
        <v/>
      </c>
      <c r="Y28" s="22" t="str">
        <f t="shared" si="1"/>
        <v/>
      </c>
      <c r="Z28" s="22" t="str">
        <f t="shared" si="1"/>
        <v/>
      </c>
      <c r="AA28" s="22" t="str">
        <f t="shared" si="1"/>
        <v/>
      </c>
      <c r="AB28" s="21" t="str">
        <f t="shared" si="1"/>
        <v/>
      </c>
      <c r="AD28" s="19" t="s">
        <v>31</v>
      </c>
      <c r="AE28" s="19" t="s">
        <v>32</v>
      </c>
      <c r="AF28" s="19" t="s">
        <v>33</v>
      </c>
      <c r="AG28" s="19" t="s">
        <v>34</v>
      </c>
      <c r="AH28" s="19" t="s">
        <v>35</v>
      </c>
      <c r="AI28" s="19" t="s">
        <v>36</v>
      </c>
      <c r="AJ28" s="19" t="s">
        <v>37</v>
      </c>
      <c r="AK28" s="19" t="s">
        <v>38</v>
      </c>
      <c r="AL28" s="19" t="s">
        <v>39</v>
      </c>
      <c r="AM28" s="19" t="s">
        <v>40</v>
      </c>
      <c r="AN28" s="19" t="s">
        <v>41</v>
      </c>
      <c r="AO28" s="19" t="s">
        <v>42</v>
      </c>
      <c r="AP28" s="19" t="s">
        <v>43</v>
      </c>
      <c r="AQ28" s="19" t="s">
        <v>44</v>
      </c>
      <c r="AR28" s="19" t="s">
        <v>45</v>
      </c>
      <c r="AS28" s="19" t="s">
        <v>46</v>
      </c>
      <c r="AT28" s="19" t="s">
        <v>47</v>
      </c>
      <c r="AU28" s="19" t="s">
        <v>48</v>
      </c>
      <c r="AV28" s="19" t="s">
        <v>49</v>
      </c>
      <c r="AW28" s="19" t="s">
        <v>50</v>
      </c>
      <c r="AX28" s="19" t="s">
        <v>51</v>
      </c>
      <c r="AY28" s="19" t="s">
        <v>52</v>
      </c>
      <c r="AZ28" s="19" t="s">
        <v>53</v>
      </c>
      <c r="BA28" s="19" t="s">
        <v>54</v>
      </c>
      <c r="BB28" s="19" t="s">
        <v>55</v>
      </c>
    </row>
    <row r="29" spans="1:54" x14ac:dyDescent="0.3">
      <c r="A29" s="2" t="s">
        <v>2</v>
      </c>
      <c r="B29" s="2" t="s">
        <v>10</v>
      </c>
      <c r="E29" s="24" t="s">
        <v>3</v>
      </c>
      <c r="F29" s="25" t="s">
        <v>56</v>
      </c>
      <c r="G29" s="24"/>
      <c r="J29" s="1">
        <v>3</v>
      </c>
      <c r="K29" s="1">
        <v>3</v>
      </c>
      <c r="L29" s="1">
        <v>1</v>
      </c>
      <c r="R29" s="24" t="str">
        <f t="shared" si="1"/>
        <v/>
      </c>
      <c r="S29" s="1" t="str">
        <f t="shared" si="1"/>
        <v/>
      </c>
      <c r="T29" s="1" t="str">
        <f t="shared" si="1"/>
        <v/>
      </c>
      <c r="U29" s="1">
        <f t="shared" si="1"/>
        <v>7.5</v>
      </c>
      <c r="V29" s="1">
        <f t="shared" si="1"/>
        <v>7.5</v>
      </c>
      <c r="W29" s="1">
        <f t="shared" si="1"/>
        <v>2.5</v>
      </c>
      <c r="X29" s="1" t="str">
        <f t="shared" si="1"/>
        <v/>
      </c>
      <c r="Y29" s="1" t="str">
        <f t="shared" si="1"/>
        <v/>
      </c>
      <c r="Z29" s="1" t="str">
        <f t="shared" si="1"/>
        <v/>
      </c>
      <c r="AA29" s="1" t="str">
        <f t="shared" si="1"/>
        <v/>
      </c>
      <c r="AB29" s="25" t="str">
        <f t="shared" si="1"/>
        <v/>
      </c>
      <c r="AD29" s="23" t="s">
        <v>57</v>
      </c>
      <c r="AE29" s="19">
        <v>3</v>
      </c>
      <c r="AF29" s="19">
        <v>3.3333333333333335</v>
      </c>
      <c r="AG29" s="19">
        <v>2</v>
      </c>
      <c r="AH29" s="19">
        <v>3</v>
      </c>
      <c r="AI29" s="19">
        <v>3.3333333333333335</v>
      </c>
      <c r="AJ29" s="19">
        <v>2.3333333333333335</v>
      </c>
      <c r="AK29" s="19">
        <v>3.3333333333333335</v>
      </c>
      <c r="AL29" s="19">
        <v>1.6666666666666667</v>
      </c>
      <c r="AM29" s="19"/>
      <c r="AN29" s="19"/>
      <c r="AO29" s="19"/>
      <c r="AP29" s="19">
        <v>7.5</v>
      </c>
      <c r="AQ29" s="19">
        <v>8.3333333333333339</v>
      </c>
      <c r="AR29" s="19">
        <v>5</v>
      </c>
      <c r="AS29" s="19">
        <v>7.5</v>
      </c>
      <c r="AT29" s="19">
        <v>8.3333333333333339</v>
      </c>
      <c r="AU29" s="19">
        <v>5.833333333333333</v>
      </c>
      <c r="AV29" s="19">
        <v>8.3333333333333339</v>
      </c>
      <c r="AW29" s="19">
        <v>2.0833333333333335</v>
      </c>
      <c r="AX29" s="19"/>
      <c r="AY29" s="19"/>
      <c r="AZ29" s="19"/>
      <c r="BA29" s="19">
        <f>SUM(AE29:AO29)</f>
        <v>22</v>
      </c>
      <c r="BB29" s="19">
        <f>SUMIFS(AP29:AZ29, AP29:AZ29, "&lt;&gt;")/SUMIFS($AP$5:$AZ$5, AP29:AZ29, "&lt;&gt;")*100</f>
        <v>70.555555555555571</v>
      </c>
    </row>
    <row r="30" spans="1:54" x14ac:dyDescent="0.3">
      <c r="A30" s="2" t="s">
        <v>2</v>
      </c>
      <c r="B30" s="2" t="s">
        <v>11</v>
      </c>
      <c r="E30" s="24" t="s">
        <v>4</v>
      </c>
      <c r="F30" s="25" t="s">
        <v>56</v>
      </c>
      <c r="G30" s="24"/>
      <c r="M30" s="1">
        <v>2</v>
      </c>
      <c r="N30" s="1">
        <v>2</v>
      </c>
      <c r="R30" s="24" t="str">
        <f t="shared" si="1"/>
        <v/>
      </c>
      <c r="S30" s="1" t="str">
        <f t="shared" si="1"/>
        <v/>
      </c>
      <c r="T30" s="1" t="str">
        <f t="shared" si="1"/>
        <v/>
      </c>
      <c r="U30" s="1" t="str">
        <f t="shared" si="1"/>
        <v/>
      </c>
      <c r="V30" s="1" t="str">
        <f t="shared" si="1"/>
        <v/>
      </c>
      <c r="W30" s="1" t="str">
        <f t="shared" si="1"/>
        <v/>
      </c>
      <c r="X30" s="1">
        <f t="shared" si="1"/>
        <v>5</v>
      </c>
      <c r="Y30" s="1">
        <f t="shared" si="1"/>
        <v>2.5</v>
      </c>
      <c r="Z30" s="1" t="str">
        <f t="shared" si="1"/>
        <v/>
      </c>
      <c r="AA30" s="1" t="str">
        <f t="shared" si="1"/>
        <v/>
      </c>
      <c r="AB30" s="25" t="str">
        <f t="shared" si="1"/>
        <v/>
      </c>
      <c r="AD30" s="23" t="s">
        <v>56</v>
      </c>
      <c r="AE30" s="19">
        <v>4</v>
      </c>
      <c r="AF30" s="19">
        <v>4</v>
      </c>
      <c r="AG30" s="19">
        <v>2</v>
      </c>
      <c r="AH30" s="19">
        <v>3</v>
      </c>
      <c r="AI30" s="19">
        <v>3</v>
      </c>
      <c r="AJ30" s="19">
        <v>1</v>
      </c>
      <c r="AK30" s="19">
        <v>2</v>
      </c>
      <c r="AL30" s="19">
        <v>2</v>
      </c>
      <c r="AM30" s="19">
        <v>3</v>
      </c>
      <c r="AN30" s="19">
        <v>4</v>
      </c>
      <c r="AO30" s="19">
        <v>4</v>
      </c>
      <c r="AP30" s="19">
        <v>10</v>
      </c>
      <c r="AQ30" s="19">
        <v>10</v>
      </c>
      <c r="AR30" s="19">
        <v>5</v>
      </c>
      <c r="AS30" s="19">
        <v>7.5</v>
      </c>
      <c r="AT30" s="19">
        <v>7.5</v>
      </c>
      <c r="AU30" s="19">
        <v>2.5</v>
      </c>
      <c r="AV30" s="19">
        <v>5</v>
      </c>
      <c r="AW30" s="19">
        <v>2.5</v>
      </c>
      <c r="AX30" s="19">
        <v>3.75</v>
      </c>
      <c r="AY30" s="19">
        <v>5</v>
      </c>
      <c r="AZ30" s="19">
        <v>15</v>
      </c>
      <c r="BA30" s="19">
        <f>SUM(AE30:AO30)</f>
        <v>32</v>
      </c>
      <c r="BB30" s="19">
        <f>SUMIFS(AP30:AZ30, AP30:AZ30, "&lt;&gt;")/SUMIFS($AP$5:$AZ$5, AP30:AZ30, "&lt;&gt;")*100</f>
        <v>73.75</v>
      </c>
    </row>
    <row r="31" spans="1:54" ht="14.5" thickBot="1" x14ac:dyDescent="0.35">
      <c r="A31" s="3" t="s">
        <v>3</v>
      </c>
      <c r="B31" s="3" t="s">
        <v>12</v>
      </c>
      <c r="E31" s="26" t="s">
        <v>5</v>
      </c>
      <c r="F31" s="27" t="s">
        <v>56</v>
      </c>
      <c r="G31" s="26"/>
      <c r="H31" s="28"/>
      <c r="I31" s="28"/>
      <c r="J31" s="28"/>
      <c r="K31" s="28"/>
      <c r="L31" s="28"/>
      <c r="M31" s="28"/>
      <c r="N31" s="28"/>
      <c r="O31" s="28">
        <v>3</v>
      </c>
      <c r="P31" s="28">
        <v>4</v>
      </c>
      <c r="Q31" s="28">
        <v>4</v>
      </c>
      <c r="R31" s="26" t="str">
        <f t="shared" si="1"/>
        <v/>
      </c>
      <c r="S31" s="28" t="str">
        <f t="shared" si="1"/>
        <v/>
      </c>
      <c r="T31" s="28" t="str">
        <f t="shared" si="1"/>
        <v/>
      </c>
      <c r="U31" s="28" t="str">
        <f t="shared" si="1"/>
        <v/>
      </c>
      <c r="V31" s="28" t="str">
        <f t="shared" si="1"/>
        <v/>
      </c>
      <c r="W31" s="28" t="str">
        <f t="shared" si="1"/>
        <v/>
      </c>
      <c r="X31" s="28" t="str">
        <f t="shared" si="1"/>
        <v/>
      </c>
      <c r="Y31" s="28" t="str">
        <f t="shared" si="1"/>
        <v/>
      </c>
      <c r="Z31" s="28">
        <f t="shared" si="1"/>
        <v>3.75</v>
      </c>
      <c r="AA31" s="28">
        <f t="shared" si="1"/>
        <v>5</v>
      </c>
      <c r="AB31" s="27">
        <f t="shared" si="1"/>
        <v>15</v>
      </c>
      <c r="AD31" s="23" t="s">
        <v>58</v>
      </c>
      <c r="AE31" s="19">
        <v>3.25</v>
      </c>
      <c r="AF31" s="19">
        <v>3.5</v>
      </c>
      <c r="AG31" s="19">
        <v>2</v>
      </c>
      <c r="AH31" s="19">
        <v>3</v>
      </c>
      <c r="AI31" s="19">
        <v>3.25</v>
      </c>
      <c r="AJ31" s="19">
        <v>2</v>
      </c>
      <c r="AK31" s="19">
        <v>3</v>
      </c>
      <c r="AL31" s="19">
        <v>1.75</v>
      </c>
      <c r="AM31" s="19">
        <v>3</v>
      </c>
      <c r="AN31" s="19">
        <v>4</v>
      </c>
      <c r="AO31" s="19">
        <v>4</v>
      </c>
      <c r="AP31" s="19">
        <v>8.125</v>
      </c>
      <c r="AQ31" s="19">
        <v>8.75</v>
      </c>
      <c r="AR31" s="19">
        <v>5</v>
      </c>
      <c r="AS31" s="19">
        <v>7.5</v>
      </c>
      <c r="AT31" s="19">
        <v>8.125</v>
      </c>
      <c r="AU31" s="19">
        <v>5</v>
      </c>
      <c r="AV31" s="19">
        <v>7.5</v>
      </c>
      <c r="AW31" s="19">
        <v>2.1875</v>
      </c>
      <c r="AX31" s="19">
        <v>3.75</v>
      </c>
      <c r="AY31" s="19">
        <v>5</v>
      </c>
      <c r="AZ31" s="19">
        <v>15</v>
      </c>
      <c r="BA31" s="19">
        <f>SUM(AE31:AO31)</f>
        <v>32.75</v>
      </c>
      <c r="BB31" s="19">
        <f>SUMIFS(AP31:AZ31, AP31:AZ31, "&lt;&gt;")/SUMIFS($AP$5:$AZ$5, AP31:AZ31, "&lt;&gt;")*100</f>
        <v>75.9375</v>
      </c>
    </row>
    <row r="32" spans="1:54" x14ac:dyDescent="0.3">
      <c r="A32" s="3" t="s">
        <v>3</v>
      </c>
      <c r="B32" s="3" t="s">
        <v>13</v>
      </c>
      <c r="E32" s="20" t="s">
        <v>2</v>
      </c>
      <c r="F32" s="21" t="s">
        <v>57</v>
      </c>
      <c r="G32" s="20">
        <v>3</v>
      </c>
      <c r="H32" s="22">
        <v>2</v>
      </c>
      <c r="I32" s="22">
        <v>2</v>
      </c>
      <c r="J32" s="22"/>
      <c r="K32" s="22"/>
      <c r="L32" s="22"/>
      <c r="M32" s="22"/>
      <c r="N32" s="22"/>
      <c r="O32" s="22"/>
      <c r="P32" s="22"/>
      <c r="Q32" s="21"/>
      <c r="R32" s="22">
        <f t="shared" si="1"/>
        <v>7.5</v>
      </c>
      <c r="S32" s="22">
        <f t="shared" si="1"/>
        <v>5</v>
      </c>
      <c r="T32" s="22">
        <f t="shared" si="1"/>
        <v>5</v>
      </c>
      <c r="U32" s="22" t="str">
        <f t="shared" si="1"/>
        <v/>
      </c>
      <c r="V32" s="22" t="str">
        <f t="shared" si="1"/>
        <v/>
      </c>
      <c r="W32" s="22" t="str">
        <f t="shared" si="1"/>
        <v/>
      </c>
      <c r="X32" s="22" t="str">
        <f t="shared" si="1"/>
        <v/>
      </c>
      <c r="Y32" s="22" t="str">
        <f t="shared" si="1"/>
        <v/>
      </c>
      <c r="Z32" s="22" t="str">
        <f t="shared" si="1"/>
        <v/>
      </c>
      <c r="AA32" s="22" t="str">
        <f t="shared" si="1"/>
        <v/>
      </c>
      <c r="AB32" s="21" t="str">
        <f t="shared" si="1"/>
        <v/>
      </c>
    </row>
    <row r="33" spans="1:28" x14ac:dyDescent="0.3">
      <c r="A33" s="3" t="s">
        <v>3</v>
      </c>
      <c r="B33" s="3" t="s">
        <v>14</v>
      </c>
      <c r="E33" s="24" t="s">
        <v>3</v>
      </c>
      <c r="F33" s="25" t="s">
        <v>57</v>
      </c>
      <c r="G33" s="24"/>
      <c r="J33" s="1">
        <v>4</v>
      </c>
      <c r="K33" s="1">
        <v>4</v>
      </c>
      <c r="L33" s="1">
        <v>1</v>
      </c>
      <c r="Q33" s="25"/>
      <c r="R33" s="1" t="str">
        <f t="shared" si="1"/>
        <v/>
      </c>
      <c r="S33" s="1" t="str">
        <f t="shared" si="1"/>
        <v/>
      </c>
      <c r="T33" s="1" t="str">
        <f t="shared" si="1"/>
        <v/>
      </c>
      <c r="U33" s="1">
        <f t="shared" si="1"/>
        <v>10</v>
      </c>
      <c r="V33" s="1">
        <f t="shared" si="1"/>
        <v>10</v>
      </c>
      <c r="W33" s="1">
        <f t="shared" si="1"/>
        <v>2.5</v>
      </c>
      <c r="X33" s="1" t="str">
        <f t="shared" si="1"/>
        <v/>
      </c>
      <c r="Y33" s="1" t="str">
        <f t="shared" si="1"/>
        <v/>
      </c>
      <c r="Z33" s="1" t="str">
        <f t="shared" si="1"/>
        <v/>
      </c>
      <c r="AA33" s="1" t="str">
        <f t="shared" si="1"/>
        <v/>
      </c>
      <c r="AB33" s="25" t="str">
        <f t="shared" si="1"/>
        <v/>
      </c>
    </row>
    <row r="34" spans="1:28" x14ac:dyDescent="0.3">
      <c r="A34" s="4" t="s">
        <v>4</v>
      </c>
      <c r="B34" s="4" t="s">
        <v>15</v>
      </c>
      <c r="E34" s="24" t="s">
        <v>4</v>
      </c>
      <c r="F34" s="25" t="s">
        <v>57</v>
      </c>
      <c r="G34" s="24"/>
      <c r="M34" s="1">
        <v>4</v>
      </c>
      <c r="N34" s="1">
        <v>2</v>
      </c>
      <c r="Q34" s="25"/>
      <c r="R34" s="1" t="str">
        <f t="shared" si="1"/>
        <v/>
      </c>
      <c r="S34" s="1" t="str">
        <f t="shared" si="1"/>
        <v/>
      </c>
      <c r="T34" s="1" t="str">
        <f t="shared" si="1"/>
        <v/>
      </c>
      <c r="U34" s="1" t="str">
        <f t="shared" si="1"/>
        <v/>
      </c>
      <c r="V34" s="1" t="str">
        <f t="shared" si="1"/>
        <v/>
      </c>
      <c r="W34" s="1" t="str">
        <f t="shared" si="1"/>
        <v/>
      </c>
      <c r="X34" s="1">
        <f t="shared" si="1"/>
        <v>10</v>
      </c>
      <c r="Y34" s="1">
        <f t="shared" si="1"/>
        <v>2.5</v>
      </c>
      <c r="Z34" s="1" t="str">
        <f t="shared" si="1"/>
        <v/>
      </c>
      <c r="AA34" s="1" t="str">
        <f t="shared" si="1"/>
        <v/>
      </c>
      <c r="AB34" s="25" t="str">
        <f t="shared" si="1"/>
        <v/>
      </c>
    </row>
    <row r="35" spans="1:28" ht="14.5" thickBot="1" x14ac:dyDescent="0.35">
      <c r="A35" s="4" t="s">
        <v>4</v>
      </c>
      <c r="B35" s="4" t="s">
        <v>16</v>
      </c>
      <c r="E35" s="24" t="s">
        <v>5</v>
      </c>
      <c r="F35" s="25" t="s">
        <v>57</v>
      </c>
      <c r="G35" s="24"/>
      <c r="Q35" s="25"/>
      <c r="R35" s="1" t="str">
        <f t="shared" si="1"/>
        <v/>
      </c>
      <c r="S35" s="1" t="str">
        <f t="shared" si="1"/>
        <v/>
      </c>
      <c r="T35" s="1" t="str">
        <f t="shared" si="1"/>
        <v/>
      </c>
      <c r="U35" s="1" t="str">
        <f t="shared" si="1"/>
        <v/>
      </c>
      <c r="V35" s="1" t="str">
        <f t="shared" si="1"/>
        <v/>
      </c>
      <c r="W35" s="1" t="str">
        <f t="shared" si="1"/>
        <v/>
      </c>
      <c r="X35" s="1" t="str">
        <f t="shared" si="1"/>
        <v/>
      </c>
      <c r="Y35" s="1" t="str">
        <f t="shared" si="1"/>
        <v/>
      </c>
      <c r="Z35" s="1" t="str">
        <f t="shared" si="1"/>
        <v/>
      </c>
      <c r="AA35" s="1" t="str">
        <f t="shared" si="1"/>
        <v/>
      </c>
      <c r="AB35" s="25" t="str">
        <f t="shared" si="1"/>
        <v/>
      </c>
    </row>
    <row r="36" spans="1:28" x14ac:dyDescent="0.3">
      <c r="A36" s="5" t="s">
        <v>5</v>
      </c>
      <c r="B36" s="5" t="s">
        <v>17</v>
      </c>
      <c r="E36" s="20" t="s">
        <v>2</v>
      </c>
      <c r="F36" s="21" t="s">
        <v>57</v>
      </c>
      <c r="G36" s="20">
        <v>2</v>
      </c>
      <c r="H36" s="22">
        <v>4</v>
      </c>
      <c r="I36" s="22">
        <v>1</v>
      </c>
      <c r="J36" s="22"/>
      <c r="K36" s="22"/>
      <c r="L36" s="22"/>
      <c r="M36" s="22"/>
      <c r="N36" s="22"/>
      <c r="O36" s="22"/>
      <c r="P36" s="22"/>
      <c r="Q36" s="22"/>
      <c r="R36" s="20">
        <f t="shared" si="1"/>
        <v>5</v>
      </c>
      <c r="S36" s="22">
        <f t="shared" si="1"/>
        <v>10</v>
      </c>
      <c r="T36" s="22">
        <f t="shared" si="1"/>
        <v>2.5</v>
      </c>
      <c r="U36" s="22" t="str">
        <f t="shared" si="1"/>
        <v/>
      </c>
      <c r="V36" s="22" t="str">
        <f t="shared" si="1"/>
        <v/>
      </c>
      <c r="W36" s="22" t="str">
        <f t="shared" si="1"/>
        <v/>
      </c>
      <c r="X36" s="22" t="str">
        <f t="shared" si="1"/>
        <v/>
      </c>
      <c r="Y36" s="22" t="str">
        <f t="shared" si="1"/>
        <v/>
      </c>
      <c r="Z36" s="22" t="str">
        <f t="shared" si="1"/>
        <v/>
      </c>
      <c r="AA36" s="22" t="str">
        <f t="shared" si="1"/>
        <v/>
      </c>
      <c r="AB36" s="21" t="str">
        <f t="shared" si="1"/>
        <v/>
      </c>
    </row>
    <row r="37" spans="1:28" x14ac:dyDescent="0.3">
      <c r="A37" s="5" t="s">
        <v>5</v>
      </c>
      <c r="B37" s="5" t="s">
        <v>18</v>
      </c>
      <c r="E37" s="24" t="s">
        <v>3</v>
      </c>
      <c r="F37" s="25" t="s">
        <v>57</v>
      </c>
      <c r="G37" s="24"/>
      <c r="J37" s="1">
        <v>3</v>
      </c>
      <c r="K37" s="1">
        <v>4</v>
      </c>
      <c r="L37" s="1">
        <v>2</v>
      </c>
      <c r="R37" s="24" t="str">
        <f t="shared" si="1"/>
        <v/>
      </c>
      <c r="S37" s="1" t="str">
        <f t="shared" si="1"/>
        <v/>
      </c>
      <c r="T37" s="1" t="str">
        <f t="shared" si="1"/>
        <v/>
      </c>
      <c r="U37" s="1">
        <f t="shared" si="1"/>
        <v>7.5</v>
      </c>
      <c r="V37" s="1">
        <f t="shared" si="1"/>
        <v>10</v>
      </c>
      <c r="W37" s="1">
        <f t="shared" si="1"/>
        <v>5</v>
      </c>
      <c r="X37" s="1" t="str">
        <f t="shared" si="1"/>
        <v/>
      </c>
      <c r="Y37" s="1" t="str">
        <f t="shared" si="1"/>
        <v/>
      </c>
      <c r="Z37" s="1" t="str">
        <f t="shared" si="1"/>
        <v/>
      </c>
      <c r="AA37" s="1" t="str">
        <f t="shared" si="1"/>
        <v/>
      </c>
      <c r="AB37" s="25" t="str">
        <f t="shared" si="1"/>
        <v/>
      </c>
    </row>
    <row r="38" spans="1:28" x14ac:dyDescent="0.3">
      <c r="A38" s="5" t="s">
        <v>5</v>
      </c>
      <c r="B38" s="5" t="s">
        <v>19</v>
      </c>
      <c r="E38" s="24" t="s">
        <v>4</v>
      </c>
      <c r="F38" s="25" t="s">
        <v>57</v>
      </c>
      <c r="G38" s="24"/>
      <c r="M38" s="1">
        <v>3</v>
      </c>
      <c r="N38" s="1">
        <v>2</v>
      </c>
      <c r="R38" s="24" t="str">
        <f t="shared" si="1"/>
        <v/>
      </c>
      <c r="S38" s="1" t="str">
        <f t="shared" si="1"/>
        <v/>
      </c>
      <c r="T38" s="1" t="str">
        <f t="shared" si="1"/>
        <v/>
      </c>
      <c r="U38" s="1" t="str">
        <f t="shared" si="1"/>
        <v/>
      </c>
      <c r="V38" s="1" t="str">
        <f t="shared" si="1"/>
        <v/>
      </c>
      <c r="W38" s="1" t="str">
        <f t="shared" si="1"/>
        <v/>
      </c>
      <c r="X38" s="1">
        <f t="shared" si="1"/>
        <v>7.5</v>
      </c>
      <c r="Y38" s="1">
        <f t="shared" si="1"/>
        <v>2.5</v>
      </c>
      <c r="Z38" s="1" t="str">
        <f t="shared" si="1"/>
        <v/>
      </c>
      <c r="AA38" s="1" t="str">
        <f t="shared" si="1"/>
        <v/>
      </c>
      <c r="AB38" s="25" t="str">
        <f t="shared" si="1"/>
        <v/>
      </c>
    </row>
    <row r="39" spans="1:28" ht="14.5" thickBot="1" x14ac:dyDescent="0.35">
      <c r="E39" s="26" t="s">
        <v>5</v>
      </c>
      <c r="F39" s="27" t="s">
        <v>57</v>
      </c>
      <c r="G39" s="26"/>
      <c r="H39" s="28"/>
      <c r="I39" s="28"/>
      <c r="J39" s="28"/>
      <c r="K39" s="28"/>
      <c r="L39" s="28"/>
      <c r="M39" s="28"/>
      <c r="N39" s="28"/>
      <c r="O39" s="28" t="s">
        <v>59</v>
      </c>
      <c r="P39" s="28" t="s">
        <v>59</v>
      </c>
      <c r="Q39" s="28" t="s">
        <v>59</v>
      </c>
      <c r="R39" s="26" t="str">
        <f t="shared" si="1"/>
        <v/>
      </c>
      <c r="S39" s="28" t="str">
        <f t="shared" si="1"/>
        <v/>
      </c>
      <c r="T39" s="28" t="str">
        <f t="shared" si="1"/>
        <v/>
      </c>
      <c r="U39" s="28" t="str">
        <f t="shared" si="1"/>
        <v/>
      </c>
      <c r="V39" s="28" t="str">
        <f t="shared" si="1"/>
        <v/>
      </c>
      <c r="W39" s="28" t="str">
        <f t="shared" si="1"/>
        <v/>
      </c>
      <c r="X39" s="28" t="str">
        <f t="shared" si="1"/>
        <v/>
      </c>
      <c r="Y39" s="28" t="str">
        <f t="shared" si="1"/>
        <v/>
      </c>
      <c r="Z39" s="28" t="str">
        <f t="shared" si="1"/>
        <v/>
      </c>
      <c r="AA39" s="28" t="str">
        <f t="shared" si="1"/>
        <v/>
      </c>
      <c r="AB39" s="27" t="str">
        <f t="shared" si="1"/>
        <v/>
      </c>
    </row>
    <row r="40" spans="1:28" x14ac:dyDescent="0.3">
      <c r="E40" s="20" t="s">
        <v>2</v>
      </c>
      <c r="F40" s="21" t="s">
        <v>57</v>
      </c>
      <c r="G40" s="20">
        <v>4</v>
      </c>
      <c r="H40" s="22">
        <v>4</v>
      </c>
      <c r="I40" s="22">
        <v>3</v>
      </c>
      <c r="J40" s="22"/>
      <c r="K40" s="22"/>
      <c r="L40" s="22"/>
      <c r="M40" s="22"/>
      <c r="N40" s="22"/>
      <c r="O40" s="22"/>
      <c r="P40" s="22"/>
      <c r="Q40" s="21"/>
      <c r="R40" s="22">
        <f t="shared" si="1"/>
        <v>10</v>
      </c>
      <c r="S40" s="22">
        <f t="shared" si="1"/>
        <v>10</v>
      </c>
      <c r="T40" s="22">
        <f t="shared" si="1"/>
        <v>7.5</v>
      </c>
      <c r="U40" s="22" t="str">
        <f t="shared" si="1"/>
        <v/>
      </c>
      <c r="V40" s="22" t="str">
        <f t="shared" si="1"/>
        <v/>
      </c>
      <c r="W40" s="22" t="str">
        <f t="shared" si="1"/>
        <v/>
      </c>
      <c r="X40" s="22" t="str">
        <f t="shared" si="1"/>
        <v/>
      </c>
      <c r="Y40" s="22" t="str">
        <f t="shared" si="1"/>
        <v/>
      </c>
      <c r="Z40" s="22" t="str">
        <f t="shared" si="1"/>
        <v/>
      </c>
      <c r="AA40" s="22" t="str">
        <f t="shared" si="1"/>
        <v/>
      </c>
      <c r="AB40" s="21" t="str">
        <f t="shared" si="1"/>
        <v/>
      </c>
    </row>
    <row r="41" spans="1:28" x14ac:dyDescent="0.3">
      <c r="E41" s="24" t="s">
        <v>3</v>
      </c>
      <c r="F41" s="25" t="s">
        <v>57</v>
      </c>
      <c r="G41" s="24"/>
      <c r="J41" s="1">
        <v>2</v>
      </c>
      <c r="K41" s="1">
        <v>2</v>
      </c>
      <c r="L41" s="1">
        <v>4</v>
      </c>
      <c r="Q41" s="25"/>
      <c r="R41" s="1" t="str">
        <f t="shared" si="1"/>
        <v/>
      </c>
      <c r="S41" s="1" t="str">
        <f t="shared" si="1"/>
        <v/>
      </c>
      <c r="T41" s="1" t="str">
        <f t="shared" si="1"/>
        <v/>
      </c>
      <c r="U41" s="1">
        <f t="shared" si="1"/>
        <v>5</v>
      </c>
      <c r="V41" s="1">
        <f t="shared" si="1"/>
        <v>5</v>
      </c>
      <c r="W41" s="1">
        <f t="shared" si="1"/>
        <v>10</v>
      </c>
      <c r="X41" s="1" t="str">
        <f t="shared" si="1"/>
        <v/>
      </c>
      <c r="Y41" s="1" t="str">
        <f t="shared" si="1"/>
        <v/>
      </c>
      <c r="Z41" s="1" t="str">
        <f t="shared" si="1"/>
        <v/>
      </c>
      <c r="AA41" s="1" t="str">
        <f t="shared" si="1"/>
        <v/>
      </c>
      <c r="AB41" s="25" t="str">
        <f t="shared" si="1"/>
        <v/>
      </c>
    </row>
    <row r="42" spans="1:28" x14ac:dyDescent="0.3">
      <c r="E42" s="24" t="s">
        <v>4</v>
      </c>
      <c r="F42" s="25" t="s">
        <v>57</v>
      </c>
      <c r="G42" s="24"/>
      <c r="M42" s="1">
        <v>3</v>
      </c>
      <c r="N42" s="1">
        <v>1</v>
      </c>
      <c r="Q42" s="25"/>
      <c r="R42" s="1" t="str">
        <f t="shared" si="1"/>
        <v/>
      </c>
      <c r="S42" s="1" t="str">
        <f t="shared" si="1"/>
        <v/>
      </c>
      <c r="T42" s="1" t="str">
        <f t="shared" si="1"/>
        <v/>
      </c>
      <c r="U42" s="1" t="str">
        <f t="shared" si="1"/>
        <v/>
      </c>
      <c r="V42" s="1" t="str">
        <f t="shared" si="1"/>
        <v/>
      </c>
      <c r="W42" s="1" t="str">
        <f t="shared" si="1"/>
        <v/>
      </c>
      <c r="X42" s="1">
        <f t="shared" si="1"/>
        <v>7.5</v>
      </c>
      <c r="Y42" s="1">
        <f t="shared" si="1"/>
        <v>1.25</v>
      </c>
      <c r="Z42" s="1" t="str">
        <f t="shared" si="1"/>
        <v/>
      </c>
      <c r="AA42" s="1" t="str">
        <f t="shared" si="1"/>
        <v/>
      </c>
      <c r="AB42" s="25" t="str">
        <f t="shared" si="1"/>
        <v/>
      </c>
    </row>
    <row r="43" spans="1:28" ht="14.5" thickBot="1" x14ac:dyDescent="0.35">
      <c r="E43" s="26" t="s">
        <v>5</v>
      </c>
      <c r="F43" s="27" t="s">
        <v>57</v>
      </c>
      <c r="G43" s="26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8" t="str">
        <f t="shared" si="1"/>
        <v/>
      </c>
      <c r="S43" s="28" t="str">
        <f t="shared" si="1"/>
        <v/>
      </c>
      <c r="T43" s="28" t="str">
        <f t="shared" si="1"/>
        <v/>
      </c>
      <c r="U43" s="28" t="str">
        <f t="shared" si="1"/>
        <v/>
      </c>
      <c r="V43" s="28" t="str">
        <f t="shared" si="1"/>
        <v/>
      </c>
      <c r="W43" s="28" t="str">
        <f t="shared" si="1"/>
        <v/>
      </c>
      <c r="X43" s="28" t="str">
        <f t="shared" si="1"/>
        <v/>
      </c>
      <c r="Y43" s="28" t="str">
        <f t="shared" si="1"/>
        <v/>
      </c>
      <c r="Z43" s="28" t="str">
        <f t="shared" si="1"/>
        <v/>
      </c>
      <c r="AA43" s="28" t="str">
        <f t="shared" si="1"/>
        <v/>
      </c>
      <c r="AB43" s="27" t="str">
        <f t="shared" si="1"/>
        <v/>
      </c>
    </row>
    <row r="46" spans="1:28" x14ac:dyDescent="0.3">
      <c r="A46" s="1" t="s">
        <v>62</v>
      </c>
    </row>
    <row r="47" spans="1:28" x14ac:dyDescent="0.3">
      <c r="A47" s="29" t="s">
        <v>63</v>
      </c>
    </row>
    <row r="49" spans="1:54" x14ac:dyDescent="0.3">
      <c r="A49" s="24" t="s">
        <v>64</v>
      </c>
      <c r="G49" s="2" t="s">
        <v>2</v>
      </c>
      <c r="H49" s="2" t="s">
        <v>2</v>
      </c>
      <c r="I49" s="2" t="s">
        <v>2</v>
      </c>
      <c r="J49" s="3" t="s">
        <v>3</v>
      </c>
      <c r="K49" s="3" t="s">
        <v>3</v>
      </c>
      <c r="L49" s="3" t="s">
        <v>3</v>
      </c>
      <c r="M49" s="4" t="s">
        <v>4</v>
      </c>
      <c r="N49" s="4" t="s">
        <v>4</v>
      </c>
      <c r="O49" s="5" t="s">
        <v>5</v>
      </c>
      <c r="P49" s="5" t="s">
        <v>5</v>
      </c>
      <c r="Q49" s="5" t="s">
        <v>5</v>
      </c>
      <c r="R49" s="2" t="s">
        <v>2</v>
      </c>
      <c r="S49" s="2" t="s">
        <v>2</v>
      </c>
      <c r="T49" s="2" t="s">
        <v>2</v>
      </c>
      <c r="U49" s="3" t="s">
        <v>3</v>
      </c>
      <c r="V49" s="3" t="s">
        <v>3</v>
      </c>
      <c r="W49" s="3" t="s">
        <v>3</v>
      </c>
      <c r="X49" s="4" t="s">
        <v>4</v>
      </c>
      <c r="Y49" s="4" t="s">
        <v>4</v>
      </c>
      <c r="Z49" s="5" t="s">
        <v>5</v>
      </c>
      <c r="AA49" s="5" t="s">
        <v>5</v>
      </c>
      <c r="AB49" s="5" t="s">
        <v>5</v>
      </c>
    </row>
    <row r="50" spans="1:54" x14ac:dyDescent="0.3">
      <c r="E50" s="1" t="s">
        <v>6</v>
      </c>
      <c r="G50" s="6"/>
      <c r="H50" s="6"/>
      <c r="I50" s="6"/>
      <c r="J50" s="6"/>
      <c r="K50" s="6"/>
      <c r="L50" s="6"/>
      <c r="M50" s="6"/>
      <c r="N50" s="6"/>
      <c r="O50" s="7"/>
      <c r="P50" s="7"/>
      <c r="Q50" s="7"/>
      <c r="R50" s="6"/>
      <c r="S50" s="6"/>
      <c r="T50" s="6"/>
      <c r="U50" s="6"/>
      <c r="V50" s="6"/>
      <c r="W50" s="6"/>
      <c r="X50" s="6"/>
      <c r="Y50" s="6"/>
      <c r="Z50" s="7"/>
      <c r="AA50" s="7"/>
      <c r="AB50" s="7"/>
      <c r="AE50" s="2" t="s">
        <v>2</v>
      </c>
      <c r="AF50" s="2" t="s">
        <v>2</v>
      </c>
      <c r="AG50" s="2" t="s">
        <v>2</v>
      </c>
      <c r="AH50" s="3" t="s">
        <v>3</v>
      </c>
      <c r="AI50" s="3" t="s">
        <v>3</v>
      </c>
      <c r="AJ50" s="3" t="s">
        <v>3</v>
      </c>
      <c r="AK50" s="4" t="s">
        <v>4</v>
      </c>
      <c r="AL50" s="4" t="s">
        <v>4</v>
      </c>
      <c r="AM50" s="5" t="s">
        <v>5</v>
      </c>
      <c r="AN50" s="5" t="s">
        <v>5</v>
      </c>
      <c r="AO50" s="5" t="s">
        <v>5</v>
      </c>
      <c r="AP50" s="2" t="s">
        <v>2</v>
      </c>
      <c r="AQ50" s="2" t="s">
        <v>2</v>
      </c>
      <c r="AR50" s="2" t="s">
        <v>2</v>
      </c>
      <c r="AS50" s="3" t="s">
        <v>3</v>
      </c>
      <c r="AT50" s="3" t="s">
        <v>3</v>
      </c>
      <c r="AU50" s="3" t="s">
        <v>3</v>
      </c>
      <c r="AV50" s="4" t="s">
        <v>4</v>
      </c>
      <c r="AW50" s="4" t="s">
        <v>4</v>
      </c>
      <c r="AX50" s="5" t="s">
        <v>5</v>
      </c>
      <c r="AY50" s="5" t="s">
        <v>5</v>
      </c>
      <c r="AZ50" s="5" t="s">
        <v>5</v>
      </c>
    </row>
    <row r="51" spans="1:54" ht="14.5" thickBot="1" x14ac:dyDescent="0.35">
      <c r="G51" s="8">
        <v>10</v>
      </c>
      <c r="H51" s="8">
        <v>10</v>
      </c>
      <c r="I51" s="8">
        <v>10</v>
      </c>
      <c r="J51" s="8">
        <v>10</v>
      </c>
      <c r="K51" s="8">
        <v>10</v>
      </c>
      <c r="L51" s="8">
        <v>10</v>
      </c>
      <c r="M51" s="8">
        <v>10</v>
      </c>
      <c r="N51" s="8">
        <v>5</v>
      </c>
      <c r="O51" s="8">
        <v>5</v>
      </c>
      <c r="P51" s="8">
        <v>5</v>
      </c>
      <c r="Q51" s="8">
        <v>15</v>
      </c>
      <c r="R51" s="8">
        <v>10</v>
      </c>
      <c r="S51" s="8">
        <v>10</v>
      </c>
      <c r="T51" s="8">
        <v>10</v>
      </c>
      <c r="U51" s="8">
        <v>10</v>
      </c>
      <c r="V51" s="8">
        <v>10</v>
      </c>
      <c r="W51" s="8">
        <v>10</v>
      </c>
      <c r="X51" s="8">
        <v>10</v>
      </c>
      <c r="Y51" s="8">
        <v>5</v>
      </c>
      <c r="Z51" s="8">
        <v>5</v>
      </c>
      <c r="AA51" s="8">
        <v>5</v>
      </c>
      <c r="AB51" s="8">
        <v>15</v>
      </c>
      <c r="AD51" s="19" t="s">
        <v>65</v>
      </c>
      <c r="AE51" s="30">
        <v>1999</v>
      </c>
    </row>
    <row r="52" spans="1:54" ht="14.5" thickBot="1" x14ac:dyDescent="0.35">
      <c r="D52" s="31" t="s">
        <v>65</v>
      </c>
      <c r="E52" s="9" t="s">
        <v>7</v>
      </c>
      <c r="F52" s="10" t="s">
        <v>8</v>
      </c>
      <c r="G52" s="11" t="s">
        <v>9</v>
      </c>
      <c r="H52" s="12" t="s">
        <v>10</v>
      </c>
      <c r="I52" s="12" t="s">
        <v>11</v>
      </c>
      <c r="J52" s="12" t="s">
        <v>12</v>
      </c>
      <c r="K52" s="12" t="s">
        <v>13</v>
      </c>
      <c r="L52" s="12" t="s">
        <v>14</v>
      </c>
      <c r="M52" s="12" t="s">
        <v>15</v>
      </c>
      <c r="N52" s="12" t="s">
        <v>16</v>
      </c>
      <c r="O52" s="13" t="s">
        <v>17</v>
      </c>
      <c r="P52" s="13" t="s">
        <v>18</v>
      </c>
      <c r="Q52" s="14" t="s">
        <v>19</v>
      </c>
      <c r="R52" s="15" t="s">
        <v>20</v>
      </c>
      <c r="S52" s="16" t="s">
        <v>21</v>
      </c>
      <c r="T52" s="16" t="s">
        <v>22</v>
      </c>
      <c r="U52" s="16" t="s">
        <v>23</v>
      </c>
      <c r="V52" s="16" t="s">
        <v>24</v>
      </c>
      <c r="W52" s="16" t="s">
        <v>25</v>
      </c>
      <c r="X52" s="16" t="s">
        <v>26</v>
      </c>
      <c r="Y52" s="16" t="s">
        <v>27</v>
      </c>
      <c r="Z52" s="17" t="s">
        <v>28</v>
      </c>
      <c r="AA52" s="17" t="s">
        <v>29</v>
      </c>
      <c r="AB52" s="18" t="s">
        <v>30</v>
      </c>
      <c r="AE52" s="8">
        <v>10</v>
      </c>
      <c r="AF52" s="8">
        <v>10</v>
      </c>
      <c r="AG52" s="8">
        <v>10</v>
      </c>
      <c r="AH52" s="8">
        <v>10</v>
      </c>
      <c r="AI52" s="8">
        <v>10</v>
      </c>
      <c r="AJ52" s="8">
        <v>10</v>
      </c>
      <c r="AK52" s="8">
        <v>10</v>
      </c>
      <c r="AL52" s="8">
        <v>5</v>
      </c>
      <c r="AM52" s="8">
        <v>5</v>
      </c>
      <c r="AN52" s="8">
        <v>5</v>
      </c>
      <c r="AO52" s="8">
        <v>15</v>
      </c>
      <c r="AP52" s="8">
        <v>10</v>
      </c>
      <c r="AQ52" s="8">
        <v>10</v>
      </c>
      <c r="AR52" s="8">
        <v>10</v>
      </c>
      <c r="AS52" s="8">
        <v>10</v>
      </c>
      <c r="AT52" s="8">
        <v>10</v>
      </c>
      <c r="AU52" s="8">
        <v>10</v>
      </c>
      <c r="AV52" s="8">
        <v>10</v>
      </c>
      <c r="AW52" s="8">
        <v>5</v>
      </c>
      <c r="AX52" s="8">
        <v>5</v>
      </c>
      <c r="AY52" s="8">
        <v>5</v>
      </c>
      <c r="AZ52" s="8">
        <v>15</v>
      </c>
      <c r="BA52" s="8"/>
    </row>
    <row r="53" spans="1:54" x14ac:dyDescent="0.3">
      <c r="A53" s="2" t="s">
        <v>2</v>
      </c>
      <c r="B53" s="2" t="s">
        <v>9</v>
      </c>
      <c r="D53" s="31">
        <v>1999</v>
      </c>
      <c r="E53" s="22" t="s">
        <v>2</v>
      </c>
      <c r="F53" s="21" t="s">
        <v>56</v>
      </c>
      <c r="G53" s="20">
        <v>4</v>
      </c>
      <c r="H53" s="22">
        <v>4</v>
      </c>
      <c r="I53" s="22">
        <v>2</v>
      </c>
      <c r="J53" s="22"/>
      <c r="K53" s="22"/>
      <c r="L53" s="22"/>
      <c r="M53" s="22"/>
      <c r="N53" s="22"/>
      <c r="O53" s="22"/>
      <c r="P53" s="22"/>
      <c r="Q53" s="22"/>
      <c r="R53" s="20">
        <f t="shared" ref="R53:AB76" si="2">IF(G53="-","",IF(G53/4*R$5=0, "",G53/4*R$5))</f>
        <v>10</v>
      </c>
      <c r="S53" s="22">
        <f t="shared" si="2"/>
        <v>10</v>
      </c>
      <c r="T53" s="22">
        <f t="shared" si="2"/>
        <v>5</v>
      </c>
      <c r="U53" s="22" t="str">
        <f t="shared" si="2"/>
        <v/>
      </c>
      <c r="V53" s="22" t="str">
        <f t="shared" si="2"/>
        <v/>
      </c>
      <c r="W53" s="22" t="str">
        <f t="shared" si="2"/>
        <v/>
      </c>
      <c r="X53" s="22" t="str">
        <f t="shared" si="2"/>
        <v/>
      </c>
      <c r="Y53" s="22" t="str">
        <f t="shared" si="2"/>
        <v/>
      </c>
      <c r="Z53" s="22" t="str">
        <f t="shared" si="2"/>
        <v/>
      </c>
      <c r="AA53" s="22" t="str">
        <f t="shared" si="2"/>
        <v/>
      </c>
      <c r="AB53" s="21" t="str">
        <f t="shared" si="2"/>
        <v/>
      </c>
      <c r="AD53" s="19" t="s">
        <v>31</v>
      </c>
      <c r="AE53" s="19" t="s">
        <v>32</v>
      </c>
      <c r="AF53" s="19" t="s">
        <v>33</v>
      </c>
      <c r="AG53" s="19" t="s">
        <v>34</v>
      </c>
      <c r="AH53" s="19" t="s">
        <v>35</v>
      </c>
      <c r="AI53" s="19" t="s">
        <v>36</v>
      </c>
      <c r="AJ53" s="19" t="s">
        <v>37</v>
      </c>
      <c r="AK53" s="19" t="s">
        <v>38</v>
      </c>
      <c r="AL53" s="19" t="s">
        <v>39</v>
      </c>
      <c r="AM53" s="19" t="s">
        <v>40</v>
      </c>
      <c r="AN53" s="19" t="s">
        <v>41</v>
      </c>
      <c r="AO53" s="19" t="s">
        <v>42</v>
      </c>
      <c r="AP53" s="19" t="s">
        <v>43</v>
      </c>
      <c r="AQ53" s="19" t="s">
        <v>44</v>
      </c>
      <c r="AR53" s="19" t="s">
        <v>45</v>
      </c>
      <c r="AS53" s="19" t="s">
        <v>46</v>
      </c>
      <c r="AT53" s="19" t="s">
        <v>47</v>
      </c>
      <c r="AU53" s="19" t="s">
        <v>48</v>
      </c>
      <c r="AV53" s="19" t="s">
        <v>49</v>
      </c>
      <c r="AW53" s="19" t="s">
        <v>50</v>
      </c>
      <c r="AX53" s="19" t="s">
        <v>51</v>
      </c>
      <c r="AY53" s="19" t="s">
        <v>52</v>
      </c>
      <c r="AZ53" s="19" t="s">
        <v>53</v>
      </c>
      <c r="BA53" s="19" t="s">
        <v>54</v>
      </c>
      <c r="BB53" s="19" t="s">
        <v>55</v>
      </c>
    </row>
    <row r="54" spans="1:54" x14ac:dyDescent="0.3">
      <c r="A54" s="2" t="s">
        <v>2</v>
      </c>
      <c r="B54" s="2" t="s">
        <v>10</v>
      </c>
      <c r="D54" s="32">
        <v>1999</v>
      </c>
      <c r="E54" s="1" t="s">
        <v>3</v>
      </c>
      <c r="F54" s="25" t="s">
        <v>56</v>
      </c>
      <c r="G54" s="24"/>
      <c r="J54" s="1">
        <v>3</v>
      </c>
      <c r="K54" s="1">
        <v>3</v>
      </c>
      <c r="L54" s="1">
        <v>1</v>
      </c>
      <c r="R54" s="24" t="str">
        <f t="shared" si="2"/>
        <v/>
      </c>
      <c r="S54" s="1" t="str">
        <f t="shared" si="2"/>
        <v/>
      </c>
      <c r="T54" s="1" t="str">
        <f t="shared" si="2"/>
        <v/>
      </c>
      <c r="U54" s="1">
        <f t="shared" si="2"/>
        <v>7.5</v>
      </c>
      <c r="V54" s="1">
        <f t="shared" si="2"/>
        <v>7.5</v>
      </c>
      <c r="W54" s="1">
        <f t="shared" si="2"/>
        <v>2.5</v>
      </c>
      <c r="X54" s="1" t="str">
        <f t="shared" si="2"/>
        <v/>
      </c>
      <c r="Y54" s="1" t="str">
        <f t="shared" si="2"/>
        <v/>
      </c>
      <c r="Z54" s="1" t="str">
        <f t="shared" si="2"/>
        <v/>
      </c>
      <c r="AA54" s="1" t="str">
        <f t="shared" si="2"/>
        <v/>
      </c>
      <c r="AB54" s="25" t="str">
        <f t="shared" si="2"/>
        <v/>
      </c>
      <c r="AD54" s="23" t="s">
        <v>57</v>
      </c>
      <c r="AE54" s="19">
        <v>3</v>
      </c>
      <c r="AF54" s="19">
        <v>3.3333333333333335</v>
      </c>
      <c r="AG54" s="19">
        <v>2</v>
      </c>
      <c r="AH54" s="19">
        <v>3</v>
      </c>
      <c r="AI54" s="19">
        <v>3.3333333333333335</v>
      </c>
      <c r="AJ54" s="19">
        <v>2.3333333333333335</v>
      </c>
      <c r="AK54" s="19">
        <v>3.3333333333333335</v>
      </c>
      <c r="AL54" s="19">
        <v>1.6666666666666667</v>
      </c>
      <c r="AM54" s="19"/>
      <c r="AN54" s="19"/>
      <c r="AO54" s="19"/>
      <c r="AP54" s="19">
        <v>7.5</v>
      </c>
      <c r="AQ54" s="19">
        <v>8.3333333333333339</v>
      </c>
      <c r="AR54" s="19">
        <v>5</v>
      </c>
      <c r="AS54" s="19">
        <v>7.5</v>
      </c>
      <c r="AT54" s="19">
        <v>8.3333333333333339</v>
      </c>
      <c r="AU54" s="19">
        <v>5.833333333333333</v>
      </c>
      <c r="AV54" s="19">
        <v>8.3333333333333339</v>
      </c>
      <c r="AW54" s="19">
        <v>2.0833333333333335</v>
      </c>
      <c r="AX54" s="19"/>
      <c r="AY54" s="19"/>
      <c r="AZ54" s="19"/>
      <c r="BA54" s="19">
        <f>SUM(AE54:AO54)</f>
        <v>22</v>
      </c>
      <c r="BB54" s="19">
        <f>SUMIFS(AP54:AZ54, AP54:AZ54, "&lt;&gt;")/SUMIFS($AP$5:$AZ$5, AP54:AZ54, "&lt;&gt;")*100</f>
        <v>70.555555555555571</v>
      </c>
    </row>
    <row r="55" spans="1:54" x14ac:dyDescent="0.3">
      <c r="A55" s="2" t="s">
        <v>2</v>
      </c>
      <c r="B55" s="2" t="s">
        <v>11</v>
      </c>
      <c r="D55" s="32">
        <v>1999</v>
      </c>
      <c r="E55" s="1" t="s">
        <v>4</v>
      </c>
      <c r="F55" s="25" t="s">
        <v>56</v>
      </c>
      <c r="G55" s="24"/>
      <c r="M55" s="1">
        <v>2</v>
      </c>
      <c r="N55" s="1">
        <v>2</v>
      </c>
      <c r="R55" s="24" t="str">
        <f t="shared" si="2"/>
        <v/>
      </c>
      <c r="S55" s="1" t="str">
        <f t="shared" si="2"/>
        <v/>
      </c>
      <c r="T55" s="1" t="str">
        <f t="shared" si="2"/>
        <v/>
      </c>
      <c r="U55" s="1" t="str">
        <f t="shared" si="2"/>
        <v/>
      </c>
      <c r="V55" s="1" t="str">
        <f t="shared" si="2"/>
        <v/>
      </c>
      <c r="W55" s="1" t="str">
        <f t="shared" si="2"/>
        <v/>
      </c>
      <c r="X55" s="1">
        <f t="shared" si="2"/>
        <v>5</v>
      </c>
      <c r="Y55" s="1">
        <f t="shared" si="2"/>
        <v>2.5</v>
      </c>
      <c r="Z55" s="1" t="str">
        <f t="shared" si="2"/>
        <v/>
      </c>
      <c r="AA55" s="1" t="str">
        <f t="shared" si="2"/>
        <v/>
      </c>
      <c r="AB55" s="25" t="str">
        <f t="shared" si="2"/>
        <v/>
      </c>
      <c r="AD55" s="23" t="s">
        <v>56</v>
      </c>
      <c r="AE55" s="19">
        <v>4</v>
      </c>
      <c r="AF55" s="19">
        <v>4</v>
      </c>
      <c r="AG55" s="19">
        <v>2</v>
      </c>
      <c r="AH55" s="19">
        <v>3</v>
      </c>
      <c r="AI55" s="19">
        <v>3</v>
      </c>
      <c r="AJ55" s="19">
        <v>1</v>
      </c>
      <c r="AK55" s="19">
        <v>2</v>
      </c>
      <c r="AL55" s="19">
        <v>2</v>
      </c>
      <c r="AM55" s="19">
        <v>3</v>
      </c>
      <c r="AN55" s="19">
        <v>4</v>
      </c>
      <c r="AO55" s="19">
        <v>4</v>
      </c>
      <c r="AP55" s="19">
        <v>10</v>
      </c>
      <c r="AQ55" s="19">
        <v>10</v>
      </c>
      <c r="AR55" s="19">
        <v>5</v>
      </c>
      <c r="AS55" s="19">
        <v>7.5</v>
      </c>
      <c r="AT55" s="19">
        <v>7.5</v>
      </c>
      <c r="AU55" s="19">
        <v>2.5</v>
      </c>
      <c r="AV55" s="19">
        <v>5</v>
      </c>
      <c r="AW55" s="19">
        <v>2.5</v>
      </c>
      <c r="AX55" s="19">
        <v>3.75</v>
      </c>
      <c r="AY55" s="19">
        <v>5</v>
      </c>
      <c r="AZ55" s="19">
        <v>15</v>
      </c>
      <c r="BA55" s="19">
        <f>SUM(AE55:AO55)</f>
        <v>32</v>
      </c>
      <c r="BB55" s="19">
        <f>SUMIFS(AP55:AZ55, AP55:AZ55, "&lt;&gt;")/SUMIFS($AP$5:$AZ$5, AP55:AZ55, "&lt;&gt;")*100</f>
        <v>73.75</v>
      </c>
    </row>
    <row r="56" spans="1:54" ht="14.5" thickBot="1" x14ac:dyDescent="0.35">
      <c r="A56" s="3" t="s">
        <v>3</v>
      </c>
      <c r="B56" s="3" t="s">
        <v>12</v>
      </c>
      <c r="D56" s="33">
        <v>1999</v>
      </c>
      <c r="E56" s="28" t="s">
        <v>5</v>
      </c>
      <c r="F56" s="27" t="s">
        <v>56</v>
      </c>
      <c r="G56" s="26"/>
      <c r="H56" s="28"/>
      <c r="I56" s="28"/>
      <c r="J56" s="28"/>
      <c r="K56" s="28"/>
      <c r="L56" s="28"/>
      <c r="M56" s="28"/>
      <c r="N56" s="28"/>
      <c r="O56" s="28">
        <v>3</v>
      </c>
      <c r="P56" s="28">
        <v>4</v>
      </c>
      <c r="Q56" s="28">
        <v>4</v>
      </c>
      <c r="R56" s="26" t="str">
        <f t="shared" si="2"/>
        <v/>
      </c>
      <c r="S56" s="28" t="str">
        <f t="shared" si="2"/>
        <v/>
      </c>
      <c r="T56" s="28" t="str">
        <f t="shared" si="2"/>
        <v/>
      </c>
      <c r="U56" s="28" t="str">
        <f t="shared" si="2"/>
        <v/>
      </c>
      <c r="V56" s="28" t="str">
        <f t="shared" si="2"/>
        <v/>
      </c>
      <c r="W56" s="28" t="str">
        <f t="shared" si="2"/>
        <v/>
      </c>
      <c r="X56" s="28" t="str">
        <f t="shared" si="2"/>
        <v/>
      </c>
      <c r="Y56" s="28" t="str">
        <f t="shared" si="2"/>
        <v/>
      </c>
      <c r="Z56" s="28">
        <f t="shared" si="2"/>
        <v>3.75</v>
      </c>
      <c r="AA56" s="28">
        <f t="shared" si="2"/>
        <v>5</v>
      </c>
      <c r="AB56" s="27">
        <f t="shared" si="2"/>
        <v>15</v>
      </c>
      <c r="AD56" s="23" t="s">
        <v>58</v>
      </c>
      <c r="AE56" s="19">
        <v>3.25</v>
      </c>
      <c r="AF56" s="19">
        <v>3.5</v>
      </c>
      <c r="AG56" s="19">
        <v>2</v>
      </c>
      <c r="AH56" s="19">
        <v>3</v>
      </c>
      <c r="AI56" s="19">
        <v>3.25</v>
      </c>
      <c r="AJ56" s="19">
        <v>2</v>
      </c>
      <c r="AK56" s="19">
        <v>3</v>
      </c>
      <c r="AL56" s="19">
        <v>1.75</v>
      </c>
      <c r="AM56" s="19">
        <v>3</v>
      </c>
      <c r="AN56" s="19">
        <v>4</v>
      </c>
      <c r="AO56" s="19">
        <v>4</v>
      </c>
      <c r="AP56" s="19">
        <v>8.125</v>
      </c>
      <c r="AQ56" s="19">
        <v>8.75</v>
      </c>
      <c r="AR56" s="19">
        <v>5</v>
      </c>
      <c r="AS56" s="19">
        <v>7.5</v>
      </c>
      <c r="AT56" s="19">
        <v>8.125</v>
      </c>
      <c r="AU56" s="19">
        <v>5</v>
      </c>
      <c r="AV56" s="19">
        <v>7.5</v>
      </c>
      <c r="AW56" s="19">
        <v>2.1875</v>
      </c>
      <c r="AX56" s="19">
        <v>3.75</v>
      </c>
      <c r="AY56" s="19">
        <v>5</v>
      </c>
      <c r="AZ56" s="19">
        <v>15</v>
      </c>
      <c r="BA56" s="19">
        <f>SUM(AE56:AO56)</f>
        <v>32.75</v>
      </c>
      <c r="BB56" s="19">
        <f>SUMIFS(AP56:AZ56, AP56:AZ56, "&lt;&gt;")/SUMIFS($AP$5:$AZ$5, AP56:AZ56, "&lt;&gt;")*100</f>
        <v>75.9375</v>
      </c>
    </row>
    <row r="57" spans="1:54" x14ac:dyDescent="0.3">
      <c r="A57" s="3" t="s">
        <v>3</v>
      </c>
      <c r="B57" s="3" t="s">
        <v>13</v>
      </c>
      <c r="D57" s="31">
        <v>1999</v>
      </c>
      <c r="E57" s="20" t="s">
        <v>2</v>
      </c>
      <c r="F57" s="21" t="s">
        <v>57</v>
      </c>
      <c r="G57" s="20">
        <v>3</v>
      </c>
      <c r="H57" s="22">
        <v>2</v>
      </c>
      <c r="I57" s="22">
        <v>2</v>
      </c>
      <c r="J57" s="22"/>
      <c r="K57" s="22"/>
      <c r="L57" s="22"/>
      <c r="M57" s="22"/>
      <c r="N57" s="22"/>
      <c r="O57" s="22"/>
      <c r="P57" s="22"/>
      <c r="Q57" s="21"/>
      <c r="R57" s="22">
        <f t="shared" si="2"/>
        <v>7.5</v>
      </c>
      <c r="S57" s="22">
        <f t="shared" si="2"/>
        <v>5</v>
      </c>
      <c r="T57" s="22">
        <f t="shared" si="2"/>
        <v>5</v>
      </c>
      <c r="U57" s="22" t="str">
        <f t="shared" si="2"/>
        <v/>
      </c>
      <c r="V57" s="22" t="str">
        <f t="shared" si="2"/>
        <v/>
      </c>
      <c r="W57" s="22" t="str">
        <f t="shared" si="2"/>
        <v/>
      </c>
      <c r="X57" s="22" t="str">
        <f t="shared" si="2"/>
        <v/>
      </c>
      <c r="Y57" s="22" t="str">
        <f t="shared" si="2"/>
        <v/>
      </c>
      <c r="Z57" s="22" t="str">
        <f t="shared" si="2"/>
        <v/>
      </c>
      <c r="AA57" s="22" t="str">
        <f t="shared" si="2"/>
        <v/>
      </c>
      <c r="AB57" s="21" t="str">
        <f t="shared" si="2"/>
        <v/>
      </c>
    </row>
    <row r="58" spans="1:54" x14ac:dyDescent="0.3">
      <c r="A58" s="3" t="s">
        <v>3</v>
      </c>
      <c r="B58" s="3" t="s">
        <v>14</v>
      </c>
      <c r="D58" s="32">
        <v>1999</v>
      </c>
      <c r="E58" s="24" t="s">
        <v>3</v>
      </c>
      <c r="F58" s="25" t="s">
        <v>57</v>
      </c>
      <c r="G58" s="24"/>
      <c r="J58" s="1">
        <v>4</v>
      </c>
      <c r="K58" s="1">
        <v>4</v>
      </c>
      <c r="L58" s="1">
        <v>1</v>
      </c>
      <c r="Q58" s="25"/>
      <c r="R58" s="1" t="str">
        <f t="shared" si="2"/>
        <v/>
      </c>
      <c r="S58" s="1" t="str">
        <f t="shared" si="2"/>
        <v/>
      </c>
      <c r="T58" s="1" t="str">
        <f t="shared" si="2"/>
        <v/>
      </c>
      <c r="U58" s="1">
        <f t="shared" si="2"/>
        <v>10</v>
      </c>
      <c r="V58" s="1">
        <f t="shared" si="2"/>
        <v>10</v>
      </c>
      <c r="W58" s="1">
        <f t="shared" si="2"/>
        <v>2.5</v>
      </c>
      <c r="X58" s="1" t="str">
        <f t="shared" si="2"/>
        <v/>
      </c>
      <c r="Y58" s="1" t="str">
        <f t="shared" si="2"/>
        <v/>
      </c>
      <c r="Z58" s="1" t="str">
        <f t="shared" si="2"/>
        <v/>
      </c>
      <c r="AA58" s="1" t="str">
        <f t="shared" si="2"/>
        <v/>
      </c>
      <c r="AB58" s="25" t="str">
        <f t="shared" si="2"/>
        <v/>
      </c>
    </row>
    <row r="59" spans="1:54" x14ac:dyDescent="0.3">
      <c r="A59" s="4" t="s">
        <v>4</v>
      </c>
      <c r="B59" s="4" t="s">
        <v>15</v>
      </c>
      <c r="D59" s="32">
        <v>1999</v>
      </c>
      <c r="E59" s="24" t="s">
        <v>4</v>
      </c>
      <c r="F59" s="25" t="s">
        <v>57</v>
      </c>
      <c r="G59" s="24"/>
      <c r="M59" s="1">
        <v>4</v>
      </c>
      <c r="N59" s="1">
        <v>2</v>
      </c>
      <c r="Q59" s="25"/>
      <c r="R59" s="1" t="str">
        <f t="shared" si="2"/>
        <v/>
      </c>
      <c r="S59" s="1" t="str">
        <f t="shared" si="2"/>
        <v/>
      </c>
      <c r="T59" s="1" t="str">
        <f t="shared" si="2"/>
        <v/>
      </c>
      <c r="U59" s="1" t="str">
        <f t="shared" si="2"/>
        <v/>
      </c>
      <c r="V59" s="1" t="str">
        <f t="shared" si="2"/>
        <v/>
      </c>
      <c r="W59" s="1" t="str">
        <f t="shared" si="2"/>
        <v/>
      </c>
      <c r="X59" s="1">
        <f t="shared" si="2"/>
        <v>10</v>
      </c>
      <c r="Y59" s="1">
        <f t="shared" si="2"/>
        <v>2.5</v>
      </c>
      <c r="Z59" s="1" t="str">
        <f t="shared" si="2"/>
        <v/>
      </c>
      <c r="AA59" s="1" t="str">
        <f t="shared" si="2"/>
        <v/>
      </c>
      <c r="AB59" s="25" t="str">
        <f t="shared" si="2"/>
        <v/>
      </c>
    </row>
    <row r="60" spans="1:54" ht="14.5" thickBot="1" x14ac:dyDescent="0.35">
      <c r="A60" s="4" t="s">
        <v>4</v>
      </c>
      <c r="B60" s="4" t="s">
        <v>16</v>
      </c>
      <c r="D60" s="33">
        <v>1999</v>
      </c>
      <c r="E60" s="24" t="s">
        <v>5</v>
      </c>
      <c r="F60" s="25" t="s">
        <v>57</v>
      </c>
      <c r="G60" s="24"/>
      <c r="Q60" s="25"/>
      <c r="R60" s="1" t="str">
        <f t="shared" si="2"/>
        <v/>
      </c>
      <c r="S60" s="1" t="str">
        <f t="shared" si="2"/>
        <v/>
      </c>
      <c r="T60" s="1" t="str">
        <f t="shared" si="2"/>
        <v/>
      </c>
      <c r="U60" s="1" t="str">
        <f t="shared" si="2"/>
        <v/>
      </c>
      <c r="V60" s="1" t="str">
        <f t="shared" si="2"/>
        <v/>
      </c>
      <c r="W60" s="1" t="str">
        <f t="shared" si="2"/>
        <v/>
      </c>
      <c r="X60" s="1" t="str">
        <f t="shared" si="2"/>
        <v/>
      </c>
      <c r="Y60" s="1" t="str">
        <f t="shared" si="2"/>
        <v/>
      </c>
      <c r="Z60" s="1" t="str">
        <f t="shared" si="2"/>
        <v/>
      </c>
      <c r="AA60" s="1" t="str">
        <f t="shared" si="2"/>
        <v/>
      </c>
      <c r="AB60" s="25" t="str">
        <f t="shared" si="2"/>
        <v/>
      </c>
    </row>
    <row r="61" spans="1:54" x14ac:dyDescent="0.3">
      <c r="A61" s="5" t="s">
        <v>5</v>
      </c>
      <c r="B61" s="5" t="s">
        <v>17</v>
      </c>
      <c r="D61" s="31">
        <v>1999</v>
      </c>
      <c r="E61" s="20" t="s">
        <v>2</v>
      </c>
      <c r="F61" s="21" t="s">
        <v>57</v>
      </c>
      <c r="G61" s="20">
        <v>2</v>
      </c>
      <c r="H61" s="22">
        <v>4</v>
      </c>
      <c r="I61" s="22">
        <v>1</v>
      </c>
      <c r="J61" s="22"/>
      <c r="K61" s="22"/>
      <c r="L61" s="22"/>
      <c r="M61" s="22"/>
      <c r="N61" s="22"/>
      <c r="O61" s="22"/>
      <c r="P61" s="22"/>
      <c r="Q61" s="22"/>
      <c r="R61" s="20">
        <f t="shared" si="2"/>
        <v>5</v>
      </c>
      <c r="S61" s="22">
        <f t="shared" si="2"/>
        <v>10</v>
      </c>
      <c r="T61" s="22">
        <f t="shared" si="2"/>
        <v>2.5</v>
      </c>
      <c r="U61" s="22" t="str">
        <f t="shared" si="2"/>
        <v/>
      </c>
      <c r="V61" s="22" t="str">
        <f t="shared" si="2"/>
        <v/>
      </c>
      <c r="W61" s="22" t="str">
        <f t="shared" si="2"/>
        <v/>
      </c>
      <c r="X61" s="22" t="str">
        <f t="shared" si="2"/>
        <v/>
      </c>
      <c r="Y61" s="22" t="str">
        <f t="shared" si="2"/>
        <v/>
      </c>
      <c r="Z61" s="22" t="str">
        <f t="shared" si="2"/>
        <v/>
      </c>
      <c r="AA61" s="22" t="str">
        <f t="shared" si="2"/>
        <v/>
      </c>
      <c r="AB61" s="21" t="str">
        <f t="shared" si="2"/>
        <v/>
      </c>
    </row>
    <row r="62" spans="1:54" x14ac:dyDescent="0.3">
      <c r="A62" s="5" t="s">
        <v>5</v>
      </c>
      <c r="B62" s="5" t="s">
        <v>18</v>
      </c>
      <c r="D62" s="32">
        <v>1999</v>
      </c>
      <c r="E62" s="24" t="s">
        <v>3</v>
      </c>
      <c r="F62" s="25" t="s">
        <v>57</v>
      </c>
      <c r="G62" s="24"/>
      <c r="J62" s="1">
        <v>3</v>
      </c>
      <c r="K62" s="1">
        <v>4</v>
      </c>
      <c r="L62" s="1">
        <v>2</v>
      </c>
      <c r="R62" s="24" t="str">
        <f t="shared" si="2"/>
        <v/>
      </c>
      <c r="S62" s="1" t="str">
        <f t="shared" si="2"/>
        <v/>
      </c>
      <c r="T62" s="1" t="str">
        <f t="shared" si="2"/>
        <v/>
      </c>
      <c r="U62" s="1">
        <f t="shared" si="2"/>
        <v>7.5</v>
      </c>
      <c r="V62" s="1">
        <f t="shared" si="2"/>
        <v>10</v>
      </c>
      <c r="W62" s="1">
        <f t="shared" si="2"/>
        <v>5</v>
      </c>
      <c r="X62" s="1" t="str">
        <f t="shared" si="2"/>
        <v/>
      </c>
      <c r="Y62" s="1" t="str">
        <f t="shared" si="2"/>
        <v/>
      </c>
      <c r="Z62" s="1" t="str">
        <f t="shared" si="2"/>
        <v/>
      </c>
      <c r="AA62" s="1" t="str">
        <f t="shared" si="2"/>
        <v/>
      </c>
      <c r="AB62" s="25" t="str">
        <f t="shared" si="2"/>
        <v/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</row>
    <row r="63" spans="1:54" x14ac:dyDescent="0.3">
      <c r="A63" s="5" t="s">
        <v>5</v>
      </c>
      <c r="B63" s="5" t="s">
        <v>19</v>
      </c>
      <c r="D63" s="32">
        <v>1999</v>
      </c>
      <c r="E63" s="24" t="s">
        <v>4</v>
      </c>
      <c r="F63" s="25" t="s">
        <v>57</v>
      </c>
      <c r="G63" s="24"/>
      <c r="M63" s="1">
        <v>3</v>
      </c>
      <c r="N63" s="1">
        <v>2</v>
      </c>
      <c r="R63" s="24" t="str">
        <f t="shared" si="2"/>
        <v/>
      </c>
      <c r="S63" s="1" t="str">
        <f t="shared" si="2"/>
        <v/>
      </c>
      <c r="T63" s="1" t="str">
        <f t="shared" si="2"/>
        <v/>
      </c>
      <c r="U63" s="1" t="str">
        <f t="shared" si="2"/>
        <v/>
      </c>
      <c r="V63" s="1" t="str">
        <f t="shared" si="2"/>
        <v/>
      </c>
      <c r="W63" s="1" t="str">
        <f t="shared" si="2"/>
        <v/>
      </c>
      <c r="X63" s="1">
        <f t="shared" si="2"/>
        <v>7.5</v>
      </c>
      <c r="Y63" s="1">
        <f t="shared" si="2"/>
        <v>2.5</v>
      </c>
      <c r="Z63" s="1" t="str">
        <f t="shared" si="2"/>
        <v/>
      </c>
      <c r="AA63" s="1" t="str">
        <f t="shared" si="2"/>
        <v/>
      </c>
      <c r="AB63" s="25" t="str">
        <f t="shared" si="2"/>
        <v/>
      </c>
    </row>
    <row r="64" spans="1:54" ht="14.5" thickBot="1" x14ac:dyDescent="0.35">
      <c r="D64" s="33">
        <v>1999</v>
      </c>
      <c r="E64" s="26" t="s">
        <v>5</v>
      </c>
      <c r="F64" s="27" t="s">
        <v>57</v>
      </c>
      <c r="G64" s="26"/>
      <c r="H64" s="28"/>
      <c r="I64" s="28"/>
      <c r="J64" s="28"/>
      <c r="K64" s="28"/>
      <c r="L64" s="28"/>
      <c r="M64" s="28"/>
      <c r="N64" s="28"/>
      <c r="O64" s="28" t="s">
        <v>59</v>
      </c>
      <c r="P64" s="28" t="s">
        <v>59</v>
      </c>
      <c r="Q64" s="28" t="s">
        <v>59</v>
      </c>
      <c r="R64" s="26" t="str">
        <f t="shared" si="2"/>
        <v/>
      </c>
      <c r="S64" s="28" t="str">
        <f t="shared" si="2"/>
        <v/>
      </c>
      <c r="T64" s="28" t="str">
        <f t="shared" si="2"/>
        <v/>
      </c>
      <c r="U64" s="28" t="str">
        <f t="shared" si="2"/>
        <v/>
      </c>
      <c r="V64" s="28" t="str">
        <f t="shared" si="2"/>
        <v/>
      </c>
      <c r="W64" s="28" t="str">
        <f t="shared" si="2"/>
        <v/>
      </c>
      <c r="X64" s="28" t="str">
        <f t="shared" si="2"/>
        <v/>
      </c>
      <c r="Y64" s="28" t="str">
        <f t="shared" si="2"/>
        <v/>
      </c>
      <c r="Z64" s="28" t="str">
        <f t="shared" si="2"/>
        <v/>
      </c>
      <c r="AA64" s="28" t="str">
        <f t="shared" si="2"/>
        <v/>
      </c>
      <c r="AB64" s="27" t="str">
        <f t="shared" si="2"/>
        <v/>
      </c>
    </row>
    <row r="65" spans="4:28" x14ac:dyDescent="0.3">
      <c r="D65" s="31">
        <v>1999</v>
      </c>
      <c r="E65" s="20" t="s">
        <v>2</v>
      </c>
      <c r="F65" s="21" t="s">
        <v>57</v>
      </c>
      <c r="G65" s="20">
        <v>4</v>
      </c>
      <c r="H65" s="22">
        <v>4</v>
      </c>
      <c r="I65" s="22">
        <v>3</v>
      </c>
      <c r="J65" s="22"/>
      <c r="K65" s="22"/>
      <c r="L65" s="22"/>
      <c r="M65" s="22"/>
      <c r="N65" s="22"/>
      <c r="O65" s="22"/>
      <c r="P65" s="22"/>
      <c r="Q65" s="21"/>
      <c r="R65" s="22">
        <f t="shared" si="2"/>
        <v>10</v>
      </c>
      <c r="S65" s="22">
        <f t="shared" si="2"/>
        <v>10</v>
      </c>
      <c r="T65" s="22">
        <f t="shared" si="2"/>
        <v>7.5</v>
      </c>
      <c r="U65" s="22" t="str">
        <f t="shared" si="2"/>
        <v/>
      </c>
      <c r="V65" s="22" t="str">
        <f t="shared" si="2"/>
        <v/>
      </c>
      <c r="W65" s="22" t="str">
        <f t="shared" si="2"/>
        <v/>
      </c>
      <c r="X65" s="22" t="str">
        <f t="shared" si="2"/>
        <v/>
      </c>
      <c r="Y65" s="22" t="str">
        <f t="shared" si="2"/>
        <v/>
      </c>
      <c r="Z65" s="22" t="str">
        <f t="shared" si="2"/>
        <v/>
      </c>
      <c r="AA65" s="22" t="str">
        <f t="shared" si="2"/>
        <v/>
      </c>
      <c r="AB65" s="21" t="str">
        <f t="shared" si="2"/>
        <v/>
      </c>
    </row>
    <row r="66" spans="4:28" x14ac:dyDescent="0.3">
      <c r="D66" s="32">
        <v>1999</v>
      </c>
      <c r="E66" s="24" t="s">
        <v>3</v>
      </c>
      <c r="F66" s="25" t="s">
        <v>57</v>
      </c>
      <c r="G66" s="24"/>
      <c r="J66" s="1">
        <v>2</v>
      </c>
      <c r="K66" s="1">
        <v>2</v>
      </c>
      <c r="L66" s="1">
        <v>4</v>
      </c>
      <c r="Q66" s="25"/>
      <c r="R66" s="1" t="str">
        <f t="shared" si="2"/>
        <v/>
      </c>
      <c r="S66" s="1" t="str">
        <f t="shared" si="2"/>
        <v/>
      </c>
      <c r="T66" s="1" t="str">
        <f t="shared" si="2"/>
        <v/>
      </c>
      <c r="U66" s="1">
        <f t="shared" si="2"/>
        <v>5</v>
      </c>
      <c r="V66" s="1">
        <f t="shared" si="2"/>
        <v>5</v>
      </c>
      <c r="W66" s="1">
        <f t="shared" si="2"/>
        <v>10</v>
      </c>
      <c r="X66" s="1" t="str">
        <f t="shared" si="2"/>
        <v/>
      </c>
      <c r="Y66" s="1" t="str">
        <f t="shared" si="2"/>
        <v/>
      </c>
      <c r="Z66" s="1" t="str">
        <f t="shared" si="2"/>
        <v/>
      </c>
      <c r="AA66" s="1" t="str">
        <f t="shared" si="2"/>
        <v/>
      </c>
      <c r="AB66" s="25" t="str">
        <f t="shared" si="2"/>
        <v/>
      </c>
    </row>
    <row r="67" spans="4:28" x14ac:dyDescent="0.3">
      <c r="D67" s="32">
        <v>1999</v>
      </c>
      <c r="E67" s="24" t="s">
        <v>4</v>
      </c>
      <c r="F67" s="25" t="s">
        <v>57</v>
      </c>
      <c r="G67" s="24"/>
      <c r="M67" s="1">
        <v>3</v>
      </c>
      <c r="N67" s="1">
        <v>1</v>
      </c>
      <c r="Q67" s="25"/>
      <c r="R67" s="1" t="str">
        <f t="shared" si="2"/>
        <v/>
      </c>
      <c r="S67" s="1" t="str">
        <f t="shared" si="2"/>
        <v/>
      </c>
      <c r="T67" s="1" t="str">
        <f t="shared" si="2"/>
        <v/>
      </c>
      <c r="U67" s="1" t="str">
        <f t="shared" si="2"/>
        <v/>
      </c>
      <c r="V67" s="1" t="str">
        <f t="shared" si="2"/>
        <v/>
      </c>
      <c r="W67" s="1" t="str">
        <f t="shared" si="2"/>
        <v/>
      </c>
      <c r="X67" s="1">
        <f t="shared" si="2"/>
        <v>7.5</v>
      </c>
      <c r="Y67" s="1">
        <f t="shared" si="2"/>
        <v>1.25</v>
      </c>
      <c r="Z67" s="1" t="str">
        <f t="shared" si="2"/>
        <v/>
      </c>
      <c r="AA67" s="1" t="str">
        <f t="shared" si="2"/>
        <v/>
      </c>
      <c r="AB67" s="25" t="str">
        <f t="shared" si="2"/>
        <v/>
      </c>
    </row>
    <row r="68" spans="4:28" ht="14.5" thickBot="1" x14ac:dyDescent="0.35">
      <c r="D68" s="33">
        <v>1999</v>
      </c>
      <c r="E68" s="26" t="s">
        <v>5</v>
      </c>
      <c r="F68" s="27" t="s">
        <v>57</v>
      </c>
      <c r="G68" s="26"/>
      <c r="H68" s="28"/>
      <c r="I68" s="28"/>
      <c r="J68" s="28"/>
      <c r="K68" s="28"/>
      <c r="L68" s="28"/>
      <c r="M68" s="28"/>
      <c r="N68" s="28"/>
      <c r="O68" s="28"/>
      <c r="P68" s="28"/>
      <c r="Q68" s="27"/>
      <c r="R68" s="28" t="str">
        <f t="shared" si="2"/>
        <v/>
      </c>
      <c r="S68" s="28" t="str">
        <f t="shared" si="2"/>
        <v/>
      </c>
      <c r="T68" s="28" t="str">
        <f t="shared" si="2"/>
        <v/>
      </c>
      <c r="U68" s="28" t="str">
        <f t="shared" si="2"/>
        <v/>
      </c>
      <c r="V68" s="28" t="str">
        <f t="shared" si="2"/>
        <v/>
      </c>
      <c r="W68" s="28" t="str">
        <f t="shared" si="2"/>
        <v/>
      </c>
      <c r="X68" s="28" t="str">
        <f t="shared" si="2"/>
        <v/>
      </c>
      <c r="Y68" s="28" t="str">
        <f t="shared" si="2"/>
        <v/>
      </c>
      <c r="Z68" s="28" t="str">
        <f t="shared" si="2"/>
        <v/>
      </c>
      <c r="AA68" s="28" t="str">
        <f t="shared" si="2"/>
        <v/>
      </c>
      <c r="AB68" s="27" t="str">
        <f t="shared" si="2"/>
        <v/>
      </c>
    </row>
    <row r="69" spans="4:28" x14ac:dyDescent="0.3">
      <c r="D69" s="31">
        <v>1998</v>
      </c>
      <c r="E69" s="20" t="s">
        <v>2</v>
      </c>
      <c r="F69" s="21" t="s">
        <v>56</v>
      </c>
      <c r="G69" s="20">
        <v>3</v>
      </c>
      <c r="H69" s="22">
        <v>1</v>
      </c>
      <c r="I69" s="22">
        <v>4</v>
      </c>
      <c r="J69" s="22"/>
      <c r="K69" s="22"/>
      <c r="L69" s="22"/>
      <c r="M69" s="22"/>
      <c r="N69" s="22"/>
      <c r="O69" s="22"/>
      <c r="P69" s="22"/>
      <c r="Q69" s="22"/>
      <c r="R69" s="20">
        <f t="shared" si="2"/>
        <v>7.5</v>
      </c>
      <c r="S69" s="22">
        <f t="shared" si="2"/>
        <v>2.5</v>
      </c>
      <c r="T69" s="22">
        <f t="shared" si="2"/>
        <v>10</v>
      </c>
      <c r="U69" s="22" t="str">
        <f t="shared" si="2"/>
        <v/>
      </c>
      <c r="V69" s="22" t="str">
        <f t="shared" si="2"/>
        <v/>
      </c>
      <c r="W69" s="22" t="str">
        <f t="shared" si="2"/>
        <v/>
      </c>
      <c r="X69" s="22" t="str">
        <f t="shared" si="2"/>
        <v/>
      </c>
      <c r="Y69" s="22" t="str">
        <f t="shared" si="2"/>
        <v/>
      </c>
      <c r="Z69" s="22" t="str">
        <f t="shared" si="2"/>
        <v/>
      </c>
      <c r="AA69" s="22" t="str">
        <f t="shared" si="2"/>
        <v/>
      </c>
      <c r="AB69" s="21" t="str">
        <f t="shared" si="2"/>
        <v/>
      </c>
    </row>
    <row r="70" spans="4:28" x14ac:dyDescent="0.3">
      <c r="D70" s="32">
        <v>1998</v>
      </c>
      <c r="E70" s="24" t="s">
        <v>3</v>
      </c>
      <c r="F70" s="25" t="s">
        <v>56</v>
      </c>
      <c r="G70" s="24"/>
      <c r="J70" s="1">
        <v>4</v>
      </c>
      <c r="K70" s="1">
        <v>4</v>
      </c>
      <c r="L70" s="1">
        <v>2</v>
      </c>
      <c r="R70" s="24" t="str">
        <f t="shared" si="2"/>
        <v/>
      </c>
      <c r="S70" s="1" t="str">
        <f t="shared" si="2"/>
        <v/>
      </c>
      <c r="T70" s="1" t="str">
        <f t="shared" si="2"/>
        <v/>
      </c>
      <c r="U70" s="1">
        <f t="shared" si="2"/>
        <v>10</v>
      </c>
      <c r="V70" s="1">
        <f t="shared" si="2"/>
        <v>10</v>
      </c>
      <c r="W70" s="1">
        <f t="shared" si="2"/>
        <v>5</v>
      </c>
      <c r="X70" s="1" t="str">
        <f t="shared" si="2"/>
        <v/>
      </c>
      <c r="Y70" s="1" t="str">
        <f t="shared" si="2"/>
        <v/>
      </c>
      <c r="Z70" s="1" t="str">
        <f t="shared" si="2"/>
        <v/>
      </c>
      <c r="AA70" s="1" t="str">
        <f t="shared" si="2"/>
        <v/>
      </c>
      <c r="AB70" s="25" t="str">
        <f t="shared" si="2"/>
        <v/>
      </c>
    </row>
    <row r="71" spans="4:28" x14ac:dyDescent="0.3">
      <c r="D71" s="32">
        <v>1998</v>
      </c>
      <c r="E71" s="24" t="s">
        <v>4</v>
      </c>
      <c r="F71" s="25" t="s">
        <v>56</v>
      </c>
      <c r="G71" s="24"/>
      <c r="M71" s="1">
        <v>4</v>
      </c>
      <c r="N71" s="1">
        <v>4</v>
      </c>
      <c r="R71" s="24" t="str">
        <f t="shared" si="2"/>
        <v/>
      </c>
      <c r="S71" s="1" t="str">
        <f t="shared" si="2"/>
        <v/>
      </c>
      <c r="T71" s="1" t="str">
        <f t="shared" si="2"/>
        <v/>
      </c>
      <c r="U71" s="1" t="str">
        <f t="shared" si="2"/>
        <v/>
      </c>
      <c r="V71" s="1" t="str">
        <f t="shared" si="2"/>
        <v/>
      </c>
      <c r="W71" s="1" t="str">
        <f t="shared" si="2"/>
        <v/>
      </c>
      <c r="X71" s="1">
        <f t="shared" si="2"/>
        <v>10</v>
      </c>
      <c r="Y71" s="1">
        <f t="shared" si="2"/>
        <v>5</v>
      </c>
      <c r="Z71" s="1" t="str">
        <f t="shared" si="2"/>
        <v/>
      </c>
      <c r="AA71" s="1" t="str">
        <f t="shared" si="2"/>
        <v/>
      </c>
      <c r="AB71" s="25" t="str">
        <f t="shared" si="2"/>
        <v/>
      </c>
    </row>
    <row r="72" spans="4:28" ht="14.5" thickBot="1" x14ac:dyDescent="0.35">
      <c r="D72" s="33">
        <v>1998</v>
      </c>
      <c r="E72" s="26" t="s">
        <v>5</v>
      </c>
      <c r="F72" s="27" t="s">
        <v>56</v>
      </c>
      <c r="G72" s="26"/>
      <c r="H72" s="28"/>
      <c r="I72" s="28"/>
      <c r="J72" s="28"/>
      <c r="K72" s="28"/>
      <c r="L72" s="28"/>
      <c r="M72" s="28"/>
      <c r="N72" s="28"/>
      <c r="O72" s="28" t="s">
        <v>59</v>
      </c>
      <c r="P72" s="28" t="s">
        <v>59</v>
      </c>
      <c r="Q72" s="28" t="s">
        <v>59</v>
      </c>
      <c r="R72" s="26" t="str">
        <f t="shared" si="2"/>
        <v/>
      </c>
      <c r="S72" s="28" t="str">
        <f t="shared" si="2"/>
        <v/>
      </c>
      <c r="T72" s="28" t="str">
        <f t="shared" si="2"/>
        <v/>
      </c>
      <c r="U72" s="28" t="str">
        <f t="shared" si="2"/>
        <v/>
      </c>
      <c r="V72" s="28" t="str">
        <f t="shared" si="2"/>
        <v/>
      </c>
      <c r="W72" s="28" t="str">
        <f t="shared" si="2"/>
        <v/>
      </c>
      <c r="X72" s="28" t="str">
        <f t="shared" si="2"/>
        <v/>
      </c>
      <c r="Y72" s="28" t="str">
        <f t="shared" si="2"/>
        <v/>
      </c>
      <c r="Z72" s="28" t="str">
        <f t="shared" si="2"/>
        <v/>
      </c>
      <c r="AA72" s="28" t="str">
        <f t="shared" si="2"/>
        <v/>
      </c>
      <c r="AB72" s="27" t="str">
        <f t="shared" si="2"/>
        <v/>
      </c>
    </row>
    <row r="73" spans="4:28" x14ac:dyDescent="0.3">
      <c r="D73" s="31">
        <v>1998</v>
      </c>
      <c r="E73" s="20" t="s">
        <v>2</v>
      </c>
      <c r="F73" s="21" t="s">
        <v>56</v>
      </c>
      <c r="G73" s="20">
        <v>1</v>
      </c>
      <c r="H73" s="22">
        <v>2</v>
      </c>
      <c r="I73" s="22">
        <v>2</v>
      </c>
      <c r="J73" s="22"/>
      <c r="K73" s="22"/>
      <c r="L73" s="22"/>
      <c r="M73" s="22"/>
      <c r="N73" s="22"/>
      <c r="O73" s="22"/>
      <c r="P73" s="22"/>
      <c r="Q73" s="22"/>
      <c r="R73" s="20">
        <f t="shared" si="2"/>
        <v>2.5</v>
      </c>
      <c r="S73" s="22">
        <f t="shared" si="2"/>
        <v>5</v>
      </c>
      <c r="T73" s="22">
        <f t="shared" si="2"/>
        <v>5</v>
      </c>
      <c r="U73" s="22" t="str">
        <f t="shared" si="2"/>
        <v/>
      </c>
      <c r="V73" s="22" t="str">
        <f t="shared" si="2"/>
        <v/>
      </c>
      <c r="W73" s="22" t="str">
        <f t="shared" si="2"/>
        <v/>
      </c>
      <c r="X73" s="22" t="str">
        <f t="shared" si="2"/>
        <v/>
      </c>
      <c r="Y73" s="22" t="str">
        <f t="shared" si="2"/>
        <v/>
      </c>
      <c r="Z73" s="22" t="str">
        <f t="shared" si="2"/>
        <v/>
      </c>
      <c r="AA73" s="22" t="str">
        <f t="shared" si="2"/>
        <v/>
      </c>
      <c r="AB73" s="21" t="str">
        <f t="shared" si="2"/>
        <v/>
      </c>
    </row>
    <row r="74" spans="4:28" x14ac:dyDescent="0.3">
      <c r="D74" s="32">
        <v>1998</v>
      </c>
      <c r="E74" s="24" t="s">
        <v>3</v>
      </c>
      <c r="F74" s="25" t="s">
        <v>56</v>
      </c>
      <c r="G74" s="24"/>
      <c r="J74" s="1">
        <v>2</v>
      </c>
      <c r="K74" s="1">
        <v>3</v>
      </c>
      <c r="L74" s="1">
        <v>2</v>
      </c>
      <c r="R74" s="24" t="str">
        <f t="shared" si="2"/>
        <v/>
      </c>
      <c r="S74" s="1" t="str">
        <f t="shared" si="2"/>
        <v/>
      </c>
      <c r="T74" s="1" t="str">
        <f t="shared" si="2"/>
        <v/>
      </c>
      <c r="U74" s="1">
        <f t="shared" si="2"/>
        <v>5</v>
      </c>
      <c r="V74" s="1">
        <f t="shared" si="2"/>
        <v>7.5</v>
      </c>
      <c r="W74" s="1">
        <f t="shared" si="2"/>
        <v>5</v>
      </c>
      <c r="X74" s="1" t="str">
        <f t="shared" si="2"/>
        <v/>
      </c>
      <c r="Y74" s="1" t="str">
        <f t="shared" si="2"/>
        <v/>
      </c>
      <c r="Z74" s="1" t="str">
        <f t="shared" si="2"/>
        <v/>
      </c>
      <c r="AA74" s="1" t="str">
        <f t="shared" si="2"/>
        <v/>
      </c>
      <c r="AB74" s="25" t="str">
        <f t="shared" si="2"/>
        <v/>
      </c>
    </row>
    <row r="75" spans="4:28" x14ac:dyDescent="0.3">
      <c r="D75" s="32">
        <v>1998</v>
      </c>
      <c r="E75" s="24" t="s">
        <v>4</v>
      </c>
      <c r="F75" s="25" t="s">
        <v>56</v>
      </c>
      <c r="G75" s="24"/>
      <c r="M75" s="1">
        <v>1</v>
      </c>
      <c r="N75" s="1">
        <v>2</v>
      </c>
      <c r="R75" s="24" t="str">
        <f t="shared" si="2"/>
        <v/>
      </c>
      <c r="S75" s="1" t="str">
        <f t="shared" si="2"/>
        <v/>
      </c>
      <c r="T75" s="1" t="str">
        <f t="shared" si="2"/>
        <v/>
      </c>
      <c r="U75" s="1" t="str">
        <f t="shared" si="2"/>
        <v/>
      </c>
      <c r="V75" s="1" t="str">
        <f t="shared" si="2"/>
        <v/>
      </c>
      <c r="W75" s="1" t="str">
        <f t="shared" si="2"/>
        <v/>
      </c>
      <c r="X75" s="1">
        <f t="shared" si="2"/>
        <v>2.5</v>
      </c>
      <c r="Y75" s="1">
        <f t="shared" si="2"/>
        <v>2.5</v>
      </c>
      <c r="Z75" s="1" t="str">
        <f t="shared" si="2"/>
        <v/>
      </c>
      <c r="AA75" s="1" t="str">
        <f t="shared" si="2"/>
        <v/>
      </c>
      <c r="AB75" s="25" t="str">
        <f t="shared" si="2"/>
        <v/>
      </c>
    </row>
    <row r="76" spans="4:28" ht="14.5" thickBot="1" x14ac:dyDescent="0.35">
      <c r="D76" s="33">
        <v>1998</v>
      </c>
      <c r="E76" s="26" t="s">
        <v>5</v>
      </c>
      <c r="F76" s="27" t="s">
        <v>56</v>
      </c>
      <c r="G76" s="26"/>
      <c r="H76" s="28"/>
      <c r="I76" s="28"/>
      <c r="J76" s="28"/>
      <c r="K76" s="28"/>
      <c r="L76" s="28"/>
      <c r="M76" s="28"/>
      <c r="N76" s="28"/>
      <c r="O76" s="28" t="s">
        <v>59</v>
      </c>
      <c r="P76" s="28" t="s">
        <v>59</v>
      </c>
      <c r="Q76" s="28" t="s">
        <v>59</v>
      </c>
      <c r="R76" s="26" t="str">
        <f t="shared" si="2"/>
        <v/>
      </c>
      <c r="S76" s="28" t="str">
        <f t="shared" si="2"/>
        <v/>
      </c>
      <c r="T76" s="28" t="str">
        <f t="shared" ref="T76:AB80" si="3">IF(I76="-","",IF(I76/4*T$5=0, "",I76/4*T$5))</f>
        <v/>
      </c>
      <c r="U76" s="28" t="str">
        <f t="shared" si="3"/>
        <v/>
      </c>
      <c r="V76" s="28" t="str">
        <f t="shared" si="3"/>
        <v/>
      </c>
      <c r="W76" s="28" t="str">
        <f t="shared" si="3"/>
        <v/>
      </c>
      <c r="X76" s="28" t="str">
        <f t="shared" si="3"/>
        <v/>
      </c>
      <c r="Y76" s="28" t="str">
        <f t="shared" si="3"/>
        <v/>
      </c>
      <c r="Z76" s="28" t="str">
        <f t="shared" si="3"/>
        <v/>
      </c>
      <c r="AA76" s="28" t="str">
        <f t="shared" si="3"/>
        <v/>
      </c>
      <c r="AB76" s="27" t="str">
        <f t="shared" si="3"/>
        <v/>
      </c>
    </row>
    <row r="77" spans="4:28" x14ac:dyDescent="0.3">
      <c r="D77" s="31">
        <v>1998</v>
      </c>
      <c r="E77" s="20" t="s">
        <v>2</v>
      </c>
      <c r="F77" s="21" t="s">
        <v>57</v>
      </c>
      <c r="G77" s="20">
        <v>4</v>
      </c>
      <c r="H77" s="22">
        <v>1</v>
      </c>
      <c r="I77" s="22">
        <v>3</v>
      </c>
      <c r="J77" s="22"/>
      <c r="K77" s="22"/>
      <c r="L77" s="22"/>
      <c r="M77" s="22"/>
      <c r="N77" s="22"/>
      <c r="O77" s="22"/>
      <c r="P77" s="22"/>
      <c r="Q77" s="21"/>
      <c r="R77" s="22">
        <f t="shared" ref="R77:S80" si="4">IF(G77="-","",IF(G77/4*R$5=0, "",G77/4*R$5))</f>
        <v>10</v>
      </c>
      <c r="S77" s="22">
        <f t="shared" si="4"/>
        <v>2.5</v>
      </c>
      <c r="T77" s="22">
        <f t="shared" si="3"/>
        <v>7.5</v>
      </c>
      <c r="U77" s="22" t="str">
        <f t="shared" si="3"/>
        <v/>
      </c>
      <c r="V77" s="22" t="str">
        <f t="shared" si="3"/>
        <v/>
      </c>
      <c r="W77" s="22" t="str">
        <f t="shared" si="3"/>
        <v/>
      </c>
      <c r="X77" s="22" t="str">
        <f t="shared" si="3"/>
        <v/>
      </c>
      <c r="Y77" s="22" t="str">
        <f t="shared" si="3"/>
        <v/>
      </c>
      <c r="Z77" s="22" t="str">
        <f t="shared" si="3"/>
        <v/>
      </c>
      <c r="AA77" s="22" t="str">
        <f t="shared" si="3"/>
        <v/>
      </c>
      <c r="AB77" s="21" t="str">
        <f t="shared" si="3"/>
        <v/>
      </c>
    </row>
    <row r="78" spans="4:28" x14ac:dyDescent="0.3">
      <c r="D78" s="32">
        <v>1998</v>
      </c>
      <c r="E78" s="24" t="s">
        <v>3</v>
      </c>
      <c r="F78" s="25" t="s">
        <v>57</v>
      </c>
      <c r="G78" s="24"/>
      <c r="J78" s="1">
        <v>1</v>
      </c>
      <c r="K78" s="1">
        <v>1</v>
      </c>
      <c r="L78" s="1">
        <v>3</v>
      </c>
      <c r="Q78" s="25"/>
      <c r="R78" s="1" t="str">
        <f t="shared" si="4"/>
        <v/>
      </c>
      <c r="S78" s="1" t="str">
        <f t="shared" si="4"/>
        <v/>
      </c>
      <c r="T78" s="1" t="str">
        <f t="shared" si="3"/>
        <v/>
      </c>
      <c r="U78" s="1">
        <f t="shared" si="3"/>
        <v>2.5</v>
      </c>
      <c r="V78" s="1">
        <f t="shared" si="3"/>
        <v>2.5</v>
      </c>
      <c r="W78" s="1">
        <f t="shared" si="3"/>
        <v>7.5</v>
      </c>
      <c r="X78" s="1" t="str">
        <f t="shared" si="3"/>
        <v/>
      </c>
      <c r="Y78" s="1" t="str">
        <f t="shared" si="3"/>
        <v/>
      </c>
      <c r="Z78" s="1" t="str">
        <f t="shared" si="3"/>
        <v/>
      </c>
      <c r="AA78" s="1" t="str">
        <f t="shared" si="3"/>
        <v/>
      </c>
      <c r="AB78" s="25" t="str">
        <f t="shared" si="3"/>
        <v/>
      </c>
    </row>
    <row r="79" spans="4:28" x14ac:dyDescent="0.3">
      <c r="D79" s="32">
        <v>1998</v>
      </c>
      <c r="E79" s="24" t="s">
        <v>4</v>
      </c>
      <c r="F79" s="25" t="s">
        <v>57</v>
      </c>
      <c r="G79" s="24"/>
      <c r="M79" s="1">
        <v>2</v>
      </c>
      <c r="N79" s="1">
        <v>2</v>
      </c>
      <c r="Q79" s="25"/>
      <c r="R79" s="1" t="str">
        <f t="shared" si="4"/>
        <v/>
      </c>
      <c r="S79" s="1" t="str">
        <f t="shared" si="4"/>
        <v/>
      </c>
      <c r="T79" s="1" t="str">
        <f t="shared" si="3"/>
        <v/>
      </c>
      <c r="U79" s="1" t="str">
        <f t="shared" si="3"/>
        <v/>
      </c>
      <c r="V79" s="1" t="str">
        <f t="shared" si="3"/>
        <v/>
      </c>
      <c r="W79" s="1" t="str">
        <f t="shared" si="3"/>
        <v/>
      </c>
      <c r="X79" s="1">
        <f t="shared" si="3"/>
        <v>5</v>
      </c>
      <c r="Y79" s="1">
        <f t="shared" si="3"/>
        <v>2.5</v>
      </c>
      <c r="Z79" s="1" t="str">
        <f t="shared" si="3"/>
        <v/>
      </c>
      <c r="AA79" s="1" t="str">
        <f t="shared" si="3"/>
        <v/>
      </c>
      <c r="AB79" s="25" t="str">
        <f t="shared" si="3"/>
        <v/>
      </c>
    </row>
    <row r="80" spans="4:28" ht="14.5" thickBot="1" x14ac:dyDescent="0.35">
      <c r="D80" s="33">
        <v>1998</v>
      </c>
      <c r="E80" s="26" t="s">
        <v>5</v>
      </c>
      <c r="F80" s="27" t="s">
        <v>57</v>
      </c>
      <c r="G80" s="26"/>
      <c r="H80" s="28"/>
      <c r="I80" s="28"/>
      <c r="J80" s="28"/>
      <c r="K80" s="28"/>
      <c r="L80" s="28"/>
      <c r="M80" s="28"/>
      <c r="N80" s="28"/>
      <c r="O80" s="28">
        <v>1</v>
      </c>
      <c r="P80" s="28">
        <v>1</v>
      </c>
      <c r="Q80" s="27">
        <v>2</v>
      </c>
      <c r="R80" s="28" t="str">
        <f t="shared" si="4"/>
        <v/>
      </c>
      <c r="S80" s="28" t="str">
        <f t="shared" si="4"/>
        <v/>
      </c>
      <c r="T80" s="28" t="str">
        <f t="shared" si="3"/>
        <v/>
      </c>
      <c r="U80" s="28" t="str">
        <f t="shared" si="3"/>
        <v/>
      </c>
      <c r="V80" s="28" t="str">
        <f t="shared" si="3"/>
        <v/>
      </c>
      <c r="W80" s="28" t="str">
        <f t="shared" si="3"/>
        <v/>
      </c>
      <c r="X80" s="28" t="str">
        <f t="shared" si="3"/>
        <v/>
      </c>
      <c r="Y80" s="28" t="str">
        <f t="shared" si="3"/>
        <v/>
      </c>
      <c r="Z80" s="28">
        <f t="shared" si="3"/>
        <v>1.25</v>
      </c>
      <c r="AA80" s="28">
        <f t="shared" si="3"/>
        <v>1.25</v>
      </c>
      <c r="AB80" s="27">
        <f t="shared" si="3"/>
        <v>7.5</v>
      </c>
    </row>
    <row r="85" spans="1:55" x14ac:dyDescent="0.3">
      <c r="A85" s="24" t="s">
        <v>66</v>
      </c>
      <c r="G85" s="2" t="s">
        <v>2</v>
      </c>
      <c r="H85" s="2" t="s">
        <v>2</v>
      </c>
      <c r="I85" s="2" t="s">
        <v>2</v>
      </c>
      <c r="J85" s="3" t="s">
        <v>3</v>
      </c>
      <c r="K85" s="3" t="s">
        <v>3</v>
      </c>
      <c r="L85" s="3" t="s">
        <v>3</v>
      </c>
      <c r="M85" s="4" t="s">
        <v>4</v>
      </c>
      <c r="N85" s="4" t="s">
        <v>4</v>
      </c>
      <c r="O85" s="5" t="s">
        <v>5</v>
      </c>
      <c r="P85" s="5" t="s">
        <v>5</v>
      </c>
      <c r="Q85" s="5" t="s">
        <v>5</v>
      </c>
      <c r="R85" s="2" t="s">
        <v>2</v>
      </c>
      <c r="S85" s="2" t="s">
        <v>2</v>
      </c>
      <c r="T85" s="2" t="s">
        <v>2</v>
      </c>
      <c r="U85" s="3" t="s">
        <v>3</v>
      </c>
      <c r="V85" s="3" t="s">
        <v>3</v>
      </c>
      <c r="W85" s="3" t="s">
        <v>3</v>
      </c>
      <c r="X85" s="4" t="s">
        <v>4</v>
      </c>
      <c r="Y85" s="4" t="s">
        <v>4</v>
      </c>
      <c r="Z85" s="5" t="s">
        <v>5</v>
      </c>
      <c r="AA85" s="5" t="s">
        <v>5</v>
      </c>
      <c r="AB85" s="5" t="s">
        <v>5</v>
      </c>
    </row>
    <row r="86" spans="1:55" x14ac:dyDescent="0.3">
      <c r="E86" s="1" t="s">
        <v>6</v>
      </c>
      <c r="G86" s="6"/>
      <c r="H86" s="6"/>
      <c r="I86" s="6"/>
      <c r="J86" s="6"/>
      <c r="K86" s="6"/>
      <c r="L86" s="6"/>
      <c r="M86" s="6"/>
      <c r="N86" s="6"/>
      <c r="O86" s="7"/>
      <c r="P86" s="7"/>
      <c r="Q86" s="7"/>
      <c r="R86" s="6"/>
      <c r="S86" s="6"/>
      <c r="T86" s="6"/>
      <c r="U86" s="6"/>
      <c r="V86" s="6"/>
      <c r="W86" s="6"/>
      <c r="X86" s="6"/>
      <c r="Y86" s="6"/>
      <c r="Z86" s="7"/>
      <c r="AA86" s="7"/>
      <c r="AB86" s="7"/>
      <c r="AE86" s="2" t="s">
        <v>2</v>
      </c>
      <c r="AF86" s="2" t="s">
        <v>2</v>
      </c>
      <c r="AG86" s="2" t="s">
        <v>2</v>
      </c>
      <c r="AH86" s="3" t="s">
        <v>3</v>
      </c>
      <c r="AI86" s="3" t="s">
        <v>3</v>
      </c>
      <c r="AJ86" s="3" t="s">
        <v>3</v>
      </c>
      <c r="AK86" s="4" t="s">
        <v>4</v>
      </c>
      <c r="AL86" s="4" t="s">
        <v>4</v>
      </c>
      <c r="AM86" s="5" t="s">
        <v>5</v>
      </c>
      <c r="AN86" s="5" t="s">
        <v>5</v>
      </c>
      <c r="AO86" s="5" t="s">
        <v>5</v>
      </c>
      <c r="AP86" s="2" t="s">
        <v>2</v>
      </c>
      <c r="AQ86" s="2" t="s">
        <v>2</v>
      </c>
      <c r="AR86" s="2" t="s">
        <v>2</v>
      </c>
      <c r="AS86" s="3" t="s">
        <v>3</v>
      </c>
      <c r="AT86" s="3" t="s">
        <v>3</v>
      </c>
      <c r="AU86" s="3" t="s">
        <v>3</v>
      </c>
      <c r="AV86" s="4" t="s">
        <v>4</v>
      </c>
      <c r="AW86" s="4" t="s">
        <v>4</v>
      </c>
      <c r="AX86" s="5" t="s">
        <v>5</v>
      </c>
      <c r="AY86" s="5" t="s">
        <v>5</v>
      </c>
      <c r="AZ86" s="5" t="s">
        <v>5</v>
      </c>
    </row>
    <row r="87" spans="1:55" ht="14.5" thickBot="1" x14ac:dyDescent="0.35">
      <c r="G87" s="8">
        <v>10</v>
      </c>
      <c r="H87" s="8">
        <v>10</v>
      </c>
      <c r="I87" s="8">
        <v>10</v>
      </c>
      <c r="J87" s="8">
        <v>10</v>
      </c>
      <c r="K87" s="8">
        <v>10</v>
      </c>
      <c r="L87" s="8">
        <v>10</v>
      </c>
      <c r="M87" s="8">
        <v>10</v>
      </c>
      <c r="N87" s="8">
        <v>5</v>
      </c>
      <c r="O87" s="8">
        <v>5</v>
      </c>
      <c r="P87" s="8">
        <v>5</v>
      </c>
      <c r="Q87" s="8">
        <v>15</v>
      </c>
      <c r="R87" s="8">
        <v>10</v>
      </c>
      <c r="S87" s="8">
        <v>10</v>
      </c>
      <c r="T87" s="8">
        <v>10</v>
      </c>
      <c r="U87" s="8">
        <v>10</v>
      </c>
      <c r="V87" s="8">
        <v>10</v>
      </c>
      <c r="W87" s="8">
        <v>10</v>
      </c>
      <c r="X87" s="8">
        <v>10</v>
      </c>
      <c r="Y87" s="8">
        <v>5</v>
      </c>
      <c r="Z87" s="8">
        <v>5</v>
      </c>
      <c r="AA87" s="8">
        <v>5</v>
      </c>
      <c r="AB87" s="8">
        <v>15</v>
      </c>
      <c r="AD87" s="19" t="s">
        <v>65</v>
      </c>
      <c r="AE87" s="30">
        <v>1998</v>
      </c>
    </row>
    <row r="88" spans="1:55" ht="14.5" thickBot="1" x14ac:dyDescent="0.35">
      <c r="D88" s="31" t="s">
        <v>65</v>
      </c>
      <c r="E88" s="9" t="s">
        <v>7</v>
      </c>
      <c r="F88" s="10" t="s">
        <v>8</v>
      </c>
      <c r="G88" s="11" t="s">
        <v>9</v>
      </c>
      <c r="H88" s="12" t="s">
        <v>10</v>
      </c>
      <c r="I88" s="12" t="s">
        <v>11</v>
      </c>
      <c r="J88" s="12" t="s">
        <v>12</v>
      </c>
      <c r="K88" s="12" t="s">
        <v>13</v>
      </c>
      <c r="L88" s="12" t="s">
        <v>14</v>
      </c>
      <c r="M88" s="12" t="s">
        <v>15</v>
      </c>
      <c r="N88" s="12" t="s">
        <v>16</v>
      </c>
      <c r="O88" s="13" t="s">
        <v>17</v>
      </c>
      <c r="P88" s="13" t="s">
        <v>18</v>
      </c>
      <c r="Q88" s="14" t="s">
        <v>19</v>
      </c>
      <c r="R88" s="15" t="s">
        <v>20</v>
      </c>
      <c r="S88" s="16" t="s">
        <v>21</v>
      </c>
      <c r="T88" s="16" t="s">
        <v>22</v>
      </c>
      <c r="U88" s="16" t="s">
        <v>23</v>
      </c>
      <c r="V88" s="16" t="s">
        <v>24</v>
      </c>
      <c r="W88" s="16" t="s">
        <v>25</v>
      </c>
      <c r="X88" s="16" t="s">
        <v>26</v>
      </c>
      <c r="Y88" s="16" t="s">
        <v>27</v>
      </c>
      <c r="Z88" s="17" t="s">
        <v>28</v>
      </c>
      <c r="AA88" s="17" t="s">
        <v>29</v>
      </c>
      <c r="AB88" s="18" t="s">
        <v>30</v>
      </c>
      <c r="AE88" s="8">
        <v>10</v>
      </c>
      <c r="AF88" s="8">
        <v>10</v>
      </c>
      <c r="AG88" s="8">
        <v>10</v>
      </c>
      <c r="AH88" s="8">
        <v>10</v>
      </c>
      <c r="AI88" s="8">
        <v>10</v>
      </c>
      <c r="AJ88" s="8">
        <v>10</v>
      </c>
      <c r="AK88" s="8">
        <v>10</v>
      </c>
      <c r="AL88" s="8">
        <v>5</v>
      </c>
      <c r="AM88" s="8">
        <v>5</v>
      </c>
      <c r="AN88" s="8">
        <v>5</v>
      </c>
      <c r="AO88" s="8">
        <v>15</v>
      </c>
      <c r="AP88" s="8">
        <v>10</v>
      </c>
      <c r="AQ88" s="8">
        <v>10</v>
      </c>
      <c r="AR88" s="8">
        <v>10</v>
      </c>
      <c r="AS88" s="8">
        <v>10</v>
      </c>
      <c r="AT88" s="8">
        <v>10</v>
      </c>
      <c r="AU88" s="8">
        <v>10</v>
      </c>
      <c r="AV88" s="8">
        <v>10</v>
      </c>
      <c r="AW88" s="8">
        <v>5</v>
      </c>
      <c r="AX88" s="8">
        <v>5</v>
      </c>
      <c r="AY88" s="8">
        <v>5</v>
      </c>
      <c r="AZ88" s="8">
        <v>15</v>
      </c>
      <c r="BA88" s="8"/>
    </row>
    <row r="89" spans="1:55" x14ac:dyDescent="0.3">
      <c r="A89" s="2" t="s">
        <v>2</v>
      </c>
      <c r="B89" s="2" t="s">
        <v>9</v>
      </c>
      <c r="D89" s="31">
        <v>1999</v>
      </c>
      <c r="E89" s="22" t="s">
        <v>2</v>
      </c>
      <c r="F89" s="21" t="s">
        <v>56</v>
      </c>
      <c r="G89" s="20">
        <v>4</v>
      </c>
      <c r="H89" s="22">
        <v>4</v>
      </c>
      <c r="I89" s="22">
        <v>2</v>
      </c>
      <c r="J89" s="22"/>
      <c r="K89" s="22"/>
      <c r="L89" s="22"/>
      <c r="M89" s="22"/>
      <c r="N89" s="22"/>
      <c r="O89" s="22"/>
      <c r="P89" s="22"/>
      <c r="Q89" s="22"/>
      <c r="R89" s="20">
        <f t="shared" ref="R89:AB112" si="5">IF(G89="-","",IF(G89/4*R$5=0, "",G89/4*R$5))</f>
        <v>10</v>
      </c>
      <c r="S89" s="22">
        <f t="shared" si="5"/>
        <v>10</v>
      </c>
      <c r="T89" s="22">
        <f t="shared" si="5"/>
        <v>5</v>
      </c>
      <c r="U89" s="22" t="str">
        <f t="shared" si="5"/>
        <v/>
      </c>
      <c r="V89" s="22" t="str">
        <f t="shared" si="5"/>
        <v/>
      </c>
      <c r="W89" s="22" t="str">
        <f t="shared" si="5"/>
        <v/>
      </c>
      <c r="X89" s="22" t="str">
        <f t="shared" si="5"/>
        <v/>
      </c>
      <c r="Y89" s="22" t="str">
        <f t="shared" si="5"/>
        <v/>
      </c>
      <c r="Z89" s="22" t="str">
        <f t="shared" si="5"/>
        <v/>
      </c>
      <c r="AA89" s="22" t="str">
        <f t="shared" si="5"/>
        <v/>
      </c>
      <c r="AB89" s="21" t="str">
        <f t="shared" si="5"/>
        <v/>
      </c>
      <c r="AD89" s="19" t="s">
        <v>31</v>
      </c>
      <c r="AE89" s="19" t="s">
        <v>32</v>
      </c>
      <c r="AF89" s="19" t="s">
        <v>33</v>
      </c>
      <c r="AG89" s="19" t="s">
        <v>34</v>
      </c>
      <c r="AH89" s="19" t="s">
        <v>35</v>
      </c>
      <c r="AI89" s="19" t="s">
        <v>36</v>
      </c>
      <c r="AJ89" s="19" t="s">
        <v>37</v>
      </c>
      <c r="AK89" s="19" t="s">
        <v>38</v>
      </c>
      <c r="AL89" s="19" t="s">
        <v>39</v>
      </c>
      <c r="AM89" s="19" t="s">
        <v>40</v>
      </c>
      <c r="AN89" s="19" t="s">
        <v>41</v>
      </c>
      <c r="AO89" s="19" t="s">
        <v>42</v>
      </c>
      <c r="AP89" s="19" t="s">
        <v>43</v>
      </c>
      <c r="AQ89" s="19" t="s">
        <v>44</v>
      </c>
      <c r="AR89" s="19" t="s">
        <v>45</v>
      </c>
      <c r="AS89" s="19" t="s">
        <v>46</v>
      </c>
      <c r="AT89" s="19" t="s">
        <v>47</v>
      </c>
      <c r="AU89" s="19" t="s">
        <v>48</v>
      </c>
      <c r="AV89" s="19" t="s">
        <v>49</v>
      </c>
      <c r="AW89" s="19" t="s">
        <v>50</v>
      </c>
      <c r="AX89" s="19" t="s">
        <v>51</v>
      </c>
      <c r="AY89" s="19" t="s">
        <v>52</v>
      </c>
      <c r="AZ89" s="19" t="s">
        <v>53</v>
      </c>
      <c r="BA89" s="19" t="s">
        <v>54</v>
      </c>
      <c r="BB89" s="19" t="s">
        <v>55</v>
      </c>
      <c r="BC89" s="19" t="s">
        <v>55</v>
      </c>
    </row>
    <row r="90" spans="1:55" x14ac:dyDescent="0.3">
      <c r="A90" s="2" t="s">
        <v>2</v>
      </c>
      <c r="B90" s="2" t="s">
        <v>10</v>
      </c>
      <c r="D90" s="32">
        <v>1999</v>
      </c>
      <c r="E90" s="1" t="s">
        <v>3</v>
      </c>
      <c r="F90" s="25" t="s">
        <v>56</v>
      </c>
      <c r="G90" s="24"/>
      <c r="J90" s="1">
        <v>3</v>
      </c>
      <c r="K90" s="1">
        <v>3</v>
      </c>
      <c r="L90" s="1">
        <v>1</v>
      </c>
      <c r="R90" s="24" t="str">
        <f t="shared" si="5"/>
        <v/>
      </c>
      <c r="S90" s="1" t="str">
        <f t="shared" si="5"/>
        <v/>
      </c>
      <c r="T90" s="1" t="str">
        <f t="shared" si="5"/>
        <v/>
      </c>
      <c r="U90" s="1">
        <f t="shared" si="5"/>
        <v>7.5</v>
      </c>
      <c r="V90" s="1">
        <f t="shared" si="5"/>
        <v>7.5</v>
      </c>
      <c r="W90" s="1">
        <f t="shared" si="5"/>
        <v>2.5</v>
      </c>
      <c r="X90" s="1" t="str">
        <f t="shared" si="5"/>
        <v/>
      </c>
      <c r="Y90" s="1" t="str">
        <f t="shared" si="5"/>
        <v/>
      </c>
      <c r="Z90" s="1" t="str">
        <f t="shared" si="5"/>
        <v/>
      </c>
      <c r="AA90" s="1" t="str">
        <f t="shared" si="5"/>
        <v/>
      </c>
      <c r="AB90" s="25" t="str">
        <f t="shared" si="5"/>
        <v/>
      </c>
      <c r="AD90" s="23" t="s">
        <v>57</v>
      </c>
      <c r="AE90" s="19">
        <v>4</v>
      </c>
      <c r="AF90" s="19">
        <v>1</v>
      </c>
      <c r="AG90" s="19">
        <v>3</v>
      </c>
      <c r="AH90" s="19">
        <v>1</v>
      </c>
      <c r="AI90" s="19">
        <v>1</v>
      </c>
      <c r="AJ90" s="19">
        <v>3</v>
      </c>
      <c r="AK90" s="19">
        <v>2</v>
      </c>
      <c r="AL90" s="19">
        <v>2</v>
      </c>
      <c r="AM90" s="19">
        <v>1</v>
      </c>
      <c r="AN90" s="19">
        <v>1</v>
      </c>
      <c r="AO90" s="19">
        <v>2</v>
      </c>
      <c r="AP90" s="19">
        <v>10</v>
      </c>
      <c r="AQ90" s="19">
        <v>2.5</v>
      </c>
      <c r="AR90" s="19">
        <v>7.5</v>
      </c>
      <c r="AS90" s="19">
        <v>2.5</v>
      </c>
      <c r="AT90" s="19">
        <v>2.5</v>
      </c>
      <c r="AU90" s="19">
        <v>7.5</v>
      </c>
      <c r="AV90" s="19">
        <v>5</v>
      </c>
      <c r="AW90" s="19">
        <v>2.5</v>
      </c>
      <c r="AX90" s="19">
        <v>1.25</v>
      </c>
      <c r="AY90" s="19">
        <v>1.25</v>
      </c>
      <c r="AZ90" s="19">
        <v>7.5</v>
      </c>
      <c r="BA90" s="19">
        <f>SUM(AE90:AO90)</f>
        <v>21</v>
      </c>
      <c r="BB90" s="19">
        <f>SUM(AP90:AZ90)/SUM($AP$88:$AZ$88)*100</f>
        <v>50</v>
      </c>
      <c r="BC90" s="19">
        <f>SUMIFS(AP90:AZ90, AP90:AZ90, "&lt;&gt;")/SUMIFS($AP$5:$AZ$5, AP90:AZ90, "&lt;&gt;")*100</f>
        <v>50</v>
      </c>
    </row>
    <row r="91" spans="1:55" x14ac:dyDescent="0.3">
      <c r="A91" s="2" t="s">
        <v>2</v>
      </c>
      <c r="B91" s="2" t="s">
        <v>11</v>
      </c>
      <c r="D91" s="32">
        <v>1999</v>
      </c>
      <c r="E91" s="1" t="s">
        <v>4</v>
      </c>
      <c r="F91" s="25" t="s">
        <v>56</v>
      </c>
      <c r="G91" s="24"/>
      <c r="M91" s="1">
        <v>2</v>
      </c>
      <c r="N91" s="1">
        <v>2</v>
      </c>
      <c r="R91" s="24" t="str">
        <f t="shared" si="5"/>
        <v/>
      </c>
      <c r="S91" s="1" t="str">
        <f t="shared" si="5"/>
        <v/>
      </c>
      <c r="T91" s="1" t="str">
        <f t="shared" si="5"/>
        <v/>
      </c>
      <c r="U91" s="1" t="str">
        <f t="shared" si="5"/>
        <v/>
      </c>
      <c r="V91" s="1" t="str">
        <f t="shared" si="5"/>
        <v/>
      </c>
      <c r="W91" s="1" t="str">
        <f t="shared" si="5"/>
        <v/>
      </c>
      <c r="X91" s="1">
        <f t="shared" si="5"/>
        <v>5</v>
      </c>
      <c r="Y91" s="1">
        <f t="shared" si="5"/>
        <v>2.5</v>
      </c>
      <c r="Z91" s="1" t="str">
        <f t="shared" si="5"/>
        <v/>
      </c>
      <c r="AA91" s="1" t="str">
        <f t="shared" si="5"/>
        <v/>
      </c>
      <c r="AB91" s="25" t="str">
        <f t="shared" si="5"/>
        <v/>
      </c>
      <c r="AD91" s="23" t="s">
        <v>56</v>
      </c>
      <c r="AE91" s="19">
        <v>2.6666666666666665</v>
      </c>
      <c r="AF91" s="19">
        <v>1.6666666666666667</v>
      </c>
      <c r="AG91" s="19">
        <v>3.3333333333333335</v>
      </c>
      <c r="AH91" s="19">
        <v>2.6666666666666665</v>
      </c>
      <c r="AI91" s="19">
        <v>3.3333333333333335</v>
      </c>
      <c r="AJ91" s="19">
        <v>1.6666666666666667</v>
      </c>
      <c r="AK91" s="19">
        <v>2.3333333333333335</v>
      </c>
      <c r="AL91" s="19">
        <v>2.6666666666666665</v>
      </c>
      <c r="AM91" s="19">
        <v>4</v>
      </c>
      <c r="AN91" s="19"/>
      <c r="AO91" s="19"/>
      <c r="AP91" s="19">
        <v>6.666666666666667</v>
      </c>
      <c r="AQ91" s="19">
        <v>4.166666666666667</v>
      </c>
      <c r="AR91" s="19">
        <v>8.3333333333333339</v>
      </c>
      <c r="AS91" s="19">
        <v>6.666666666666667</v>
      </c>
      <c r="AT91" s="19">
        <v>8.3333333333333339</v>
      </c>
      <c r="AU91" s="19">
        <v>4.166666666666667</v>
      </c>
      <c r="AV91" s="19">
        <v>5.833333333333333</v>
      </c>
      <c r="AW91" s="19">
        <v>3.3333333333333335</v>
      </c>
      <c r="AX91" s="19">
        <v>5</v>
      </c>
      <c r="AY91" s="19"/>
      <c r="AZ91" s="19"/>
      <c r="BA91" s="19">
        <f>SUM(AE91:AO91)</f>
        <v>24.333333333333332</v>
      </c>
      <c r="BB91" s="19">
        <f>SUM(AP91:AX91)/SUM($AP$88:$AX$88)*100</f>
        <v>65.625000000000014</v>
      </c>
      <c r="BC91" s="19">
        <f>SUMIFS(AP91:AZ91, AP91:AZ91, "&lt;&gt;")/SUMIFS($AP$5:$AZ$5, AP91:AZ91, "&lt;&gt;")*100</f>
        <v>65.625000000000014</v>
      </c>
    </row>
    <row r="92" spans="1:55" ht="14.5" thickBot="1" x14ac:dyDescent="0.35">
      <c r="A92" s="3" t="s">
        <v>3</v>
      </c>
      <c r="B92" s="3" t="s">
        <v>12</v>
      </c>
      <c r="D92" s="33">
        <v>1999</v>
      </c>
      <c r="E92" s="28" t="s">
        <v>5</v>
      </c>
      <c r="F92" s="27" t="s">
        <v>56</v>
      </c>
      <c r="G92" s="26"/>
      <c r="H92" s="28"/>
      <c r="I92" s="28"/>
      <c r="J92" s="28"/>
      <c r="K92" s="28"/>
      <c r="L92" s="28"/>
      <c r="M92" s="28"/>
      <c r="N92" s="28"/>
      <c r="O92" s="28">
        <v>3</v>
      </c>
      <c r="P92" s="28">
        <v>4</v>
      </c>
      <c r="Q92" s="28">
        <v>4</v>
      </c>
      <c r="R92" s="26" t="str">
        <f t="shared" si="5"/>
        <v/>
      </c>
      <c r="S92" s="28" t="str">
        <f t="shared" si="5"/>
        <v/>
      </c>
      <c r="T92" s="28" t="str">
        <f t="shared" si="5"/>
        <v/>
      </c>
      <c r="U92" s="28" t="str">
        <f t="shared" si="5"/>
        <v/>
      </c>
      <c r="V92" s="28" t="str">
        <f t="shared" si="5"/>
        <v/>
      </c>
      <c r="W92" s="28" t="str">
        <f t="shared" si="5"/>
        <v/>
      </c>
      <c r="X92" s="28" t="str">
        <f t="shared" si="5"/>
        <v/>
      </c>
      <c r="Y92" s="28" t="str">
        <f t="shared" si="5"/>
        <v/>
      </c>
      <c r="Z92" s="28">
        <f t="shared" si="5"/>
        <v>3.75</v>
      </c>
      <c r="AA92" s="28">
        <f t="shared" si="5"/>
        <v>5</v>
      </c>
      <c r="AB92" s="27">
        <f t="shared" si="5"/>
        <v>15</v>
      </c>
      <c r="AD92" s="23" t="s">
        <v>58</v>
      </c>
      <c r="AE92" s="19">
        <v>3</v>
      </c>
      <c r="AF92" s="19">
        <v>1.5</v>
      </c>
      <c r="AG92" s="19">
        <v>3.25</v>
      </c>
      <c r="AH92" s="19">
        <v>2.25</v>
      </c>
      <c r="AI92" s="19">
        <v>2.75</v>
      </c>
      <c r="AJ92" s="19">
        <v>2</v>
      </c>
      <c r="AK92" s="19">
        <v>2.25</v>
      </c>
      <c r="AL92" s="19">
        <v>2.5</v>
      </c>
      <c r="AM92" s="19">
        <v>2.5</v>
      </c>
      <c r="AN92" s="19">
        <v>1</v>
      </c>
      <c r="AO92" s="19">
        <v>2</v>
      </c>
      <c r="AP92" s="19">
        <v>7.5</v>
      </c>
      <c r="AQ92" s="19">
        <v>3.75</v>
      </c>
      <c r="AR92" s="19">
        <v>8.125</v>
      </c>
      <c r="AS92" s="19">
        <v>5.625</v>
      </c>
      <c r="AT92" s="19">
        <v>6.875</v>
      </c>
      <c r="AU92" s="19">
        <v>5</v>
      </c>
      <c r="AV92" s="19">
        <v>5.625</v>
      </c>
      <c r="AW92" s="19">
        <v>3.125</v>
      </c>
      <c r="AX92" s="19">
        <v>3.125</v>
      </c>
      <c r="AY92" s="19">
        <v>1.25</v>
      </c>
      <c r="AZ92" s="19">
        <v>7.5</v>
      </c>
      <c r="BA92" s="19">
        <f>SUM(AE92:AO92)</f>
        <v>25</v>
      </c>
      <c r="BB92" s="19">
        <f>SUM(AP92:AZ92)/SUM($AP$88:$AZ$88)*100</f>
        <v>57.499999999999993</v>
      </c>
      <c r="BC92" s="19">
        <f>SUMIFS(AP92:AZ92, AP92:AZ92, "&lt;&gt;")/SUMIFS($AP$5:$AZ$5, AP92:AZ92, "&lt;&gt;")*100</f>
        <v>57.499999999999993</v>
      </c>
    </row>
    <row r="93" spans="1:55" x14ac:dyDescent="0.3">
      <c r="A93" s="3" t="s">
        <v>3</v>
      </c>
      <c r="B93" s="3" t="s">
        <v>13</v>
      </c>
      <c r="D93" s="31">
        <v>1999</v>
      </c>
      <c r="E93" s="20" t="s">
        <v>2</v>
      </c>
      <c r="F93" s="21" t="s">
        <v>57</v>
      </c>
      <c r="G93" s="20">
        <v>3</v>
      </c>
      <c r="H93" s="22">
        <v>2</v>
      </c>
      <c r="I93" s="22">
        <v>2</v>
      </c>
      <c r="J93" s="22"/>
      <c r="K93" s="22"/>
      <c r="L93" s="22"/>
      <c r="M93" s="22"/>
      <c r="N93" s="22"/>
      <c r="O93" s="22"/>
      <c r="P93" s="22"/>
      <c r="Q93" s="21"/>
      <c r="R93" s="22">
        <f t="shared" si="5"/>
        <v>7.5</v>
      </c>
      <c r="S93" s="22">
        <f t="shared" si="5"/>
        <v>5</v>
      </c>
      <c r="T93" s="22">
        <f t="shared" si="5"/>
        <v>5</v>
      </c>
      <c r="U93" s="22" t="str">
        <f t="shared" si="5"/>
        <v/>
      </c>
      <c r="V93" s="22" t="str">
        <f t="shared" si="5"/>
        <v/>
      </c>
      <c r="W93" s="22" t="str">
        <f t="shared" si="5"/>
        <v/>
      </c>
      <c r="X93" s="22" t="str">
        <f t="shared" si="5"/>
        <v/>
      </c>
      <c r="Y93" s="22" t="str">
        <f t="shared" si="5"/>
        <v/>
      </c>
      <c r="Z93" s="22" t="str">
        <f t="shared" si="5"/>
        <v/>
      </c>
      <c r="AA93" s="22" t="str">
        <f t="shared" si="5"/>
        <v/>
      </c>
      <c r="AB93" s="21" t="str">
        <f t="shared" si="5"/>
        <v/>
      </c>
    </row>
    <row r="94" spans="1:55" x14ac:dyDescent="0.3">
      <c r="A94" s="3" t="s">
        <v>3</v>
      </c>
      <c r="B94" s="3" t="s">
        <v>14</v>
      </c>
      <c r="D94" s="32">
        <v>1999</v>
      </c>
      <c r="E94" s="24" t="s">
        <v>3</v>
      </c>
      <c r="F94" s="25" t="s">
        <v>57</v>
      </c>
      <c r="G94" s="24"/>
      <c r="J94" s="1">
        <v>4</v>
      </c>
      <c r="K94" s="1">
        <v>4</v>
      </c>
      <c r="L94" s="1">
        <v>1</v>
      </c>
      <c r="Q94" s="25"/>
      <c r="R94" s="1" t="str">
        <f t="shared" si="5"/>
        <v/>
      </c>
      <c r="S94" s="1" t="str">
        <f t="shared" si="5"/>
        <v/>
      </c>
      <c r="T94" s="1" t="str">
        <f t="shared" si="5"/>
        <v/>
      </c>
      <c r="U94" s="1">
        <f t="shared" si="5"/>
        <v>10</v>
      </c>
      <c r="V94" s="1">
        <f t="shared" si="5"/>
        <v>10</v>
      </c>
      <c r="W94" s="1">
        <f t="shared" si="5"/>
        <v>2.5</v>
      </c>
      <c r="X94" s="1" t="str">
        <f t="shared" si="5"/>
        <v/>
      </c>
      <c r="Y94" s="1" t="str">
        <f t="shared" si="5"/>
        <v/>
      </c>
      <c r="Z94" s="1" t="str">
        <f t="shared" si="5"/>
        <v/>
      </c>
      <c r="AA94" s="1" t="str">
        <f t="shared" si="5"/>
        <v/>
      </c>
      <c r="AB94" s="25" t="str">
        <f t="shared" si="5"/>
        <v/>
      </c>
    </row>
    <row r="95" spans="1:55" x14ac:dyDescent="0.3">
      <c r="A95" s="4" t="s">
        <v>4</v>
      </c>
      <c r="B95" s="4" t="s">
        <v>15</v>
      </c>
      <c r="D95" s="32">
        <v>1999</v>
      </c>
      <c r="E95" s="24" t="s">
        <v>4</v>
      </c>
      <c r="F95" s="25" t="s">
        <v>57</v>
      </c>
      <c r="G95" s="24"/>
      <c r="M95" s="1">
        <v>4</v>
      </c>
      <c r="N95" s="1">
        <v>2</v>
      </c>
      <c r="Q95" s="25"/>
      <c r="R95" s="1" t="str">
        <f t="shared" si="5"/>
        <v/>
      </c>
      <c r="S95" s="1" t="str">
        <f t="shared" si="5"/>
        <v/>
      </c>
      <c r="T95" s="1" t="str">
        <f t="shared" si="5"/>
        <v/>
      </c>
      <c r="U95" s="1" t="str">
        <f t="shared" si="5"/>
        <v/>
      </c>
      <c r="V95" s="1" t="str">
        <f t="shared" si="5"/>
        <v/>
      </c>
      <c r="W95" s="1" t="str">
        <f t="shared" si="5"/>
        <v/>
      </c>
      <c r="X95" s="1">
        <f t="shared" si="5"/>
        <v>10</v>
      </c>
      <c r="Y95" s="1">
        <f t="shared" si="5"/>
        <v>2.5</v>
      </c>
      <c r="Z95" s="1" t="str">
        <f t="shared" si="5"/>
        <v/>
      </c>
      <c r="AA95" s="1" t="str">
        <f t="shared" si="5"/>
        <v/>
      </c>
      <c r="AB95" s="25" t="str">
        <f t="shared" si="5"/>
        <v/>
      </c>
    </row>
    <row r="96" spans="1:55" ht="14.5" thickBot="1" x14ac:dyDescent="0.35">
      <c r="A96" s="4" t="s">
        <v>4</v>
      </c>
      <c r="B96" s="4" t="s">
        <v>16</v>
      </c>
      <c r="D96" s="33">
        <v>1999</v>
      </c>
      <c r="E96" s="24" t="s">
        <v>5</v>
      </c>
      <c r="F96" s="25" t="s">
        <v>57</v>
      </c>
      <c r="G96" s="24"/>
      <c r="Q96" s="25"/>
      <c r="R96" s="1" t="str">
        <f t="shared" si="5"/>
        <v/>
      </c>
      <c r="S96" s="1" t="str">
        <f t="shared" si="5"/>
        <v/>
      </c>
      <c r="T96" s="1" t="str">
        <f t="shared" si="5"/>
        <v/>
      </c>
      <c r="U96" s="1" t="str">
        <f t="shared" si="5"/>
        <v/>
      </c>
      <c r="V96" s="1" t="str">
        <f t="shared" si="5"/>
        <v/>
      </c>
      <c r="W96" s="1" t="str">
        <f t="shared" si="5"/>
        <v/>
      </c>
      <c r="X96" s="1" t="str">
        <f t="shared" si="5"/>
        <v/>
      </c>
      <c r="Y96" s="1" t="str">
        <f t="shared" si="5"/>
        <v/>
      </c>
      <c r="Z96" s="1" t="str">
        <f t="shared" si="5"/>
        <v/>
      </c>
      <c r="AA96" s="1" t="str">
        <f t="shared" si="5"/>
        <v/>
      </c>
      <c r="AB96" s="25" t="str">
        <f t="shared" si="5"/>
        <v/>
      </c>
    </row>
    <row r="97" spans="1:53" x14ac:dyDescent="0.3">
      <c r="A97" s="5" t="s">
        <v>5</v>
      </c>
      <c r="B97" s="5" t="s">
        <v>17</v>
      </c>
      <c r="D97" s="31">
        <v>1999</v>
      </c>
      <c r="E97" s="20" t="s">
        <v>2</v>
      </c>
      <c r="F97" s="21" t="s">
        <v>57</v>
      </c>
      <c r="G97" s="20">
        <v>2</v>
      </c>
      <c r="H97" s="22">
        <v>4</v>
      </c>
      <c r="I97" s="22">
        <v>1</v>
      </c>
      <c r="J97" s="22"/>
      <c r="K97" s="22"/>
      <c r="L97" s="22"/>
      <c r="M97" s="22"/>
      <c r="N97" s="22"/>
      <c r="O97" s="22"/>
      <c r="P97" s="22"/>
      <c r="Q97" s="22"/>
      <c r="R97" s="20">
        <f t="shared" si="5"/>
        <v>5</v>
      </c>
      <c r="S97" s="22">
        <f t="shared" si="5"/>
        <v>10</v>
      </c>
      <c r="T97" s="22">
        <f t="shared" si="5"/>
        <v>2.5</v>
      </c>
      <c r="U97" s="22" t="str">
        <f t="shared" si="5"/>
        <v/>
      </c>
      <c r="V97" s="22" t="str">
        <f t="shared" si="5"/>
        <v/>
      </c>
      <c r="W97" s="22" t="str">
        <f t="shared" si="5"/>
        <v/>
      </c>
      <c r="X97" s="22" t="str">
        <f t="shared" si="5"/>
        <v/>
      </c>
      <c r="Y97" s="22" t="str">
        <f t="shared" si="5"/>
        <v/>
      </c>
      <c r="Z97" s="22" t="str">
        <f t="shared" si="5"/>
        <v/>
      </c>
      <c r="AA97" s="22" t="str">
        <f t="shared" si="5"/>
        <v/>
      </c>
      <c r="AB97" s="21" t="str">
        <f t="shared" si="5"/>
        <v/>
      </c>
    </row>
    <row r="98" spans="1:53" x14ac:dyDescent="0.3">
      <c r="A98" s="5" t="s">
        <v>5</v>
      </c>
      <c r="B98" s="5" t="s">
        <v>18</v>
      </c>
      <c r="D98" s="32">
        <v>1999</v>
      </c>
      <c r="E98" s="24" t="s">
        <v>3</v>
      </c>
      <c r="F98" s="25" t="s">
        <v>57</v>
      </c>
      <c r="G98" s="24"/>
      <c r="J98" s="1">
        <v>3</v>
      </c>
      <c r="K98" s="1">
        <v>4</v>
      </c>
      <c r="L98" s="1">
        <v>2</v>
      </c>
      <c r="R98" s="24" t="str">
        <f t="shared" si="5"/>
        <v/>
      </c>
      <c r="S98" s="1" t="str">
        <f t="shared" si="5"/>
        <v/>
      </c>
      <c r="T98" s="1" t="str">
        <f t="shared" si="5"/>
        <v/>
      </c>
      <c r="U98" s="1">
        <f t="shared" si="5"/>
        <v>7.5</v>
      </c>
      <c r="V98" s="1">
        <f t="shared" si="5"/>
        <v>10</v>
      </c>
      <c r="W98" s="1">
        <f t="shared" si="5"/>
        <v>5</v>
      </c>
      <c r="X98" s="1" t="str">
        <f t="shared" si="5"/>
        <v/>
      </c>
      <c r="Y98" s="1" t="str">
        <f t="shared" si="5"/>
        <v/>
      </c>
      <c r="Z98" s="1" t="str">
        <f t="shared" si="5"/>
        <v/>
      </c>
      <c r="AA98" s="1" t="str">
        <f t="shared" si="5"/>
        <v/>
      </c>
      <c r="AB98" s="25" t="str">
        <f t="shared" si="5"/>
        <v/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</row>
    <row r="99" spans="1:53" x14ac:dyDescent="0.3">
      <c r="A99" s="5" t="s">
        <v>5</v>
      </c>
      <c r="B99" s="5" t="s">
        <v>19</v>
      </c>
      <c r="D99" s="32">
        <v>1999</v>
      </c>
      <c r="E99" s="24" t="s">
        <v>4</v>
      </c>
      <c r="F99" s="25" t="s">
        <v>57</v>
      </c>
      <c r="G99" s="24"/>
      <c r="M99" s="1">
        <v>3</v>
      </c>
      <c r="N99" s="1">
        <v>2</v>
      </c>
      <c r="R99" s="24" t="str">
        <f t="shared" si="5"/>
        <v/>
      </c>
      <c r="S99" s="1" t="str">
        <f t="shared" si="5"/>
        <v/>
      </c>
      <c r="T99" s="1" t="str">
        <f t="shared" si="5"/>
        <v/>
      </c>
      <c r="U99" s="1" t="str">
        <f t="shared" si="5"/>
        <v/>
      </c>
      <c r="V99" s="1" t="str">
        <f t="shared" si="5"/>
        <v/>
      </c>
      <c r="W99" s="1" t="str">
        <f t="shared" si="5"/>
        <v/>
      </c>
      <c r="X99" s="1">
        <f t="shared" si="5"/>
        <v>7.5</v>
      </c>
      <c r="Y99" s="1">
        <f t="shared" si="5"/>
        <v>2.5</v>
      </c>
      <c r="Z99" s="1" t="str">
        <f t="shared" si="5"/>
        <v/>
      </c>
      <c r="AA99" s="1" t="str">
        <f t="shared" si="5"/>
        <v/>
      </c>
      <c r="AB99" s="25" t="str">
        <f t="shared" si="5"/>
        <v/>
      </c>
    </row>
    <row r="100" spans="1:53" ht="14.5" thickBot="1" x14ac:dyDescent="0.35">
      <c r="D100" s="33">
        <v>1999</v>
      </c>
      <c r="E100" s="26" t="s">
        <v>5</v>
      </c>
      <c r="F100" s="27" t="s">
        <v>57</v>
      </c>
      <c r="G100" s="26"/>
      <c r="H100" s="28"/>
      <c r="I100" s="28"/>
      <c r="J100" s="28"/>
      <c r="K100" s="28"/>
      <c r="L100" s="28"/>
      <c r="M100" s="28"/>
      <c r="N100" s="28"/>
      <c r="O100" s="28" t="s">
        <v>59</v>
      </c>
      <c r="P100" s="28" t="s">
        <v>59</v>
      </c>
      <c r="Q100" s="28" t="s">
        <v>59</v>
      </c>
      <c r="R100" s="26" t="str">
        <f t="shared" si="5"/>
        <v/>
      </c>
      <c r="S100" s="28" t="str">
        <f t="shared" si="5"/>
        <v/>
      </c>
      <c r="T100" s="28" t="str">
        <f t="shared" si="5"/>
        <v/>
      </c>
      <c r="U100" s="28" t="str">
        <f t="shared" si="5"/>
        <v/>
      </c>
      <c r="V100" s="28" t="str">
        <f t="shared" si="5"/>
        <v/>
      </c>
      <c r="W100" s="28" t="str">
        <f t="shared" si="5"/>
        <v/>
      </c>
      <c r="X100" s="28" t="str">
        <f t="shared" si="5"/>
        <v/>
      </c>
      <c r="Y100" s="28" t="str">
        <f t="shared" si="5"/>
        <v/>
      </c>
      <c r="Z100" s="28" t="str">
        <f t="shared" si="5"/>
        <v/>
      </c>
      <c r="AA100" s="28" t="str">
        <f t="shared" si="5"/>
        <v/>
      </c>
      <c r="AB100" s="27" t="str">
        <f t="shared" si="5"/>
        <v/>
      </c>
    </row>
    <row r="101" spans="1:53" x14ac:dyDescent="0.3">
      <c r="D101" s="31">
        <v>1999</v>
      </c>
      <c r="E101" s="20" t="s">
        <v>2</v>
      </c>
      <c r="F101" s="21" t="s">
        <v>57</v>
      </c>
      <c r="G101" s="20">
        <v>4</v>
      </c>
      <c r="H101" s="22">
        <v>4</v>
      </c>
      <c r="I101" s="22">
        <v>3</v>
      </c>
      <c r="J101" s="22"/>
      <c r="K101" s="22"/>
      <c r="L101" s="22"/>
      <c r="M101" s="22"/>
      <c r="N101" s="22"/>
      <c r="O101" s="22"/>
      <c r="P101" s="22"/>
      <c r="Q101" s="21"/>
      <c r="R101" s="22">
        <f t="shared" si="5"/>
        <v>10</v>
      </c>
      <c r="S101" s="22">
        <f t="shared" si="5"/>
        <v>10</v>
      </c>
      <c r="T101" s="22">
        <f t="shared" si="5"/>
        <v>7.5</v>
      </c>
      <c r="U101" s="22" t="str">
        <f t="shared" si="5"/>
        <v/>
      </c>
      <c r="V101" s="22" t="str">
        <f t="shared" si="5"/>
        <v/>
      </c>
      <c r="W101" s="22" t="str">
        <f t="shared" si="5"/>
        <v/>
      </c>
      <c r="X101" s="22" t="str">
        <f t="shared" si="5"/>
        <v/>
      </c>
      <c r="Y101" s="22" t="str">
        <f t="shared" si="5"/>
        <v/>
      </c>
      <c r="Z101" s="22" t="str">
        <f t="shared" si="5"/>
        <v/>
      </c>
      <c r="AA101" s="22" t="str">
        <f t="shared" si="5"/>
        <v/>
      </c>
      <c r="AB101" s="21" t="str">
        <f t="shared" si="5"/>
        <v/>
      </c>
    </row>
    <row r="102" spans="1:53" x14ac:dyDescent="0.3">
      <c r="D102" s="32">
        <v>1999</v>
      </c>
      <c r="E102" s="24" t="s">
        <v>3</v>
      </c>
      <c r="F102" s="25" t="s">
        <v>57</v>
      </c>
      <c r="G102" s="24"/>
      <c r="J102" s="1">
        <v>2</v>
      </c>
      <c r="K102" s="1">
        <v>2</v>
      </c>
      <c r="L102" s="1">
        <v>4</v>
      </c>
      <c r="Q102" s="25"/>
      <c r="R102" s="1" t="str">
        <f t="shared" si="5"/>
        <v/>
      </c>
      <c r="S102" s="1" t="str">
        <f t="shared" si="5"/>
        <v/>
      </c>
      <c r="T102" s="1" t="str">
        <f t="shared" si="5"/>
        <v/>
      </c>
      <c r="U102" s="1">
        <f t="shared" si="5"/>
        <v>5</v>
      </c>
      <c r="V102" s="1">
        <f t="shared" si="5"/>
        <v>5</v>
      </c>
      <c r="W102" s="1">
        <f t="shared" si="5"/>
        <v>10</v>
      </c>
      <c r="X102" s="1" t="str">
        <f t="shared" si="5"/>
        <v/>
      </c>
      <c r="Y102" s="1" t="str">
        <f t="shared" si="5"/>
        <v/>
      </c>
      <c r="Z102" s="1" t="str">
        <f t="shared" si="5"/>
        <v/>
      </c>
      <c r="AA102" s="1" t="str">
        <f t="shared" si="5"/>
        <v/>
      </c>
      <c r="AB102" s="25" t="str">
        <f t="shared" si="5"/>
        <v/>
      </c>
    </row>
    <row r="103" spans="1:53" x14ac:dyDescent="0.3">
      <c r="D103" s="32">
        <v>1999</v>
      </c>
      <c r="E103" s="24" t="s">
        <v>4</v>
      </c>
      <c r="F103" s="25" t="s">
        <v>57</v>
      </c>
      <c r="G103" s="24"/>
      <c r="M103" s="1">
        <v>3</v>
      </c>
      <c r="N103" s="1">
        <v>1</v>
      </c>
      <c r="Q103" s="25"/>
      <c r="R103" s="1" t="str">
        <f t="shared" si="5"/>
        <v/>
      </c>
      <c r="S103" s="1" t="str">
        <f t="shared" si="5"/>
        <v/>
      </c>
      <c r="T103" s="1" t="str">
        <f t="shared" si="5"/>
        <v/>
      </c>
      <c r="U103" s="1" t="str">
        <f t="shared" si="5"/>
        <v/>
      </c>
      <c r="V103" s="1" t="str">
        <f t="shared" si="5"/>
        <v/>
      </c>
      <c r="W103" s="1" t="str">
        <f t="shared" si="5"/>
        <v/>
      </c>
      <c r="X103" s="1">
        <f t="shared" si="5"/>
        <v>7.5</v>
      </c>
      <c r="Y103" s="1">
        <f t="shared" si="5"/>
        <v>1.25</v>
      </c>
      <c r="Z103" s="1" t="str">
        <f t="shared" si="5"/>
        <v/>
      </c>
      <c r="AA103" s="1" t="str">
        <f t="shared" si="5"/>
        <v/>
      </c>
      <c r="AB103" s="25" t="str">
        <f t="shared" si="5"/>
        <v/>
      </c>
    </row>
    <row r="104" spans="1:53" ht="14.5" thickBot="1" x14ac:dyDescent="0.35">
      <c r="D104" s="33">
        <v>1999</v>
      </c>
      <c r="E104" s="26" t="s">
        <v>5</v>
      </c>
      <c r="F104" s="27" t="s">
        <v>57</v>
      </c>
      <c r="G104" s="26"/>
      <c r="H104" s="28"/>
      <c r="I104" s="28"/>
      <c r="J104" s="28"/>
      <c r="K104" s="28"/>
      <c r="L104" s="28"/>
      <c r="M104" s="28"/>
      <c r="N104" s="28"/>
      <c r="O104" s="28"/>
      <c r="P104" s="28"/>
      <c r="Q104" s="27"/>
      <c r="R104" s="28" t="str">
        <f t="shared" si="5"/>
        <v/>
      </c>
      <c r="S104" s="28" t="str">
        <f t="shared" si="5"/>
        <v/>
      </c>
      <c r="T104" s="28" t="str">
        <f t="shared" si="5"/>
        <v/>
      </c>
      <c r="U104" s="28" t="str">
        <f t="shared" si="5"/>
        <v/>
      </c>
      <c r="V104" s="28" t="str">
        <f t="shared" si="5"/>
        <v/>
      </c>
      <c r="W104" s="28" t="str">
        <f t="shared" si="5"/>
        <v/>
      </c>
      <c r="X104" s="28" t="str">
        <f t="shared" si="5"/>
        <v/>
      </c>
      <c r="Y104" s="28" t="str">
        <f t="shared" si="5"/>
        <v/>
      </c>
      <c r="Z104" s="28" t="str">
        <f t="shared" si="5"/>
        <v/>
      </c>
      <c r="AA104" s="28" t="str">
        <f t="shared" si="5"/>
        <v/>
      </c>
      <c r="AB104" s="27" t="str">
        <f t="shared" si="5"/>
        <v/>
      </c>
    </row>
    <row r="105" spans="1:53" x14ac:dyDescent="0.3">
      <c r="D105" s="31">
        <v>1998</v>
      </c>
      <c r="E105" s="20" t="s">
        <v>2</v>
      </c>
      <c r="F105" s="21" t="s">
        <v>56</v>
      </c>
      <c r="G105" s="20">
        <v>3</v>
      </c>
      <c r="H105" s="22">
        <v>1</v>
      </c>
      <c r="I105" s="22">
        <v>4</v>
      </c>
      <c r="J105" s="22"/>
      <c r="K105" s="22"/>
      <c r="L105" s="22"/>
      <c r="M105" s="22"/>
      <c r="N105" s="22"/>
      <c r="O105" s="22"/>
      <c r="P105" s="22"/>
      <c r="Q105" s="22"/>
      <c r="R105" s="20">
        <f t="shared" si="5"/>
        <v>7.5</v>
      </c>
      <c r="S105" s="22">
        <f t="shared" si="5"/>
        <v>2.5</v>
      </c>
      <c r="T105" s="22">
        <f t="shared" si="5"/>
        <v>10</v>
      </c>
      <c r="U105" s="22" t="str">
        <f t="shared" si="5"/>
        <v/>
      </c>
      <c r="V105" s="22" t="str">
        <f t="shared" si="5"/>
        <v/>
      </c>
      <c r="W105" s="22" t="str">
        <f t="shared" si="5"/>
        <v/>
      </c>
      <c r="X105" s="22" t="str">
        <f t="shared" si="5"/>
        <v/>
      </c>
      <c r="Y105" s="22" t="str">
        <f t="shared" si="5"/>
        <v/>
      </c>
      <c r="Z105" s="22" t="str">
        <f t="shared" si="5"/>
        <v/>
      </c>
      <c r="AA105" s="22" t="str">
        <f t="shared" si="5"/>
        <v/>
      </c>
      <c r="AB105" s="21" t="str">
        <f t="shared" si="5"/>
        <v/>
      </c>
    </row>
    <row r="106" spans="1:53" x14ac:dyDescent="0.3">
      <c r="D106" s="32">
        <v>1998</v>
      </c>
      <c r="E106" s="24" t="s">
        <v>3</v>
      </c>
      <c r="F106" s="25" t="s">
        <v>56</v>
      </c>
      <c r="G106" s="24"/>
      <c r="J106" s="1">
        <v>4</v>
      </c>
      <c r="K106" s="1">
        <v>4</v>
      </c>
      <c r="L106" s="1">
        <v>2</v>
      </c>
      <c r="R106" s="24" t="str">
        <f t="shared" si="5"/>
        <v/>
      </c>
      <c r="S106" s="1" t="str">
        <f t="shared" si="5"/>
        <v/>
      </c>
      <c r="T106" s="1" t="str">
        <f t="shared" si="5"/>
        <v/>
      </c>
      <c r="U106" s="1">
        <f t="shared" si="5"/>
        <v>10</v>
      </c>
      <c r="V106" s="1">
        <f t="shared" si="5"/>
        <v>10</v>
      </c>
      <c r="W106" s="1">
        <f t="shared" si="5"/>
        <v>5</v>
      </c>
      <c r="X106" s="1" t="str">
        <f t="shared" si="5"/>
        <v/>
      </c>
      <c r="Y106" s="1" t="str">
        <f t="shared" si="5"/>
        <v/>
      </c>
      <c r="Z106" s="1" t="str">
        <f t="shared" si="5"/>
        <v/>
      </c>
      <c r="AA106" s="1" t="str">
        <f t="shared" si="5"/>
        <v/>
      </c>
      <c r="AB106" s="25" t="str">
        <f t="shared" si="5"/>
        <v/>
      </c>
    </row>
    <row r="107" spans="1:53" x14ac:dyDescent="0.3">
      <c r="D107" s="32">
        <v>1998</v>
      </c>
      <c r="E107" s="24" t="s">
        <v>4</v>
      </c>
      <c r="F107" s="25" t="s">
        <v>56</v>
      </c>
      <c r="G107" s="24"/>
      <c r="M107" s="1">
        <v>4</v>
      </c>
      <c r="N107" s="1">
        <v>4</v>
      </c>
      <c r="R107" s="24" t="str">
        <f t="shared" si="5"/>
        <v/>
      </c>
      <c r="S107" s="1" t="str">
        <f t="shared" si="5"/>
        <v/>
      </c>
      <c r="T107" s="1" t="str">
        <f t="shared" si="5"/>
        <v/>
      </c>
      <c r="U107" s="1" t="str">
        <f t="shared" si="5"/>
        <v/>
      </c>
      <c r="V107" s="1" t="str">
        <f t="shared" si="5"/>
        <v/>
      </c>
      <c r="W107" s="1" t="str">
        <f t="shared" si="5"/>
        <v/>
      </c>
      <c r="X107" s="1">
        <f t="shared" si="5"/>
        <v>10</v>
      </c>
      <c r="Y107" s="1">
        <f t="shared" si="5"/>
        <v>5</v>
      </c>
      <c r="Z107" s="1" t="str">
        <f t="shared" si="5"/>
        <v/>
      </c>
      <c r="AA107" s="1" t="str">
        <f t="shared" si="5"/>
        <v/>
      </c>
      <c r="AB107" s="25" t="str">
        <f t="shared" si="5"/>
        <v/>
      </c>
    </row>
    <row r="108" spans="1:53" ht="14.5" thickBot="1" x14ac:dyDescent="0.35">
      <c r="D108" s="33">
        <v>1998</v>
      </c>
      <c r="E108" s="26" t="s">
        <v>5</v>
      </c>
      <c r="F108" s="27" t="s">
        <v>56</v>
      </c>
      <c r="G108" s="26"/>
      <c r="H108" s="28"/>
      <c r="I108" s="28"/>
      <c r="J108" s="28"/>
      <c r="K108" s="28"/>
      <c r="L108" s="28"/>
      <c r="M108" s="28"/>
      <c r="N108" s="28"/>
      <c r="O108" s="28" t="s">
        <v>59</v>
      </c>
      <c r="P108" s="28" t="s">
        <v>59</v>
      </c>
      <c r="Q108" s="28" t="s">
        <v>59</v>
      </c>
      <c r="R108" s="26" t="str">
        <f t="shared" si="5"/>
        <v/>
      </c>
      <c r="S108" s="28" t="str">
        <f t="shared" si="5"/>
        <v/>
      </c>
      <c r="T108" s="28" t="str">
        <f t="shared" si="5"/>
        <v/>
      </c>
      <c r="U108" s="28" t="str">
        <f t="shared" si="5"/>
        <v/>
      </c>
      <c r="V108" s="28" t="str">
        <f t="shared" si="5"/>
        <v/>
      </c>
      <c r="W108" s="28" t="str">
        <f t="shared" si="5"/>
        <v/>
      </c>
      <c r="X108" s="28" t="str">
        <f t="shared" si="5"/>
        <v/>
      </c>
      <c r="Y108" s="28" t="str">
        <f t="shared" si="5"/>
        <v/>
      </c>
      <c r="Z108" s="28" t="str">
        <f t="shared" si="5"/>
        <v/>
      </c>
      <c r="AA108" s="28" t="str">
        <f t="shared" si="5"/>
        <v/>
      </c>
      <c r="AB108" s="27" t="str">
        <f t="shared" si="5"/>
        <v/>
      </c>
    </row>
    <row r="109" spans="1:53" x14ac:dyDescent="0.3">
      <c r="D109" s="31">
        <v>1998</v>
      </c>
      <c r="E109" s="20" t="s">
        <v>2</v>
      </c>
      <c r="F109" s="21" t="s">
        <v>56</v>
      </c>
      <c r="G109" s="20">
        <v>1</v>
      </c>
      <c r="H109" s="22">
        <v>2</v>
      </c>
      <c r="I109" s="22">
        <v>2</v>
      </c>
      <c r="J109" s="22"/>
      <c r="K109" s="22"/>
      <c r="L109" s="22"/>
      <c r="M109" s="22"/>
      <c r="N109" s="22"/>
      <c r="O109" s="22"/>
      <c r="P109" s="22"/>
      <c r="Q109" s="22"/>
      <c r="R109" s="20">
        <f t="shared" si="5"/>
        <v>2.5</v>
      </c>
      <c r="S109" s="22">
        <f t="shared" si="5"/>
        <v>5</v>
      </c>
      <c r="T109" s="22">
        <f t="shared" si="5"/>
        <v>5</v>
      </c>
      <c r="U109" s="22" t="str">
        <f t="shared" si="5"/>
        <v/>
      </c>
      <c r="V109" s="22" t="str">
        <f t="shared" si="5"/>
        <v/>
      </c>
      <c r="W109" s="22" t="str">
        <f t="shared" si="5"/>
        <v/>
      </c>
      <c r="X109" s="22" t="str">
        <f t="shared" si="5"/>
        <v/>
      </c>
      <c r="Y109" s="22" t="str">
        <f t="shared" si="5"/>
        <v/>
      </c>
      <c r="Z109" s="22" t="str">
        <f t="shared" si="5"/>
        <v/>
      </c>
      <c r="AA109" s="22" t="str">
        <f t="shared" si="5"/>
        <v/>
      </c>
      <c r="AB109" s="21" t="str">
        <f t="shared" si="5"/>
        <v/>
      </c>
    </row>
    <row r="110" spans="1:53" x14ac:dyDescent="0.3">
      <c r="D110" s="32">
        <v>1998</v>
      </c>
      <c r="E110" s="24" t="s">
        <v>3</v>
      </c>
      <c r="F110" s="25" t="s">
        <v>56</v>
      </c>
      <c r="G110" s="24"/>
      <c r="J110" s="1">
        <v>2</v>
      </c>
      <c r="K110" s="1">
        <v>3</v>
      </c>
      <c r="L110" s="1">
        <v>2</v>
      </c>
      <c r="R110" s="24" t="str">
        <f t="shared" si="5"/>
        <v/>
      </c>
      <c r="S110" s="1" t="str">
        <f t="shared" si="5"/>
        <v/>
      </c>
      <c r="T110" s="1" t="str">
        <f t="shared" si="5"/>
        <v/>
      </c>
      <c r="U110" s="1">
        <f t="shared" si="5"/>
        <v>5</v>
      </c>
      <c r="V110" s="1">
        <f t="shared" si="5"/>
        <v>7.5</v>
      </c>
      <c r="W110" s="1">
        <f t="shared" si="5"/>
        <v>5</v>
      </c>
      <c r="X110" s="1" t="str">
        <f t="shared" si="5"/>
        <v/>
      </c>
      <c r="Y110" s="1" t="str">
        <f t="shared" si="5"/>
        <v/>
      </c>
      <c r="Z110" s="1" t="str">
        <f t="shared" si="5"/>
        <v/>
      </c>
      <c r="AA110" s="1" t="str">
        <f t="shared" si="5"/>
        <v/>
      </c>
      <c r="AB110" s="25" t="str">
        <f t="shared" si="5"/>
        <v/>
      </c>
    </row>
    <row r="111" spans="1:53" x14ac:dyDescent="0.3">
      <c r="D111" s="32">
        <v>1998</v>
      </c>
      <c r="E111" s="24" t="s">
        <v>4</v>
      </c>
      <c r="F111" s="25" t="s">
        <v>56</v>
      </c>
      <c r="G111" s="24"/>
      <c r="M111" s="1">
        <v>1</v>
      </c>
      <c r="N111" s="1">
        <v>2</v>
      </c>
      <c r="R111" s="24" t="str">
        <f t="shared" si="5"/>
        <v/>
      </c>
      <c r="S111" s="1" t="str">
        <f t="shared" si="5"/>
        <v/>
      </c>
      <c r="T111" s="1" t="str">
        <f t="shared" si="5"/>
        <v/>
      </c>
      <c r="U111" s="1" t="str">
        <f t="shared" si="5"/>
        <v/>
      </c>
      <c r="V111" s="1" t="str">
        <f t="shared" si="5"/>
        <v/>
      </c>
      <c r="W111" s="1" t="str">
        <f t="shared" si="5"/>
        <v/>
      </c>
      <c r="X111" s="1">
        <f t="shared" si="5"/>
        <v>2.5</v>
      </c>
      <c r="Y111" s="1">
        <f t="shared" si="5"/>
        <v>2.5</v>
      </c>
      <c r="Z111" s="1" t="str">
        <f t="shared" si="5"/>
        <v/>
      </c>
      <c r="AA111" s="1" t="str">
        <f t="shared" si="5"/>
        <v/>
      </c>
      <c r="AB111" s="25" t="str">
        <f t="shared" si="5"/>
        <v/>
      </c>
    </row>
    <row r="112" spans="1:53" ht="14.5" thickBot="1" x14ac:dyDescent="0.35">
      <c r="D112" s="33">
        <v>1998</v>
      </c>
      <c r="E112" s="26" t="s">
        <v>5</v>
      </c>
      <c r="F112" s="27" t="s">
        <v>56</v>
      </c>
      <c r="G112" s="26"/>
      <c r="H112" s="28"/>
      <c r="I112" s="28"/>
      <c r="J112" s="28"/>
      <c r="K112" s="28"/>
      <c r="L112" s="28"/>
      <c r="M112" s="28"/>
      <c r="N112" s="28"/>
      <c r="O112" s="28" t="s">
        <v>59</v>
      </c>
      <c r="P112" s="28" t="s">
        <v>59</v>
      </c>
      <c r="Q112" s="28" t="s">
        <v>59</v>
      </c>
      <c r="R112" s="26" t="str">
        <f t="shared" si="5"/>
        <v/>
      </c>
      <c r="S112" s="28" t="str">
        <f t="shared" si="5"/>
        <v/>
      </c>
      <c r="T112" s="28" t="str">
        <f t="shared" ref="T112:AB120" si="6">IF(I112="-","",IF(I112/4*T$5=0, "",I112/4*T$5))</f>
        <v/>
      </c>
      <c r="U112" s="28" t="str">
        <f t="shared" si="6"/>
        <v/>
      </c>
      <c r="V112" s="28" t="str">
        <f t="shared" si="6"/>
        <v/>
      </c>
      <c r="W112" s="28" t="str">
        <f t="shared" si="6"/>
        <v/>
      </c>
      <c r="X112" s="28" t="str">
        <f t="shared" si="6"/>
        <v/>
      </c>
      <c r="Y112" s="28" t="str">
        <f t="shared" si="6"/>
        <v/>
      </c>
      <c r="Z112" s="28" t="str">
        <f t="shared" si="6"/>
        <v/>
      </c>
      <c r="AA112" s="28" t="str">
        <f t="shared" si="6"/>
        <v/>
      </c>
      <c r="AB112" s="27" t="str">
        <f t="shared" si="6"/>
        <v/>
      </c>
    </row>
    <row r="113" spans="1:50" x14ac:dyDescent="0.3">
      <c r="D113" s="31">
        <v>1998</v>
      </c>
      <c r="E113" s="20" t="s">
        <v>2</v>
      </c>
      <c r="F113" s="21" t="s">
        <v>56</v>
      </c>
      <c r="G113" s="20">
        <v>4</v>
      </c>
      <c r="H113" s="22">
        <v>2</v>
      </c>
      <c r="I113" s="22">
        <v>4</v>
      </c>
      <c r="J113" s="22"/>
      <c r="K113" s="22"/>
      <c r="L113" s="22"/>
      <c r="M113" s="22"/>
      <c r="N113" s="22"/>
      <c r="O113" s="22"/>
      <c r="P113" s="22"/>
      <c r="Q113" s="21"/>
      <c r="R113" s="22">
        <f t="shared" ref="R113:S120" si="7">IF(G113="-","",IF(G113/4*R$5=0, "",G113/4*R$5))</f>
        <v>10</v>
      </c>
      <c r="S113" s="22">
        <f t="shared" si="7"/>
        <v>5</v>
      </c>
      <c r="T113" s="22">
        <f t="shared" si="6"/>
        <v>10</v>
      </c>
      <c r="U113" s="22" t="str">
        <f t="shared" si="6"/>
        <v/>
      </c>
      <c r="V113" s="22" t="str">
        <f t="shared" si="6"/>
        <v/>
      </c>
      <c r="W113" s="22" t="str">
        <f t="shared" si="6"/>
        <v/>
      </c>
      <c r="X113" s="22" t="str">
        <f t="shared" si="6"/>
        <v/>
      </c>
      <c r="Y113" s="22" t="str">
        <f t="shared" si="6"/>
        <v/>
      </c>
      <c r="Z113" s="22" t="str">
        <f t="shared" si="6"/>
        <v/>
      </c>
      <c r="AA113" s="22" t="str">
        <f t="shared" si="6"/>
        <v/>
      </c>
      <c r="AB113" s="21" t="str">
        <f t="shared" si="6"/>
        <v/>
      </c>
    </row>
    <row r="114" spans="1:50" x14ac:dyDescent="0.3">
      <c r="D114" s="32">
        <v>1998</v>
      </c>
      <c r="E114" s="24" t="s">
        <v>3</v>
      </c>
      <c r="F114" s="25" t="s">
        <v>56</v>
      </c>
      <c r="G114" s="24"/>
      <c r="J114" s="1">
        <v>2</v>
      </c>
      <c r="K114" s="1">
        <v>3</v>
      </c>
      <c r="L114" s="1">
        <v>1</v>
      </c>
      <c r="Q114" s="25"/>
      <c r="R114" s="1" t="str">
        <f t="shared" si="7"/>
        <v/>
      </c>
      <c r="S114" s="1" t="str">
        <f t="shared" si="7"/>
        <v/>
      </c>
      <c r="T114" s="1" t="str">
        <f t="shared" si="6"/>
        <v/>
      </c>
      <c r="U114" s="1">
        <f t="shared" si="6"/>
        <v>5</v>
      </c>
      <c r="V114" s="1">
        <f t="shared" si="6"/>
        <v>7.5</v>
      </c>
      <c r="W114" s="1">
        <f t="shared" si="6"/>
        <v>2.5</v>
      </c>
      <c r="X114" s="1" t="str">
        <f t="shared" si="6"/>
        <v/>
      </c>
      <c r="Y114" s="1" t="str">
        <f t="shared" si="6"/>
        <v/>
      </c>
      <c r="Z114" s="1" t="str">
        <f t="shared" si="6"/>
        <v/>
      </c>
      <c r="AA114" s="1" t="str">
        <f t="shared" si="6"/>
        <v/>
      </c>
      <c r="AB114" s="25" t="str">
        <f t="shared" si="6"/>
        <v/>
      </c>
    </row>
    <row r="115" spans="1:50" x14ac:dyDescent="0.3">
      <c r="D115" s="32">
        <v>1998</v>
      </c>
      <c r="E115" s="24" t="s">
        <v>4</v>
      </c>
      <c r="F115" s="25" t="s">
        <v>56</v>
      </c>
      <c r="G115" s="24"/>
      <c r="M115" s="1">
        <v>2</v>
      </c>
      <c r="N115" s="1">
        <v>2</v>
      </c>
      <c r="Q115" s="25"/>
      <c r="R115" s="1" t="str">
        <f t="shared" si="7"/>
        <v/>
      </c>
      <c r="S115" s="1" t="str">
        <f t="shared" si="7"/>
        <v/>
      </c>
      <c r="T115" s="1" t="str">
        <f t="shared" si="6"/>
        <v/>
      </c>
      <c r="U115" s="1" t="str">
        <f t="shared" si="6"/>
        <v/>
      </c>
      <c r="V115" s="1" t="str">
        <f t="shared" si="6"/>
        <v/>
      </c>
      <c r="W115" s="1" t="str">
        <f t="shared" si="6"/>
        <v/>
      </c>
      <c r="X115" s="1">
        <f t="shared" si="6"/>
        <v>5</v>
      </c>
      <c r="Y115" s="1">
        <f t="shared" si="6"/>
        <v>2.5</v>
      </c>
      <c r="Z115" s="1" t="str">
        <f t="shared" si="6"/>
        <v/>
      </c>
      <c r="AA115" s="1" t="str">
        <f t="shared" si="6"/>
        <v/>
      </c>
      <c r="AB115" s="25" t="str">
        <f t="shared" si="6"/>
        <v/>
      </c>
    </row>
    <row r="116" spans="1:50" ht="14.5" thickBot="1" x14ac:dyDescent="0.35">
      <c r="D116" s="33">
        <v>1998</v>
      </c>
      <c r="E116" s="26" t="s">
        <v>5</v>
      </c>
      <c r="F116" s="27" t="s">
        <v>56</v>
      </c>
      <c r="G116" s="26"/>
      <c r="H116" s="28"/>
      <c r="I116" s="28"/>
      <c r="J116" s="28"/>
      <c r="K116" s="28"/>
      <c r="L116" s="28"/>
      <c r="M116" s="28"/>
      <c r="N116" s="28"/>
      <c r="O116" s="34">
        <v>4</v>
      </c>
      <c r="P116" s="28" t="s">
        <v>59</v>
      </c>
      <c r="Q116" s="27" t="s">
        <v>59</v>
      </c>
      <c r="R116" s="28" t="str">
        <f t="shared" si="7"/>
        <v/>
      </c>
      <c r="S116" s="28" t="str">
        <f t="shared" si="7"/>
        <v/>
      </c>
      <c r="T116" s="28" t="str">
        <f t="shared" si="6"/>
        <v/>
      </c>
      <c r="U116" s="28" t="str">
        <f t="shared" si="6"/>
        <v/>
      </c>
      <c r="V116" s="28" t="str">
        <f t="shared" si="6"/>
        <v/>
      </c>
      <c r="W116" s="28" t="str">
        <f t="shared" si="6"/>
        <v/>
      </c>
      <c r="X116" s="28" t="str">
        <f t="shared" si="6"/>
        <v/>
      </c>
      <c r="Y116" s="28" t="str">
        <f t="shared" si="6"/>
        <v/>
      </c>
      <c r="Z116" s="28">
        <f t="shared" si="6"/>
        <v>5</v>
      </c>
      <c r="AA116" s="28" t="str">
        <f t="shared" si="6"/>
        <v/>
      </c>
      <c r="AB116" s="27" t="str">
        <f t="shared" si="6"/>
        <v/>
      </c>
    </row>
    <row r="117" spans="1:50" x14ac:dyDescent="0.3">
      <c r="D117" s="31">
        <v>1998</v>
      </c>
      <c r="E117" s="20" t="s">
        <v>2</v>
      </c>
      <c r="F117" s="21" t="s">
        <v>57</v>
      </c>
      <c r="G117" s="20">
        <v>4</v>
      </c>
      <c r="H117" s="22">
        <v>1</v>
      </c>
      <c r="I117" s="22">
        <v>3</v>
      </c>
      <c r="J117" s="22"/>
      <c r="K117" s="22"/>
      <c r="L117" s="22"/>
      <c r="M117" s="22"/>
      <c r="N117" s="22"/>
      <c r="O117" s="22"/>
      <c r="P117" s="22"/>
      <c r="Q117" s="21"/>
      <c r="R117" s="22">
        <f t="shared" si="7"/>
        <v>10</v>
      </c>
      <c r="S117" s="22">
        <f t="shared" si="7"/>
        <v>2.5</v>
      </c>
      <c r="T117" s="22">
        <f t="shared" si="6"/>
        <v>7.5</v>
      </c>
      <c r="U117" s="22" t="str">
        <f t="shared" si="6"/>
        <v/>
      </c>
      <c r="V117" s="22" t="str">
        <f t="shared" si="6"/>
        <v/>
      </c>
      <c r="W117" s="22" t="str">
        <f t="shared" si="6"/>
        <v/>
      </c>
      <c r="X117" s="22" t="str">
        <f t="shared" si="6"/>
        <v/>
      </c>
      <c r="Y117" s="22" t="str">
        <f t="shared" si="6"/>
        <v/>
      </c>
      <c r="Z117" s="22" t="str">
        <f t="shared" si="6"/>
        <v/>
      </c>
      <c r="AA117" s="22" t="str">
        <f t="shared" si="6"/>
        <v/>
      </c>
      <c r="AB117" s="21" t="str">
        <f t="shared" si="6"/>
        <v/>
      </c>
    </row>
    <row r="118" spans="1:50" x14ac:dyDescent="0.3">
      <c r="D118" s="32">
        <v>1998</v>
      </c>
      <c r="E118" s="24" t="s">
        <v>3</v>
      </c>
      <c r="F118" s="25" t="s">
        <v>57</v>
      </c>
      <c r="G118" s="24"/>
      <c r="J118" s="1">
        <v>1</v>
      </c>
      <c r="K118" s="1">
        <v>1</v>
      </c>
      <c r="L118" s="1">
        <v>3</v>
      </c>
      <c r="Q118" s="25"/>
      <c r="R118" s="1" t="str">
        <f t="shared" si="7"/>
        <v/>
      </c>
      <c r="S118" s="1" t="str">
        <f t="shared" si="7"/>
        <v/>
      </c>
      <c r="T118" s="1" t="str">
        <f t="shared" si="6"/>
        <v/>
      </c>
      <c r="U118" s="1">
        <f t="shared" si="6"/>
        <v>2.5</v>
      </c>
      <c r="V118" s="1">
        <f t="shared" si="6"/>
        <v>2.5</v>
      </c>
      <c r="W118" s="1">
        <f t="shared" si="6"/>
        <v>7.5</v>
      </c>
      <c r="X118" s="1" t="str">
        <f t="shared" si="6"/>
        <v/>
      </c>
      <c r="Y118" s="1" t="str">
        <f t="shared" si="6"/>
        <v/>
      </c>
      <c r="Z118" s="1" t="str">
        <f t="shared" si="6"/>
        <v/>
      </c>
      <c r="AA118" s="1" t="str">
        <f t="shared" si="6"/>
        <v/>
      </c>
      <c r="AB118" s="25" t="str">
        <f t="shared" si="6"/>
        <v/>
      </c>
    </row>
    <row r="119" spans="1:50" x14ac:dyDescent="0.3">
      <c r="D119" s="32">
        <v>1998</v>
      </c>
      <c r="E119" s="24" t="s">
        <v>4</v>
      </c>
      <c r="F119" s="25" t="s">
        <v>57</v>
      </c>
      <c r="G119" s="24"/>
      <c r="M119" s="1">
        <v>2</v>
      </c>
      <c r="N119" s="1">
        <v>2</v>
      </c>
      <c r="Q119" s="25"/>
      <c r="R119" s="1" t="str">
        <f t="shared" si="7"/>
        <v/>
      </c>
      <c r="S119" s="1" t="str">
        <f t="shared" si="7"/>
        <v/>
      </c>
      <c r="T119" s="1" t="str">
        <f t="shared" si="6"/>
        <v/>
      </c>
      <c r="U119" s="1" t="str">
        <f t="shared" si="6"/>
        <v/>
      </c>
      <c r="V119" s="1" t="str">
        <f t="shared" si="6"/>
        <v/>
      </c>
      <c r="W119" s="1" t="str">
        <f t="shared" si="6"/>
        <v/>
      </c>
      <c r="X119" s="1">
        <f t="shared" si="6"/>
        <v>5</v>
      </c>
      <c r="Y119" s="1">
        <f t="shared" si="6"/>
        <v>2.5</v>
      </c>
      <c r="Z119" s="1" t="str">
        <f t="shared" si="6"/>
        <v/>
      </c>
      <c r="AA119" s="1" t="str">
        <f t="shared" si="6"/>
        <v/>
      </c>
      <c r="AB119" s="25" t="str">
        <f t="shared" si="6"/>
        <v/>
      </c>
    </row>
    <row r="120" spans="1:50" ht="14.5" thickBot="1" x14ac:dyDescent="0.35">
      <c r="D120" s="33">
        <v>1998</v>
      </c>
      <c r="E120" s="26" t="s">
        <v>5</v>
      </c>
      <c r="F120" s="27" t="s">
        <v>57</v>
      </c>
      <c r="G120" s="26"/>
      <c r="H120" s="28"/>
      <c r="I120" s="28"/>
      <c r="J120" s="28"/>
      <c r="K120" s="28"/>
      <c r="L120" s="28"/>
      <c r="M120" s="28"/>
      <c r="N120" s="28"/>
      <c r="O120" s="28">
        <v>1</v>
      </c>
      <c r="P120" s="28">
        <v>1</v>
      </c>
      <c r="Q120" s="27">
        <v>2</v>
      </c>
      <c r="R120" s="28" t="str">
        <f t="shared" si="7"/>
        <v/>
      </c>
      <c r="S120" s="28" t="str">
        <f t="shared" si="7"/>
        <v/>
      </c>
      <c r="T120" s="28" t="str">
        <f t="shared" si="6"/>
        <v/>
      </c>
      <c r="U120" s="28" t="str">
        <f t="shared" si="6"/>
        <v/>
      </c>
      <c r="V120" s="28" t="str">
        <f t="shared" si="6"/>
        <v/>
      </c>
      <c r="W120" s="28" t="str">
        <f t="shared" si="6"/>
        <v/>
      </c>
      <c r="X120" s="28" t="str">
        <f t="shared" si="6"/>
        <v/>
      </c>
      <c r="Y120" s="28" t="str">
        <f t="shared" si="6"/>
        <v/>
      </c>
      <c r="Z120" s="28">
        <f t="shared" si="6"/>
        <v>1.25</v>
      </c>
      <c r="AA120" s="28">
        <f t="shared" si="6"/>
        <v>1.25</v>
      </c>
      <c r="AB120" s="27">
        <f t="shared" si="6"/>
        <v>7.5</v>
      </c>
    </row>
    <row r="124" spans="1:50" ht="26" x14ac:dyDescent="0.5">
      <c r="A124" s="35" t="s">
        <v>67</v>
      </c>
    </row>
    <row r="125" spans="1:50" x14ac:dyDescent="0.3">
      <c r="I125" s="2" t="s">
        <v>2</v>
      </c>
      <c r="J125" s="2" t="s">
        <v>2</v>
      </c>
      <c r="K125" s="2" t="s">
        <v>2</v>
      </c>
      <c r="L125" s="2" t="s">
        <v>2</v>
      </c>
      <c r="M125" s="2" t="s">
        <v>2</v>
      </c>
      <c r="N125" s="2" t="s">
        <v>2</v>
      </c>
      <c r="O125" s="3" t="s">
        <v>3</v>
      </c>
      <c r="P125" s="3" t="s">
        <v>3</v>
      </c>
      <c r="Q125" s="3" t="s">
        <v>3</v>
      </c>
      <c r="R125" s="3" t="s">
        <v>3</v>
      </c>
      <c r="S125" s="3" t="s">
        <v>3</v>
      </c>
      <c r="T125" s="3" t="s">
        <v>3</v>
      </c>
      <c r="U125" s="4" t="s">
        <v>68</v>
      </c>
      <c r="V125" s="4" t="s">
        <v>68</v>
      </c>
      <c r="W125" s="4" t="s">
        <v>68</v>
      </c>
      <c r="X125" s="4" t="s">
        <v>68</v>
      </c>
      <c r="Y125" s="36" t="s">
        <v>68</v>
      </c>
      <c r="Z125" s="5" t="s">
        <v>5</v>
      </c>
      <c r="AA125" s="5" t="s">
        <v>5</v>
      </c>
      <c r="AB125" s="5" t="s">
        <v>5</v>
      </c>
      <c r="AC125" s="5" t="s">
        <v>5</v>
      </c>
      <c r="AD125" s="2" t="s">
        <v>2</v>
      </c>
      <c r="AE125" s="2" t="s">
        <v>2</v>
      </c>
      <c r="AF125" s="2" t="s">
        <v>2</v>
      </c>
      <c r="AG125" s="2" t="s">
        <v>2</v>
      </c>
      <c r="AH125" s="2" t="s">
        <v>2</v>
      </c>
      <c r="AI125" s="2" t="s">
        <v>2</v>
      </c>
      <c r="AJ125" s="3" t="s">
        <v>3</v>
      </c>
      <c r="AK125" s="3" t="s">
        <v>3</v>
      </c>
      <c r="AL125" s="3" t="s">
        <v>3</v>
      </c>
      <c r="AM125" s="3" t="s">
        <v>3</v>
      </c>
      <c r="AN125" s="3" t="s">
        <v>3</v>
      </c>
      <c r="AO125" s="3" t="s">
        <v>3</v>
      </c>
      <c r="AP125" s="4" t="s">
        <v>68</v>
      </c>
      <c r="AQ125" s="4" t="s">
        <v>68</v>
      </c>
      <c r="AR125" s="4" t="s">
        <v>68</v>
      </c>
      <c r="AS125" s="4" t="s">
        <v>68</v>
      </c>
      <c r="AT125" s="36" t="s">
        <v>68</v>
      </c>
      <c r="AU125" s="5" t="s">
        <v>5</v>
      </c>
      <c r="AV125" s="5" t="s">
        <v>5</v>
      </c>
      <c r="AW125" s="5" t="s">
        <v>5</v>
      </c>
      <c r="AX125" s="5" t="s">
        <v>5</v>
      </c>
    </row>
    <row r="126" spans="1:50" ht="14.5" thickBot="1" x14ac:dyDescent="0.35">
      <c r="A126" s="1" t="s">
        <v>69</v>
      </c>
      <c r="B126" s="1" t="s">
        <v>70</v>
      </c>
      <c r="I126" s="8">
        <v>10</v>
      </c>
      <c r="J126" s="8">
        <v>10</v>
      </c>
      <c r="K126" s="8">
        <v>10</v>
      </c>
      <c r="L126" s="8">
        <v>2.5</v>
      </c>
      <c r="M126" s="8">
        <v>2.5</v>
      </c>
      <c r="N126" s="8">
        <v>10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3</v>
      </c>
      <c r="U126" s="1">
        <v>10</v>
      </c>
      <c r="V126" s="1">
        <v>10</v>
      </c>
      <c r="W126" s="1">
        <v>1.25</v>
      </c>
      <c r="X126" s="1">
        <v>1.25</v>
      </c>
      <c r="Y126" s="1">
        <v>5</v>
      </c>
      <c r="Z126" s="1">
        <v>1.25</v>
      </c>
      <c r="AA126" s="1">
        <v>1.25</v>
      </c>
      <c r="AB126" s="1">
        <v>2.5</v>
      </c>
      <c r="AC126" s="1">
        <v>2.5</v>
      </c>
      <c r="AD126" s="8">
        <v>10</v>
      </c>
      <c r="AE126" s="8">
        <v>10</v>
      </c>
      <c r="AF126" s="8">
        <v>10</v>
      </c>
      <c r="AG126" s="8">
        <v>2.5</v>
      </c>
      <c r="AH126" s="8">
        <v>2.5</v>
      </c>
      <c r="AI126" s="8">
        <v>10</v>
      </c>
      <c r="AJ126" s="1">
        <v>4</v>
      </c>
      <c r="AK126" s="1">
        <v>4</v>
      </c>
      <c r="AL126" s="1">
        <v>3</v>
      </c>
      <c r="AM126" s="1">
        <v>3</v>
      </c>
      <c r="AN126" s="1">
        <v>3</v>
      </c>
      <c r="AO126" s="1">
        <v>3</v>
      </c>
      <c r="AP126" s="1">
        <v>10</v>
      </c>
      <c r="AQ126" s="1">
        <v>10</v>
      </c>
      <c r="AR126" s="1">
        <v>1.25</v>
      </c>
      <c r="AS126" s="1">
        <v>1.25</v>
      </c>
      <c r="AT126" s="1">
        <v>5</v>
      </c>
      <c r="AU126" s="1">
        <v>1.25</v>
      </c>
      <c r="AV126" s="1">
        <v>1.25</v>
      </c>
      <c r="AW126" s="1">
        <v>2.5</v>
      </c>
      <c r="AX126" s="1">
        <v>2.5</v>
      </c>
    </row>
    <row r="127" spans="1:50" ht="14.5" thickBot="1" x14ac:dyDescent="0.35">
      <c r="A127" s="2" t="s">
        <v>2</v>
      </c>
      <c r="B127" s="2" t="s">
        <v>9</v>
      </c>
      <c r="D127" s="20" t="s">
        <v>65</v>
      </c>
      <c r="E127" s="37" t="s">
        <v>71</v>
      </c>
      <c r="F127" s="37" t="s">
        <v>72</v>
      </c>
      <c r="G127" s="38" t="s">
        <v>8</v>
      </c>
      <c r="H127" s="9" t="s">
        <v>7</v>
      </c>
      <c r="I127" s="39" t="s">
        <v>9</v>
      </c>
      <c r="J127" s="39" t="s">
        <v>10</v>
      </c>
      <c r="K127" s="39" t="s">
        <v>11</v>
      </c>
      <c r="L127" s="39" t="s">
        <v>73</v>
      </c>
      <c r="M127" s="39" t="s">
        <v>74</v>
      </c>
      <c r="N127" s="39" t="s">
        <v>75</v>
      </c>
      <c r="O127" s="39" t="s">
        <v>12</v>
      </c>
      <c r="P127" s="39" t="s">
        <v>13</v>
      </c>
      <c r="Q127" s="39" t="s">
        <v>14</v>
      </c>
      <c r="R127" s="39" t="s">
        <v>15</v>
      </c>
      <c r="S127" s="39" t="s">
        <v>16</v>
      </c>
      <c r="T127" s="39" t="s">
        <v>17</v>
      </c>
      <c r="U127" s="39" t="s">
        <v>18</v>
      </c>
      <c r="V127" s="39" t="s">
        <v>19</v>
      </c>
      <c r="W127" s="39" t="s">
        <v>76</v>
      </c>
      <c r="X127" s="39" t="s">
        <v>77</v>
      </c>
      <c r="Y127" s="39" t="s">
        <v>78</v>
      </c>
      <c r="Z127" s="39" t="s">
        <v>79</v>
      </c>
      <c r="AA127" s="39" t="s">
        <v>80</v>
      </c>
      <c r="AB127" s="39" t="s">
        <v>81</v>
      </c>
      <c r="AC127" s="39" t="s">
        <v>82</v>
      </c>
      <c r="AD127" s="40" t="s">
        <v>20</v>
      </c>
      <c r="AE127" s="40" t="s">
        <v>21</v>
      </c>
      <c r="AF127" s="40" t="s">
        <v>22</v>
      </c>
      <c r="AG127" s="40" t="s">
        <v>83</v>
      </c>
      <c r="AH127" s="40" t="s">
        <v>84</v>
      </c>
      <c r="AI127" s="40" t="s">
        <v>85</v>
      </c>
      <c r="AJ127" s="40" t="s">
        <v>23</v>
      </c>
      <c r="AK127" s="40" t="s">
        <v>24</v>
      </c>
      <c r="AL127" s="40" t="s">
        <v>25</v>
      </c>
      <c r="AM127" s="40" t="s">
        <v>26</v>
      </c>
      <c r="AN127" s="40" t="s">
        <v>27</v>
      </c>
      <c r="AO127" s="40" t="s">
        <v>28</v>
      </c>
      <c r="AP127" s="40" t="s">
        <v>29</v>
      </c>
      <c r="AQ127" s="40" t="s">
        <v>30</v>
      </c>
      <c r="AR127" s="40" t="s">
        <v>86</v>
      </c>
      <c r="AS127" s="40" t="s">
        <v>87</v>
      </c>
      <c r="AT127" s="40" t="s">
        <v>88</v>
      </c>
      <c r="AU127" s="40" t="s">
        <v>89</v>
      </c>
      <c r="AV127" s="40" t="s">
        <v>90</v>
      </c>
      <c r="AW127" s="40" t="s">
        <v>91</v>
      </c>
      <c r="AX127" s="40" t="s">
        <v>92</v>
      </c>
    </row>
    <row r="128" spans="1:50" ht="14.5" thickBot="1" x14ac:dyDescent="0.35">
      <c r="A128" s="2" t="s">
        <v>2</v>
      </c>
      <c r="B128" s="2" t="s">
        <v>10</v>
      </c>
      <c r="D128" s="41">
        <v>1999</v>
      </c>
      <c r="E128" s="41" t="s">
        <v>93</v>
      </c>
      <c r="F128" s="41" t="s">
        <v>94</v>
      </c>
      <c r="G128" s="41" t="s">
        <v>95</v>
      </c>
      <c r="H128" s="41" t="s">
        <v>2</v>
      </c>
      <c r="I128" s="20">
        <v>4</v>
      </c>
      <c r="J128" s="22">
        <v>1</v>
      </c>
      <c r="K128" s="22">
        <v>4</v>
      </c>
      <c r="L128" s="22">
        <v>4</v>
      </c>
      <c r="M128" s="22">
        <v>4</v>
      </c>
      <c r="N128" s="22">
        <v>1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1"/>
      <c r="AD128" s="20">
        <f>IF(I128="-","",IF(I128/4*AD$126=0, "",I128/4*AD$126))</f>
        <v>10</v>
      </c>
      <c r="AE128" s="22">
        <f t="shared" ref="AE128:AX135" si="8">IF(J128="-","",IF(J128/4*AE$126=0, "",J128/4*AE$126))</f>
        <v>2.5</v>
      </c>
      <c r="AF128" s="22">
        <f t="shared" si="8"/>
        <v>10</v>
      </c>
      <c r="AG128" s="22">
        <f t="shared" si="8"/>
        <v>2.5</v>
      </c>
      <c r="AH128" s="22">
        <f t="shared" si="8"/>
        <v>2.5</v>
      </c>
      <c r="AI128" s="22">
        <f t="shared" si="8"/>
        <v>2.5</v>
      </c>
      <c r="AJ128" s="22" t="str">
        <f t="shared" si="8"/>
        <v/>
      </c>
      <c r="AK128" s="22" t="str">
        <f t="shared" si="8"/>
        <v/>
      </c>
      <c r="AL128" s="22" t="str">
        <f t="shared" si="8"/>
        <v/>
      </c>
      <c r="AM128" s="22" t="str">
        <f t="shared" si="8"/>
        <v/>
      </c>
      <c r="AN128" s="22" t="str">
        <f t="shared" si="8"/>
        <v/>
      </c>
      <c r="AO128" s="22" t="str">
        <f t="shared" si="8"/>
        <v/>
      </c>
      <c r="AP128" s="22" t="str">
        <f t="shared" si="8"/>
        <v/>
      </c>
      <c r="AQ128" s="22" t="str">
        <f t="shared" si="8"/>
        <v/>
      </c>
      <c r="AR128" s="22" t="str">
        <f t="shared" si="8"/>
        <v/>
      </c>
      <c r="AS128" s="22" t="str">
        <f t="shared" si="8"/>
        <v/>
      </c>
      <c r="AT128" s="22" t="str">
        <f t="shared" si="8"/>
        <v/>
      </c>
      <c r="AU128" s="22" t="str">
        <f t="shared" si="8"/>
        <v/>
      </c>
      <c r="AV128" s="22" t="str">
        <f t="shared" si="8"/>
        <v/>
      </c>
      <c r="AW128" s="22" t="str">
        <f t="shared" si="8"/>
        <v/>
      </c>
      <c r="AX128" s="21" t="str">
        <f t="shared" si="8"/>
        <v/>
      </c>
    </row>
    <row r="129" spans="1:50" ht="14.5" thickBot="1" x14ac:dyDescent="0.35">
      <c r="A129" s="2" t="s">
        <v>2</v>
      </c>
      <c r="B129" s="2" t="s">
        <v>11</v>
      </c>
      <c r="D129" s="41">
        <v>1999</v>
      </c>
      <c r="E129" s="41" t="s">
        <v>93</v>
      </c>
      <c r="F129" s="41" t="s">
        <v>94</v>
      </c>
      <c r="G129" s="41" t="s">
        <v>95</v>
      </c>
      <c r="H129" s="41" t="s">
        <v>3</v>
      </c>
      <c r="I129" s="24"/>
      <c r="O129" s="1">
        <v>1</v>
      </c>
      <c r="P129" s="1">
        <v>2</v>
      </c>
      <c r="Q129" s="1">
        <v>4</v>
      </c>
      <c r="R129" s="1">
        <v>2</v>
      </c>
      <c r="S129" s="1">
        <v>4</v>
      </c>
      <c r="T129" s="1">
        <v>2</v>
      </c>
      <c r="AC129" s="25"/>
      <c r="AD129" s="24" t="str">
        <f t="shared" ref="AD129:AS155" si="9">IF(I129="-","",IF(I129/4*AD$126=0, "",I129/4*AD$126))</f>
        <v/>
      </c>
      <c r="AE129" s="1" t="str">
        <f t="shared" si="8"/>
        <v/>
      </c>
      <c r="AF129" s="1" t="str">
        <f t="shared" si="8"/>
        <v/>
      </c>
      <c r="AG129" s="1" t="str">
        <f t="shared" si="8"/>
        <v/>
      </c>
      <c r="AH129" s="1" t="str">
        <f t="shared" si="8"/>
        <v/>
      </c>
      <c r="AI129" s="1" t="str">
        <f t="shared" si="8"/>
        <v/>
      </c>
      <c r="AJ129" s="1">
        <f t="shared" si="8"/>
        <v>1</v>
      </c>
      <c r="AK129" s="1">
        <f t="shared" si="8"/>
        <v>2</v>
      </c>
      <c r="AL129" s="1">
        <f t="shared" si="8"/>
        <v>3</v>
      </c>
      <c r="AM129" s="1">
        <f t="shared" si="8"/>
        <v>1.5</v>
      </c>
      <c r="AN129" s="1">
        <f t="shared" si="8"/>
        <v>3</v>
      </c>
      <c r="AO129" s="1">
        <f t="shared" si="8"/>
        <v>1.5</v>
      </c>
      <c r="AP129" s="1" t="str">
        <f t="shared" si="8"/>
        <v/>
      </c>
      <c r="AQ129" s="1" t="str">
        <f t="shared" si="8"/>
        <v/>
      </c>
      <c r="AR129" s="1" t="str">
        <f t="shared" si="8"/>
        <v/>
      </c>
      <c r="AS129" s="1" t="str">
        <f t="shared" si="8"/>
        <v/>
      </c>
      <c r="AT129" s="1" t="str">
        <f t="shared" si="8"/>
        <v/>
      </c>
      <c r="AU129" s="1" t="str">
        <f t="shared" si="8"/>
        <v/>
      </c>
      <c r="AV129" s="1" t="str">
        <f t="shared" si="8"/>
        <v/>
      </c>
      <c r="AW129" s="1" t="str">
        <f t="shared" si="8"/>
        <v/>
      </c>
      <c r="AX129" s="25" t="str">
        <f t="shared" si="8"/>
        <v/>
      </c>
    </row>
    <row r="130" spans="1:50" ht="14.5" thickBot="1" x14ac:dyDescent="0.35">
      <c r="A130" s="2" t="s">
        <v>2</v>
      </c>
      <c r="B130" s="2" t="s">
        <v>73</v>
      </c>
      <c r="D130" s="41">
        <v>1999</v>
      </c>
      <c r="E130" s="41" t="s">
        <v>93</v>
      </c>
      <c r="F130" s="41" t="s">
        <v>94</v>
      </c>
      <c r="G130" s="41" t="s">
        <v>95</v>
      </c>
      <c r="H130" s="41" t="s">
        <v>68</v>
      </c>
      <c r="I130" s="24"/>
      <c r="U130" s="1">
        <v>4</v>
      </c>
      <c r="V130" s="1">
        <v>2</v>
      </c>
      <c r="W130" s="1">
        <v>4</v>
      </c>
      <c r="X130" s="1">
        <v>4</v>
      </c>
      <c r="Y130" s="1">
        <v>3</v>
      </c>
      <c r="AC130" s="25"/>
      <c r="AD130" s="24" t="str">
        <f t="shared" si="9"/>
        <v/>
      </c>
      <c r="AE130" s="1" t="str">
        <f t="shared" si="8"/>
        <v/>
      </c>
      <c r="AF130" s="1" t="str">
        <f t="shared" si="8"/>
        <v/>
      </c>
      <c r="AG130" s="1" t="str">
        <f t="shared" si="8"/>
        <v/>
      </c>
      <c r="AH130" s="1" t="str">
        <f t="shared" si="8"/>
        <v/>
      </c>
      <c r="AI130" s="1" t="str">
        <f t="shared" si="8"/>
        <v/>
      </c>
      <c r="AJ130" s="1" t="str">
        <f t="shared" si="8"/>
        <v/>
      </c>
      <c r="AK130" s="1" t="str">
        <f t="shared" si="8"/>
        <v/>
      </c>
      <c r="AL130" s="1" t="str">
        <f t="shared" si="8"/>
        <v/>
      </c>
      <c r="AM130" s="1" t="str">
        <f t="shared" si="8"/>
        <v/>
      </c>
      <c r="AN130" s="1" t="str">
        <f t="shared" si="8"/>
        <v/>
      </c>
      <c r="AO130" s="1" t="str">
        <f t="shared" si="8"/>
        <v/>
      </c>
      <c r="AP130" s="1">
        <f t="shared" si="8"/>
        <v>10</v>
      </c>
      <c r="AQ130" s="1">
        <f t="shared" si="8"/>
        <v>5</v>
      </c>
      <c r="AR130" s="1">
        <f t="shared" si="8"/>
        <v>1.25</v>
      </c>
      <c r="AS130" s="1">
        <f t="shared" si="8"/>
        <v>1.25</v>
      </c>
      <c r="AT130" s="1">
        <f t="shared" si="8"/>
        <v>3.75</v>
      </c>
      <c r="AU130" s="1" t="str">
        <f t="shared" si="8"/>
        <v/>
      </c>
      <c r="AV130" s="1" t="str">
        <f t="shared" si="8"/>
        <v/>
      </c>
      <c r="AW130" s="1" t="str">
        <f t="shared" si="8"/>
        <v/>
      </c>
      <c r="AX130" s="25" t="str">
        <f t="shared" si="8"/>
        <v/>
      </c>
    </row>
    <row r="131" spans="1:50" ht="14.5" thickBot="1" x14ac:dyDescent="0.35">
      <c r="A131" s="2" t="s">
        <v>2</v>
      </c>
      <c r="B131" s="2" t="s">
        <v>74</v>
      </c>
      <c r="D131" s="41">
        <v>1999</v>
      </c>
      <c r="E131" s="41" t="s">
        <v>93</v>
      </c>
      <c r="F131" s="41" t="s">
        <v>94</v>
      </c>
      <c r="G131" s="41" t="s">
        <v>95</v>
      </c>
      <c r="H131" s="41" t="s">
        <v>5</v>
      </c>
      <c r="Z131" s="1">
        <v>4</v>
      </c>
      <c r="AA131" s="1">
        <v>4</v>
      </c>
      <c r="AB131" s="1">
        <v>4</v>
      </c>
      <c r="AC131" s="1">
        <v>2</v>
      </c>
      <c r="AD131" s="24" t="str">
        <f t="shared" si="9"/>
        <v/>
      </c>
      <c r="AE131" s="1" t="str">
        <f t="shared" si="8"/>
        <v/>
      </c>
      <c r="AF131" s="1" t="str">
        <f t="shared" si="8"/>
        <v/>
      </c>
      <c r="AG131" s="1" t="str">
        <f t="shared" si="8"/>
        <v/>
      </c>
      <c r="AH131" s="1" t="str">
        <f t="shared" si="8"/>
        <v/>
      </c>
      <c r="AI131" s="1" t="str">
        <f t="shared" si="8"/>
        <v/>
      </c>
      <c r="AJ131" s="1" t="str">
        <f t="shared" si="8"/>
        <v/>
      </c>
      <c r="AK131" s="1" t="str">
        <f t="shared" si="8"/>
        <v/>
      </c>
      <c r="AL131" s="1" t="str">
        <f t="shared" si="8"/>
        <v/>
      </c>
      <c r="AM131" s="1" t="str">
        <f t="shared" si="8"/>
        <v/>
      </c>
      <c r="AN131" s="1" t="str">
        <f t="shared" si="8"/>
        <v/>
      </c>
      <c r="AO131" s="1" t="str">
        <f t="shared" si="8"/>
        <v/>
      </c>
      <c r="AP131" s="1" t="str">
        <f t="shared" si="8"/>
        <v/>
      </c>
      <c r="AQ131" s="1" t="str">
        <f t="shared" si="8"/>
        <v/>
      </c>
      <c r="AR131" s="1" t="str">
        <f t="shared" si="8"/>
        <v/>
      </c>
      <c r="AS131" s="1" t="str">
        <f t="shared" si="8"/>
        <v/>
      </c>
      <c r="AT131" s="1" t="str">
        <f t="shared" si="8"/>
        <v/>
      </c>
      <c r="AU131" s="1">
        <f t="shared" si="8"/>
        <v>1.25</v>
      </c>
      <c r="AV131" s="1">
        <f t="shared" si="8"/>
        <v>1.25</v>
      </c>
      <c r="AW131" s="1">
        <f t="shared" si="8"/>
        <v>2.5</v>
      </c>
      <c r="AX131" s="25">
        <f t="shared" si="8"/>
        <v>1.25</v>
      </c>
    </row>
    <row r="132" spans="1:50" ht="14.5" thickBot="1" x14ac:dyDescent="0.35">
      <c r="A132" s="2" t="s">
        <v>2</v>
      </c>
      <c r="B132" s="2" t="s">
        <v>75</v>
      </c>
      <c r="D132" s="37">
        <v>1999</v>
      </c>
      <c r="E132" s="37" t="s">
        <v>96</v>
      </c>
      <c r="F132" s="37" t="s">
        <v>94</v>
      </c>
      <c r="G132" s="37" t="s">
        <v>95</v>
      </c>
      <c r="H132" s="37" t="s">
        <v>2</v>
      </c>
      <c r="I132" s="1">
        <v>1</v>
      </c>
      <c r="J132" s="1">
        <v>2</v>
      </c>
      <c r="K132" s="1">
        <v>1</v>
      </c>
      <c r="L132" s="1">
        <v>3</v>
      </c>
      <c r="M132" s="1">
        <v>3</v>
      </c>
      <c r="N132" s="1">
        <v>3</v>
      </c>
      <c r="AD132" s="24">
        <f t="shared" si="9"/>
        <v>2.5</v>
      </c>
      <c r="AE132" s="1">
        <f t="shared" si="8"/>
        <v>5</v>
      </c>
      <c r="AF132" s="1">
        <f t="shared" si="8"/>
        <v>2.5</v>
      </c>
      <c r="AG132" s="1">
        <f t="shared" si="8"/>
        <v>1.875</v>
      </c>
      <c r="AH132" s="1">
        <f t="shared" si="8"/>
        <v>1.875</v>
      </c>
      <c r="AI132" s="1">
        <f t="shared" si="8"/>
        <v>7.5</v>
      </c>
      <c r="AJ132" s="1" t="str">
        <f t="shared" si="8"/>
        <v/>
      </c>
      <c r="AK132" s="1" t="str">
        <f t="shared" si="8"/>
        <v/>
      </c>
      <c r="AL132" s="1" t="str">
        <f t="shared" si="8"/>
        <v/>
      </c>
      <c r="AM132" s="1" t="str">
        <f t="shared" si="8"/>
        <v/>
      </c>
      <c r="AN132" s="1" t="str">
        <f t="shared" si="8"/>
        <v/>
      </c>
      <c r="AO132" s="1" t="str">
        <f t="shared" si="8"/>
        <v/>
      </c>
      <c r="AP132" s="1" t="str">
        <f t="shared" si="8"/>
        <v/>
      </c>
      <c r="AQ132" s="1" t="str">
        <f t="shared" si="8"/>
        <v/>
      </c>
      <c r="AR132" s="1" t="str">
        <f t="shared" si="8"/>
        <v/>
      </c>
      <c r="AS132" s="1" t="str">
        <f t="shared" si="8"/>
        <v/>
      </c>
      <c r="AT132" s="1" t="str">
        <f t="shared" si="8"/>
        <v/>
      </c>
      <c r="AU132" s="1" t="str">
        <f t="shared" si="8"/>
        <v/>
      </c>
      <c r="AV132" s="1" t="str">
        <f t="shared" si="8"/>
        <v/>
      </c>
      <c r="AW132" s="1" t="str">
        <f t="shared" si="8"/>
        <v/>
      </c>
      <c r="AX132" s="25" t="str">
        <f t="shared" si="8"/>
        <v/>
      </c>
    </row>
    <row r="133" spans="1:50" ht="14.5" thickBot="1" x14ac:dyDescent="0.35">
      <c r="A133" s="3" t="s">
        <v>3</v>
      </c>
      <c r="B133" s="3" t="s">
        <v>12</v>
      </c>
      <c r="D133" s="37">
        <v>1999</v>
      </c>
      <c r="E133" s="37" t="s">
        <v>96</v>
      </c>
      <c r="F133" s="37" t="s">
        <v>94</v>
      </c>
      <c r="G133" s="37" t="s">
        <v>95</v>
      </c>
      <c r="H133" s="37" t="s">
        <v>3</v>
      </c>
      <c r="O133" s="1">
        <v>1</v>
      </c>
      <c r="P133" s="1">
        <v>1</v>
      </c>
      <c r="Q133" s="1">
        <v>1</v>
      </c>
      <c r="R133" s="1">
        <v>2</v>
      </c>
      <c r="S133" s="1">
        <v>2</v>
      </c>
      <c r="T133" s="1">
        <v>3</v>
      </c>
      <c r="AD133" s="24" t="str">
        <f t="shared" si="9"/>
        <v/>
      </c>
      <c r="AE133" s="1" t="str">
        <f t="shared" si="8"/>
        <v/>
      </c>
      <c r="AF133" s="1" t="str">
        <f t="shared" si="8"/>
        <v/>
      </c>
      <c r="AG133" s="1" t="str">
        <f t="shared" si="8"/>
        <v/>
      </c>
      <c r="AH133" s="1" t="str">
        <f t="shared" si="8"/>
        <v/>
      </c>
      <c r="AI133" s="1" t="str">
        <f t="shared" si="8"/>
        <v/>
      </c>
      <c r="AJ133" s="1">
        <f t="shared" si="8"/>
        <v>1</v>
      </c>
      <c r="AK133" s="1">
        <f t="shared" si="8"/>
        <v>1</v>
      </c>
      <c r="AL133" s="1">
        <f t="shared" si="8"/>
        <v>0.75</v>
      </c>
      <c r="AM133" s="1">
        <f t="shared" si="8"/>
        <v>1.5</v>
      </c>
      <c r="AN133" s="1">
        <f t="shared" si="8"/>
        <v>1.5</v>
      </c>
      <c r="AO133" s="1">
        <f t="shared" si="8"/>
        <v>2.25</v>
      </c>
      <c r="AP133" s="1" t="str">
        <f t="shared" si="8"/>
        <v/>
      </c>
      <c r="AQ133" s="1" t="str">
        <f t="shared" si="8"/>
        <v/>
      </c>
      <c r="AR133" s="1" t="str">
        <f t="shared" si="8"/>
        <v/>
      </c>
      <c r="AS133" s="1" t="str">
        <f t="shared" si="8"/>
        <v/>
      </c>
      <c r="AT133" s="1" t="str">
        <f t="shared" si="8"/>
        <v/>
      </c>
      <c r="AU133" s="1" t="str">
        <f t="shared" si="8"/>
        <v/>
      </c>
      <c r="AV133" s="1" t="str">
        <f t="shared" si="8"/>
        <v/>
      </c>
      <c r="AW133" s="1" t="str">
        <f t="shared" si="8"/>
        <v/>
      </c>
      <c r="AX133" s="25" t="str">
        <f t="shared" si="8"/>
        <v/>
      </c>
    </row>
    <row r="134" spans="1:50" ht="14.5" thickBot="1" x14ac:dyDescent="0.35">
      <c r="A134" s="3" t="s">
        <v>3</v>
      </c>
      <c r="B134" s="3" t="s">
        <v>13</v>
      </c>
      <c r="D134" s="37">
        <v>1999</v>
      </c>
      <c r="E134" s="37" t="s">
        <v>96</v>
      </c>
      <c r="F134" s="37" t="s">
        <v>94</v>
      </c>
      <c r="G134" s="37" t="s">
        <v>95</v>
      </c>
      <c r="H134" s="37" t="s">
        <v>68</v>
      </c>
      <c r="U134" s="1">
        <v>2</v>
      </c>
      <c r="V134" s="1">
        <v>3</v>
      </c>
      <c r="W134" s="1">
        <v>1</v>
      </c>
      <c r="X134" s="1">
        <v>1</v>
      </c>
      <c r="Y134" s="1">
        <v>4</v>
      </c>
      <c r="AD134" s="24" t="str">
        <f t="shared" si="9"/>
        <v/>
      </c>
      <c r="AE134" s="1" t="str">
        <f t="shared" si="8"/>
        <v/>
      </c>
      <c r="AF134" s="1" t="str">
        <f t="shared" si="8"/>
        <v/>
      </c>
      <c r="AG134" s="1" t="str">
        <f t="shared" si="8"/>
        <v/>
      </c>
      <c r="AH134" s="1" t="str">
        <f t="shared" si="8"/>
        <v/>
      </c>
      <c r="AI134" s="1" t="str">
        <f t="shared" si="8"/>
        <v/>
      </c>
      <c r="AJ134" s="1" t="str">
        <f t="shared" si="8"/>
        <v/>
      </c>
      <c r="AK134" s="1" t="str">
        <f t="shared" si="8"/>
        <v/>
      </c>
      <c r="AL134" s="1" t="str">
        <f t="shared" si="8"/>
        <v/>
      </c>
      <c r="AM134" s="1" t="str">
        <f t="shared" si="8"/>
        <v/>
      </c>
      <c r="AN134" s="1" t="str">
        <f t="shared" si="8"/>
        <v/>
      </c>
      <c r="AO134" s="1" t="str">
        <f t="shared" si="8"/>
        <v/>
      </c>
      <c r="AP134" s="1">
        <f t="shared" si="8"/>
        <v>5</v>
      </c>
      <c r="AQ134" s="1">
        <f t="shared" si="8"/>
        <v>7.5</v>
      </c>
      <c r="AR134" s="1">
        <f t="shared" si="8"/>
        <v>0.3125</v>
      </c>
      <c r="AS134" s="1">
        <f t="shared" si="8"/>
        <v>0.3125</v>
      </c>
      <c r="AT134" s="1">
        <f t="shared" si="8"/>
        <v>5</v>
      </c>
      <c r="AU134" s="1" t="str">
        <f t="shared" si="8"/>
        <v/>
      </c>
      <c r="AV134" s="1" t="str">
        <f t="shared" si="8"/>
        <v/>
      </c>
      <c r="AW134" s="1" t="str">
        <f t="shared" si="8"/>
        <v/>
      </c>
      <c r="AX134" s="25" t="str">
        <f t="shared" si="8"/>
        <v/>
      </c>
    </row>
    <row r="135" spans="1:50" ht="14.5" thickBot="1" x14ac:dyDescent="0.35">
      <c r="A135" s="3" t="s">
        <v>3</v>
      </c>
      <c r="B135" s="3" t="s">
        <v>14</v>
      </c>
      <c r="D135" s="37">
        <v>1999</v>
      </c>
      <c r="E135" s="37" t="s">
        <v>96</v>
      </c>
      <c r="F135" s="37" t="s">
        <v>94</v>
      </c>
      <c r="G135" s="37" t="s">
        <v>95</v>
      </c>
      <c r="H135" s="37" t="s">
        <v>5</v>
      </c>
      <c r="Z135" s="1">
        <v>2</v>
      </c>
      <c r="AA135" s="1">
        <v>4</v>
      </c>
      <c r="AB135" s="1">
        <v>1</v>
      </c>
      <c r="AC135" s="1">
        <v>2</v>
      </c>
      <c r="AD135" s="24" t="str">
        <f t="shared" si="9"/>
        <v/>
      </c>
      <c r="AE135" s="1" t="str">
        <f t="shared" si="8"/>
        <v/>
      </c>
      <c r="AF135" s="1" t="str">
        <f t="shared" si="8"/>
        <v/>
      </c>
      <c r="AG135" s="1" t="str">
        <f t="shared" si="8"/>
        <v/>
      </c>
      <c r="AH135" s="1" t="str">
        <f t="shared" si="8"/>
        <v/>
      </c>
      <c r="AI135" s="1" t="str">
        <f t="shared" si="8"/>
        <v/>
      </c>
      <c r="AJ135" s="1" t="str">
        <f t="shared" si="8"/>
        <v/>
      </c>
      <c r="AK135" s="1" t="str">
        <f t="shared" si="8"/>
        <v/>
      </c>
      <c r="AL135" s="1" t="str">
        <f t="shared" si="8"/>
        <v/>
      </c>
      <c r="AM135" s="1" t="str">
        <f t="shared" si="8"/>
        <v/>
      </c>
      <c r="AN135" s="1" t="str">
        <f t="shared" si="8"/>
        <v/>
      </c>
      <c r="AO135" s="1" t="str">
        <f t="shared" si="8"/>
        <v/>
      </c>
      <c r="AP135" s="1" t="str">
        <f t="shared" si="8"/>
        <v/>
      </c>
      <c r="AQ135" s="1" t="str">
        <f t="shared" si="8"/>
        <v/>
      </c>
      <c r="AR135" s="1" t="str">
        <f t="shared" si="8"/>
        <v/>
      </c>
      <c r="AS135" s="1" t="str">
        <f t="shared" si="8"/>
        <v/>
      </c>
      <c r="AT135" s="1" t="str">
        <f t="shared" si="8"/>
        <v/>
      </c>
      <c r="AU135" s="1">
        <f t="shared" si="8"/>
        <v>0.625</v>
      </c>
      <c r="AV135" s="1">
        <f t="shared" si="8"/>
        <v>1.25</v>
      </c>
      <c r="AW135" s="1">
        <f t="shared" si="8"/>
        <v>0.625</v>
      </c>
      <c r="AX135" s="25">
        <f t="shared" si="8"/>
        <v>1.25</v>
      </c>
    </row>
    <row r="136" spans="1:50" ht="14.5" thickBot="1" x14ac:dyDescent="0.35">
      <c r="A136" s="3" t="s">
        <v>3</v>
      </c>
      <c r="B136" s="3" t="s">
        <v>15</v>
      </c>
      <c r="D136" s="37">
        <v>1999</v>
      </c>
      <c r="E136" s="37" t="s">
        <v>96</v>
      </c>
      <c r="F136" s="37" t="s">
        <v>94</v>
      </c>
      <c r="G136" s="37" t="s">
        <v>95</v>
      </c>
      <c r="H136" s="37" t="s">
        <v>2</v>
      </c>
      <c r="I136" s="1">
        <v>4</v>
      </c>
      <c r="J136" s="1">
        <v>2</v>
      </c>
      <c r="K136" s="1">
        <v>4</v>
      </c>
      <c r="L136" s="1">
        <v>4</v>
      </c>
      <c r="M136" s="1">
        <v>2</v>
      </c>
      <c r="N136" s="1">
        <v>1</v>
      </c>
      <c r="AD136" s="24">
        <f t="shared" ref="AD136:AD147" si="10">IF(I136="-","",IF(I136/4*AD$126=0, "",I136/4*AD$126))</f>
        <v>10</v>
      </c>
      <c r="AE136" s="1">
        <f t="shared" ref="AE136:AE147" si="11">IF(J136="-","",IF(J136/4*AE$126=0, "",J136/4*AE$126))</f>
        <v>5</v>
      </c>
      <c r="AF136" s="1">
        <f t="shared" ref="AF136:AF147" si="12">IF(K136="-","",IF(K136/4*AF$126=0, "",K136/4*AF$126))</f>
        <v>10</v>
      </c>
      <c r="AG136" s="1">
        <f t="shared" ref="AG136:AG147" si="13">IF(L136="-","",IF(L136/4*AG$126=0, "",L136/4*AG$126))</f>
        <v>2.5</v>
      </c>
      <c r="AH136" s="1">
        <f t="shared" ref="AH136:AH147" si="14">IF(M136="-","",IF(M136/4*AH$126=0, "",M136/4*AH$126))</f>
        <v>1.25</v>
      </c>
      <c r="AI136" s="1">
        <f t="shared" ref="AI136:AI147" si="15">IF(N136="-","",IF(N136/4*AI$126=0, "",N136/4*AI$126))</f>
        <v>2.5</v>
      </c>
      <c r="AJ136" s="1" t="str">
        <f t="shared" ref="AJ136:AJ147" si="16">IF(O136="-","",IF(O136/4*AJ$126=0, "",O136/4*AJ$126))</f>
        <v/>
      </c>
      <c r="AK136" s="1" t="str">
        <f t="shared" ref="AK136:AK147" si="17">IF(P136="-","",IF(P136/4*AK$126=0, "",P136/4*AK$126))</f>
        <v/>
      </c>
      <c r="AL136" s="1" t="str">
        <f t="shared" ref="AL136:AL147" si="18">IF(Q136="-","",IF(Q136/4*AL$126=0, "",Q136/4*AL$126))</f>
        <v/>
      </c>
      <c r="AM136" s="1" t="str">
        <f t="shared" ref="AM136:AM147" si="19">IF(R136="-","",IF(R136/4*AM$126=0, "",R136/4*AM$126))</f>
        <v/>
      </c>
      <c r="AN136" s="1" t="str">
        <f t="shared" ref="AN136:AN147" si="20">IF(S136="-","",IF(S136/4*AN$126=0, "",S136/4*AN$126))</f>
        <v/>
      </c>
      <c r="AO136" s="1" t="str">
        <f t="shared" ref="AO136:AO147" si="21">IF(T136="-","",IF(T136/4*AO$126=0, "",T136/4*AO$126))</f>
        <v/>
      </c>
      <c r="AP136" s="1" t="str">
        <f t="shared" ref="AP136:AP147" si="22">IF(U136="-","",IF(U136/4*AP$126=0, "",U136/4*AP$126))</f>
        <v/>
      </c>
      <c r="AQ136" s="1" t="str">
        <f t="shared" ref="AQ136:AQ147" si="23">IF(V136="-","",IF(V136/4*AQ$126=0, "",V136/4*AQ$126))</f>
        <v/>
      </c>
      <c r="AR136" s="1" t="str">
        <f t="shared" ref="AR136:AR147" si="24">IF(W136="-","",IF(W136/4*AR$126=0, "",W136/4*AR$126))</f>
        <v/>
      </c>
      <c r="AS136" s="1" t="str">
        <f t="shared" ref="AS136:AS147" si="25">IF(X136="-","",IF(X136/4*AS$126=0, "",X136/4*AS$126))</f>
        <v/>
      </c>
      <c r="AT136" s="1" t="str">
        <f t="shared" ref="AT136:AT147" si="26">IF(Y136="-","",IF(Y136/4*AT$126=0, "",Y136/4*AT$126))</f>
        <v/>
      </c>
      <c r="AU136" s="1" t="str">
        <f t="shared" ref="AU136:AU147" si="27">IF(Z136="-","",IF(Z136/4*AU$126=0, "",Z136/4*AU$126))</f>
        <v/>
      </c>
      <c r="AV136" s="1" t="str">
        <f t="shared" ref="AV136:AV147" si="28">IF(AA136="-","",IF(AA136/4*AV$126=0, "",AA136/4*AV$126))</f>
        <v/>
      </c>
      <c r="AW136" s="1" t="str">
        <f t="shared" ref="AW136:AW147" si="29">IF(AB136="-","",IF(AB136/4*AW$126=0, "",AB136/4*AW$126))</f>
        <v/>
      </c>
      <c r="AX136" s="25" t="str">
        <f t="shared" ref="AX136:AX147" si="30">IF(AC136="-","",IF(AC136/4*AX$126=0, "",AC136/4*AX$126))</f>
        <v/>
      </c>
    </row>
    <row r="137" spans="1:50" ht="14.5" thickBot="1" x14ac:dyDescent="0.35">
      <c r="A137" s="3" t="s">
        <v>3</v>
      </c>
      <c r="B137" s="3" t="s">
        <v>16</v>
      </c>
      <c r="D137" s="37">
        <v>1999</v>
      </c>
      <c r="E137" s="37" t="s">
        <v>96</v>
      </c>
      <c r="F137" s="37" t="s">
        <v>94</v>
      </c>
      <c r="G137" s="37" t="s">
        <v>95</v>
      </c>
      <c r="H137" s="37" t="s">
        <v>3</v>
      </c>
      <c r="O137" s="1">
        <v>4</v>
      </c>
      <c r="P137" s="1">
        <v>2</v>
      </c>
      <c r="Q137" s="1">
        <v>4</v>
      </c>
      <c r="R137" s="1">
        <v>3</v>
      </c>
      <c r="S137" s="1">
        <v>4</v>
      </c>
      <c r="T137" s="1">
        <v>4</v>
      </c>
      <c r="AD137" s="24" t="str">
        <f t="shared" si="10"/>
        <v/>
      </c>
      <c r="AE137" s="1" t="str">
        <f t="shared" si="11"/>
        <v/>
      </c>
      <c r="AF137" s="1" t="str">
        <f t="shared" si="12"/>
        <v/>
      </c>
      <c r="AG137" s="1" t="str">
        <f t="shared" si="13"/>
        <v/>
      </c>
      <c r="AH137" s="1" t="str">
        <f t="shared" si="14"/>
        <v/>
      </c>
      <c r="AI137" s="1" t="str">
        <f t="shared" si="15"/>
        <v/>
      </c>
      <c r="AJ137" s="1">
        <f t="shared" si="16"/>
        <v>4</v>
      </c>
      <c r="AK137" s="1">
        <f t="shared" si="17"/>
        <v>2</v>
      </c>
      <c r="AL137" s="1">
        <f t="shared" si="18"/>
        <v>3</v>
      </c>
      <c r="AM137" s="1">
        <f t="shared" si="19"/>
        <v>2.25</v>
      </c>
      <c r="AN137" s="1">
        <f t="shared" si="20"/>
        <v>3</v>
      </c>
      <c r="AO137" s="1">
        <f t="shared" si="21"/>
        <v>3</v>
      </c>
      <c r="AP137" s="1" t="str">
        <f t="shared" si="22"/>
        <v/>
      </c>
      <c r="AQ137" s="1" t="str">
        <f t="shared" si="23"/>
        <v/>
      </c>
      <c r="AR137" s="1" t="str">
        <f t="shared" si="24"/>
        <v/>
      </c>
      <c r="AS137" s="1" t="str">
        <f t="shared" si="25"/>
        <v/>
      </c>
      <c r="AT137" s="1" t="str">
        <f t="shared" si="26"/>
        <v/>
      </c>
      <c r="AU137" s="1" t="str">
        <f t="shared" si="27"/>
        <v/>
      </c>
      <c r="AV137" s="1" t="str">
        <f t="shared" si="28"/>
        <v/>
      </c>
      <c r="AW137" s="1" t="str">
        <f t="shared" si="29"/>
        <v/>
      </c>
      <c r="AX137" s="25" t="str">
        <f t="shared" si="30"/>
        <v/>
      </c>
    </row>
    <row r="138" spans="1:50" ht="14.5" thickBot="1" x14ac:dyDescent="0.35">
      <c r="A138" s="3" t="s">
        <v>3</v>
      </c>
      <c r="B138" s="3" t="s">
        <v>17</v>
      </c>
      <c r="D138" s="37">
        <v>1999</v>
      </c>
      <c r="E138" s="37" t="s">
        <v>96</v>
      </c>
      <c r="F138" s="37" t="s">
        <v>94</v>
      </c>
      <c r="G138" s="37" t="s">
        <v>95</v>
      </c>
      <c r="H138" s="37" t="s">
        <v>68</v>
      </c>
      <c r="U138" s="1">
        <v>1</v>
      </c>
      <c r="V138" s="1">
        <v>4</v>
      </c>
      <c r="W138" s="1">
        <v>4</v>
      </c>
      <c r="X138" s="1">
        <v>2</v>
      </c>
      <c r="Y138" s="1">
        <v>4</v>
      </c>
      <c r="AD138" s="24" t="str">
        <f t="shared" si="10"/>
        <v/>
      </c>
      <c r="AE138" s="1" t="str">
        <f t="shared" si="11"/>
        <v/>
      </c>
      <c r="AF138" s="1" t="str">
        <f t="shared" si="12"/>
        <v/>
      </c>
      <c r="AG138" s="1" t="str">
        <f t="shared" si="13"/>
        <v/>
      </c>
      <c r="AH138" s="1" t="str">
        <f t="shared" si="14"/>
        <v/>
      </c>
      <c r="AI138" s="1" t="str">
        <f t="shared" si="15"/>
        <v/>
      </c>
      <c r="AJ138" s="1" t="str">
        <f t="shared" si="16"/>
        <v/>
      </c>
      <c r="AK138" s="1" t="str">
        <f t="shared" si="17"/>
        <v/>
      </c>
      <c r="AL138" s="1" t="str">
        <f t="shared" si="18"/>
        <v/>
      </c>
      <c r="AM138" s="1" t="str">
        <f t="shared" si="19"/>
        <v/>
      </c>
      <c r="AN138" s="1" t="str">
        <f t="shared" si="20"/>
        <v/>
      </c>
      <c r="AO138" s="1" t="str">
        <f t="shared" si="21"/>
        <v/>
      </c>
      <c r="AP138" s="1">
        <f t="shared" si="22"/>
        <v>2.5</v>
      </c>
      <c r="AQ138" s="1">
        <f t="shared" si="23"/>
        <v>10</v>
      </c>
      <c r="AR138" s="1">
        <f t="shared" si="24"/>
        <v>1.25</v>
      </c>
      <c r="AS138" s="1">
        <f t="shared" si="25"/>
        <v>0.625</v>
      </c>
      <c r="AT138" s="1">
        <f t="shared" si="26"/>
        <v>5</v>
      </c>
      <c r="AU138" s="1" t="str">
        <f t="shared" si="27"/>
        <v/>
      </c>
      <c r="AV138" s="1" t="str">
        <f t="shared" si="28"/>
        <v/>
      </c>
      <c r="AW138" s="1" t="str">
        <f t="shared" si="29"/>
        <v/>
      </c>
      <c r="AX138" s="25" t="str">
        <f t="shared" si="30"/>
        <v/>
      </c>
    </row>
    <row r="139" spans="1:50" ht="14.5" thickBot="1" x14ac:dyDescent="0.35">
      <c r="A139" s="4" t="s">
        <v>68</v>
      </c>
      <c r="B139" s="4" t="s">
        <v>18</v>
      </c>
      <c r="D139" s="37">
        <v>1999</v>
      </c>
      <c r="E139" s="37" t="s">
        <v>96</v>
      </c>
      <c r="F139" s="37" t="s">
        <v>94</v>
      </c>
      <c r="G139" s="37" t="s">
        <v>95</v>
      </c>
      <c r="H139" s="37" t="s">
        <v>5</v>
      </c>
      <c r="Z139" s="1">
        <v>3</v>
      </c>
      <c r="AA139" s="1">
        <v>4</v>
      </c>
      <c r="AB139" s="1">
        <v>4</v>
      </c>
      <c r="AC139" s="1">
        <v>4</v>
      </c>
      <c r="AD139" s="24" t="str">
        <f t="shared" si="10"/>
        <v/>
      </c>
      <c r="AE139" s="1" t="str">
        <f t="shared" si="11"/>
        <v/>
      </c>
      <c r="AF139" s="1" t="str">
        <f t="shared" si="12"/>
        <v/>
      </c>
      <c r="AG139" s="1" t="str">
        <f t="shared" si="13"/>
        <v/>
      </c>
      <c r="AH139" s="1" t="str">
        <f t="shared" si="14"/>
        <v/>
      </c>
      <c r="AI139" s="1" t="str">
        <f t="shared" si="15"/>
        <v/>
      </c>
      <c r="AJ139" s="1" t="str">
        <f t="shared" si="16"/>
        <v/>
      </c>
      <c r="AK139" s="1" t="str">
        <f t="shared" si="17"/>
        <v/>
      </c>
      <c r="AL139" s="1" t="str">
        <f t="shared" si="18"/>
        <v/>
      </c>
      <c r="AM139" s="1" t="str">
        <f t="shared" si="19"/>
        <v/>
      </c>
      <c r="AN139" s="1" t="str">
        <f t="shared" si="20"/>
        <v/>
      </c>
      <c r="AO139" s="1" t="str">
        <f t="shared" si="21"/>
        <v/>
      </c>
      <c r="AP139" s="1" t="str">
        <f t="shared" si="22"/>
        <v/>
      </c>
      <c r="AQ139" s="1" t="str">
        <f t="shared" si="23"/>
        <v/>
      </c>
      <c r="AR139" s="1" t="str">
        <f t="shared" si="24"/>
        <v/>
      </c>
      <c r="AS139" s="1" t="str">
        <f t="shared" si="25"/>
        <v/>
      </c>
      <c r="AT139" s="1" t="str">
        <f t="shared" si="26"/>
        <v/>
      </c>
      <c r="AU139" s="1">
        <f t="shared" si="27"/>
        <v>0.9375</v>
      </c>
      <c r="AV139" s="1">
        <f t="shared" si="28"/>
        <v>1.25</v>
      </c>
      <c r="AW139" s="1">
        <f t="shared" si="29"/>
        <v>2.5</v>
      </c>
      <c r="AX139" s="25">
        <f t="shared" si="30"/>
        <v>2.5</v>
      </c>
    </row>
    <row r="140" spans="1:50" ht="14.5" thickBot="1" x14ac:dyDescent="0.35">
      <c r="A140" s="4" t="s">
        <v>68</v>
      </c>
      <c r="B140" s="4" t="s">
        <v>19</v>
      </c>
      <c r="D140" s="41">
        <v>1999</v>
      </c>
      <c r="E140" s="41" t="s">
        <v>97</v>
      </c>
      <c r="F140" s="41" t="s">
        <v>94</v>
      </c>
      <c r="G140" s="41" t="s">
        <v>95</v>
      </c>
      <c r="H140" s="41" t="s">
        <v>2</v>
      </c>
      <c r="I140" s="1">
        <v>3</v>
      </c>
      <c r="J140" s="1">
        <v>4</v>
      </c>
      <c r="K140" s="1">
        <v>1</v>
      </c>
      <c r="L140" s="1">
        <v>4</v>
      </c>
      <c r="M140" s="1">
        <v>2</v>
      </c>
      <c r="N140" s="1">
        <v>3</v>
      </c>
      <c r="AD140" s="24">
        <f t="shared" si="10"/>
        <v>7.5</v>
      </c>
      <c r="AE140" s="1">
        <f t="shared" si="11"/>
        <v>10</v>
      </c>
      <c r="AF140" s="1">
        <f t="shared" si="12"/>
        <v>2.5</v>
      </c>
      <c r="AG140" s="1">
        <f t="shared" si="13"/>
        <v>2.5</v>
      </c>
      <c r="AH140" s="1">
        <f t="shared" si="14"/>
        <v>1.25</v>
      </c>
      <c r="AI140" s="1">
        <f t="shared" si="15"/>
        <v>7.5</v>
      </c>
      <c r="AJ140" s="1" t="str">
        <f t="shared" si="16"/>
        <v/>
      </c>
      <c r="AK140" s="1" t="str">
        <f t="shared" si="17"/>
        <v/>
      </c>
      <c r="AL140" s="1" t="str">
        <f t="shared" si="18"/>
        <v/>
      </c>
      <c r="AM140" s="1" t="str">
        <f t="shared" si="19"/>
        <v/>
      </c>
      <c r="AN140" s="1" t="str">
        <f t="shared" si="20"/>
        <v/>
      </c>
      <c r="AO140" s="1" t="str">
        <f t="shared" si="21"/>
        <v/>
      </c>
      <c r="AP140" s="1" t="str">
        <f t="shared" si="22"/>
        <v/>
      </c>
      <c r="AQ140" s="1" t="str">
        <f t="shared" si="23"/>
        <v/>
      </c>
      <c r="AR140" s="1" t="str">
        <f t="shared" si="24"/>
        <v/>
      </c>
      <c r="AS140" s="1" t="str">
        <f t="shared" si="25"/>
        <v/>
      </c>
      <c r="AT140" s="1" t="str">
        <f t="shared" si="26"/>
        <v/>
      </c>
      <c r="AU140" s="1" t="str">
        <f t="shared" si="27"/>
        <v/>
      </c>
      <c r="AV140" s="1" t="str">
        <f t="shared" si="28"/>
        <v/>
      </c>
      <c r="AW140" s="1" t="str">
        <f t="shared" si="29"/>
        <v/>
      </c>
      <c r="AX140" s="25" t="str">
        <f t="shared" si="30"/>
        <v/>
      </c>
    </row>
    <row r="141" spans="1:50" ht="14.5" thickBot="1" x14ac:dyDescent="0.35">
      <c r="A141" s="4" t="s">
        <v>68</v>
      </c>
      <c r="B141" s="4" t="s">
        <v>76</v>
      </c>
      <c r="D141" s="41">
        <v>1999</v>
      </c>
      <c r="E141" s="41" t="s">
        <v>97</v>
      </c>
      <c r="F141" s="41" t="s">
        <v>94</v>
      </c>
      <c r="G141" s="41" t="s">
        <v>95</v>
      </c>
      <c r="H141" s="41" t="s">
        <v>3</v>
      </c>
      <c r="O141" s="1">
        <v>3</v>
      </c>
      <c r="P141" s="1">
        <v>2</v>
      </c>
      <c r="Q141" s="1">
        <v>4</v>
      </c>
      <c r="R141" s="1">
        <v>4</v>
      </c>
      <c r="S141" s="1">
        <v>4</v>
      </c>
      <c r="T141" s="1">
        <v>4</v>
      </c>
      <c r="AD141" s="24" t="str">
        <f t="shared" si="10"/>
        <v/>
      </c>
      <c r="AE141" s="1" t="str">
        <f t="shared" si="11"/>
        <v/>
      </c>
      <c r="AF141" s="1" t="str">
        <f t="shared" si="12"/>
        <v/>
      </c>
      <c r="AG141" s="1" t="str">
        <f t="shared" si="13"/>
        <v/>
      </c>
      <c r="AH141" s="1" t="str">
        <f t="shared" si="14"/>
        <v/>
      </c>
      <c r="AI141" s="1" t="str">
        <f t="shared" si="15"/>
        <v/>
      </c>
      <c r="AJ141" s="1">
        <f t="shared" si="16"/>
        <v>3</v>
      </c>
      <c r="AK141" s="1">
        <f t="shared" si="17"/>
        <v>2</v>
      </c>
      <c r="AL141" s="1">
        <f t="shared" si="18"/>
        <v>3</v>
      </c>
      <c r="AM141" s="1">
        <f t="shared" si="19"/>
        <v>3</v>
      </c>
      <c r="AN141" s="1">
        <f t="shared" si="20"/>
        <v>3</v>
      </c>
      <c r="AO141" s="1">
        <f t="shared" si="21"/>
        <v>3</v>
      </c>
      <c r="AP141" s="1" t="str">
        <f t="shared" si="22"/>
        <v/>
      </c>
      <c r="AQ141" s="1" t="str">
        <f t="shared" si="23"/>
        <v/>
      </c>
      <c r="AR141" s="1" t="str">
        <f t="shared" si="24"/>
        <v/>
      </c>
      <c r="AS141" s="1" t="str">
        <f t="shared" si="25"/>
        <v/>
      </c>
      <c r="AT141" s="1" t="str">
        <f t="shared" si="26"/>
        <v/>
      </c>
      <c r="AU141" s="1" t="str">
        <f t="shared" si="27"/>
        <v/>
      </c>
      <c r="AV141" s="1" t="str">
        <f t="shared" si="28"/>
        <v/>
      </c>
      <c r="AW141" s="1" t="str">
        <f t="shared" si="29"/>
        <v/>
      </c>
      <c r="AX141" s="25" t="str">
        <f t="shared" si="30"/>
        <v/>
      </c>
    </row>
    <row r="142" spans="1:50" ht="14.5" thickBot="1" x14ac:dyDescent="0.35">
      <c r="A142" s="4" t="s">
        <v>68</v>
      </c>
      <c r="B142" s="4" t="s">
        <v>77</v>
      </c>
      <c r="D142" s="41">
        <v>1999</v>
      </c>
      <c r="E142" s="41" t="s">
        <v>97</v>
      </c>
      <c r="F142" s="41" t="s">
        <v>94</v>
      </c>
      <c r="G142" s="41" t="s">
        <v>95</v>
      </c>
      <c r="H142" s="41" t="s">
        <v>68</v>
      </c>
      <c r="U142" s="1">
        <v>4</v>
      </c>
      <c r="V142" s="1">
        <v>4</v>
      </c>
      <c r="W142" s="1">
        <v>2</v>
      </c>
      <c r="X142" s="1">
        <v>3</v>
      </c>
      <c r="Y142" s="1">
        <v>1</v>
      </c>
      <c r="AD142" s="24" t="str">
        <f t="shared" si="10"/>
        <v/>
      </c>
      <c r="AE142" s="1" t="str">
        <f t="shared" si="11"/>
        <v/>
      </c>
      <c r="AF142" s="1" t="str">
        <f t="shared" si="12"/>
        <v/>
      </c>
      <c r="AG142" s="1" t="str">
        <f t="shared" si="13"/>
        <v/>
      </c>
      <c r="AH142" s="1" t="str">
        <f t="shared" si="14"/>
        <v/>
      </c>
      <c r="AI142" s="1" t="str">
        <f t="shared" si="15"/>
        <v/>
      </c>
      <c r="AJ142" s="1" t="str">
        <f t="shared" si="16"/>
        <v/>
      </c>
      <c r="AK142" s="1" t="str">
        <f t="shared" si="17"/>
        <v/>
      </c>
      <c r="AL142" s="1" t="str">
        <f t="shared" si="18"/>
        <v/>
      </c>
      <c r="AM142" s="1" t="str">
        <f t="shared" si="19"/>
        <v/>
      </c>
      <c r="AN142" s="1" t="str">
        <f t="shared" si="20"/>
        <v/>
      </c>
      <c r="AO142" s="1" t="str">
        <f t="shared" si="21"/>
        <v/>
      </c>
      <c r="AP142" s="1">
        <f t="shared" si="22"/>
        <v>10</v>
      </c>
      <c r="AQ142" s="1">
        <f t="shared" si="23"/>
        <v>10</v>
      </c>
      <c r="AR142" s="1">
        <f t="shared" si="24"/>
        <v>0.625</v>
      </c>
      <c r="AS142" s="1">
        <f t="shared" si="25"/>
        <v>0.9375</v>
      </c>
      <c r="AT142" s="1">
        <f t="shared" si="26"/>
        <v>1.25</v>
      </c>
      <c r="AU142" s="1" t="str">
        <f t="shared" si="27"/>
        <v/>
      </c>
      <c r="AV142" s="1" t="str">
        <f t="shared" si="28"/>
        <v/>
      </c>
      <c r="AW142" s="1" t="str">
        <f t="shared" si="29"/>
        <v/>
      </c>
      <c r="AX142" s="25" t="str">
        <f t="shared" si="30"/>
        <v/>
      </c>
    </row>
    <row r="143" spans="1:50" ht="14.5" thickBot="1" x14ac:dyDescent="0.35">
      <c r="A143" s="36" t="s">
        <v>68</v>
      </c>
      <c r="B143" s="4" t="s">
        <v>78</v>
      </c>
      <c r="D143" s="41">
        <v>1999</v>
      </c>
      <c r="E143" s="41" t="s">
        <v>97</v>
      </c>
      <c r="F143" s="41" t="s">
        <v>94</v>
      </c>
      <c r="G143" s="41" t="s">
        <v>95</v>
      </c>
      <c r="H143" s="41" t="s">
        <v>5</v>
      </c>
      <c r="Z143" s="1">
        <v>3</v>
      </c>
      <c r="AA143" s="1">
        <v>1</v>
      </c>
      <c r="AB143" s="1">
        <v>3</v>
      </c>
      <c r="AC143" s="1">
        <v>4</v>
      </c>
      <c r="AD143" s="24" t="str">
        <f t="shared" si="10"/>
        <v/>
      </c>
      <c r="AE143" s="1" t="str">
        <f t="shared" si="11"/>
        <v/>
      </c>
      <c r="AF143" s="1" t="str">
        <f t="shared" si="12"/>
        <v/>
      </c>
      <c r="AG143" s="1" t="str">
        <f t="shared" si="13"/>
        <v/>
      </c>
      <c r="AH143" s="1" t="str">
        <f t="shared" si="14"/>
        <v/>
      </c>
      <c r="AI143" s="1" t="str">
        <f t="shared" si="15"/>
        <v/>
      </c>
      <c r="AJ143" s="1" t="str">
        <f t="shared" si="16"/>
        <v/>
      </c>
      <c r="AK143" s="1" t="str">
        <f t="shared" si="17"/>
        <v/>
      </c>
      <c r="AL143" s="1" t="str">
        <f t="shared" si="18"/>
        <v/>
      </c>
      <c r="AM143" s="1" t="str">
        <f t="shared" si="19"/>
        <v/>
      </c>
      <c r="AN143" s="1" t="str">
        <f t="shared" si="20"/>
        <v/>
      </c>
      <c r="AO143" s="1" t="str">
        <f t="shared" si="21"/>
        <v/>
      </c>
      <c r="AP143" s="1" t="str">
        <f t="shared" si="22"/>
        <v/>
      </c>
      <c r="AQ143" s="1" t="str">
        <f t="shared" si="23"/>
        <v/>
      </c>
      <c r="AR143" s="1" t="str">
        <f t="shared" si="24"/>
        <v/>
      </c>
      <c r="AS143" s="1" t="str">
        <f t="shared" si="25"/>
        <v/>
      </c>
      <c r="AT143" s="1" t="str">
        <f t="shared" si="26"/>
        <v/>
      </c>
      <c r="AU143" s="1">
        <f t="shared" si="27"/>
        <v>0.9375</v>
      </c>
      <c r="AV143" s="1">
        <f t="shared" si="28"/>
        <v>0.3125</v>
      </c>
      <c r="AW143" s="1">
        <f t="shared" si="29"/>
        <v>1.875</v>
      </c>
      <c r="AX143" s="25">
        <f t="shared" si="30"/>
        <v>2.5</v>
      </c>
    </row>
    <row r="144" spans="1:50" ht="14.5" thickBot="1" x14ac:dyDescent="0.35">
      <c r="A144" s="5" t="s">
        <v>5</v>
      </c>
      <c r="B144" s="5" t="s">
        <v>79</v>
      </c>
      <c r="D144" s="41">
        <v>1999</v>
      </c>
      <c r="E144" s="41" t="s">
        <v>97</v>
      </c>
      <c r="F144" s="41" t="s">
        <v>98</v>
      </c>
      <c r="G144" s="41" t="s">
        <v>95</v>
      </c>
      <c r="H144" s="41" t="s">
        <v>2</v>
      </c>
      <c r="I144" s="1">
        <v>2</v>
      </c>
      <c r="J144" s="1">
        <v>1</v>
      </c>
      <c r="K144" s="1">
        <v>2</v>
      </c>
      <c r="L144" s="1">
        <v>2</v>
      </c>
      <c r="M144" s="1">
        <v>2</v>
      </c>
      <c r="N144" s="1">
        <v>3</v>
      </c>
      <c r="AD144" s="24">
        <f t="shared" si="10"/>
        <v>5</v>
      </c>
      <c r="AE144" s="1">
        <f t="shared" si="11"/>
        <v>2.5</v>
      </c>
      <c r="AF144" s="1">
        <f t="shared" si="12"/>
        <v>5</v>
      </c>
      <c r="AG144" s="1">
        <f t="shared" si="13"/>
        <v>1.25</v>
      </c>
      <c r="AH144" s="1">
        <f t="shared" si="14"/>
        <v>1.25</v>
      </c>
      <c r="AI144" s="1">
        <f t="shared" si="15"/>
        <v>7.5</v>
      </c>
      <c r="AJ144" s="1" t="str">
        <f t="shared" si="16"/>
        <v/>
      </c>
      <c r="AK144" s="1" t="str">
        <f t="shared" si="17"/>
        <v/>
      </c>
      <c r="AL144" s="1" t="str">
        <f t="shared" si="18"/>
        <v/>
      </c>
      <c r="AM144" s="1" t="str">
        <f t="shared" si="19"/>
        <v/>
      </c>
      <c r="AN144" s="1" t="str">
        <f t="shared" si="20"/>
        <v/>
      </c>
      <c r="AO144" s="1" t="str">
        <f t="shared" si="21"/>
        <v/>
      </c>
      <c r="AP144" s="1" t="str">
        <f t="shared" si="22"/>
        <v/>
      </c>
      <c r="AQ144" s="1" t="str">
        <f t="shared" si="23"/>
        <v/>
      </c>
      <c r="AR144" s="1" t="str">
        <f t="shared" si="24"/>
        <v/>
      </c>
      <c r="AS144" s="1" t="str">
        <f t="shared" si="25"/>
        <v/>
      </c>
      <c r="AT144" s="1" t="str">
        <f t="shared" si="26"/>
        <v/>
      </c>
      <c r="AU144" s="1" t="str">
        <f t="shared" si="27"/>
        <v/>
      </c>
      <c r="AV144" s="1" t="str">
        <f t="shared" si="28"/>
        <v/>
      </c>
      <c r="AW144" s="1" t="str">
        <f t="shared" si="29"/>
        <v/>
      </c>
      <c r="AX144" s="25" t="str">
        <f t="shared" si="30"/>
        <v/>
      </c>
    </row>
    <row r="145" spans="1:50" ht="14.5" thickBot="1" x14ac:dyDescent="0.35">
      <c r="A145" s="5" t="s">
        <v>5</v>
      </c>
      <c r="B145" s="5" t="s">
        <v>80</v>
      </c>
      <c r="D145" s="41">
        <v>1999</v>
      </c>
      <c r="E145" s="41" t="s">
        <v>97</v>
      </c>
      <c r="F145" s="41" t="s">
        <v>98</v>
      </c>
      <c r="G145" s="41" t="s">
        <v>95</v>
      </c>
      <c r="H145" s="41" t="s">
        <v>3</v>
      </c>
      <c r="O145" s="1">
        <v>3</v>
      </c>
      <c r="P145" s="1">
        <v>4</v>
      </c>
      <c r="Q145" s="1">
        <v>4</v>
      </c>
      <c r="R145" s="1">
        <v>3</v>
      </c>
      <c r="S145" s="1">
        <v>2</v>
      </c>
      <c r="T145" s="1">
        <v>4</v>
      </c>
      <c r="AD145" s="24" t="str">
        <f t="shared" si="10"/>
        <v/>
      </c>
      <c r="AE145" s="1" t="str">
        <f t="shared" si="11"/>
        <v/>
      </c>
      <c r="AF145" s="1" t="str">
        <f t="shared" si="12"/>
        <v/>
      </c>
      <c r="AG145" s="1" t="str">
        <f t="shared" si="13"/>
        <v/>
      </c>
      <c r="AH145" s="1" t="str">
        <f t="shared" si="14"/>
        <v/>
      </c>
      <c r="AI145" s="1" t="str">
        <f t="shared" si="15"/>
        <v/>
      </c>
      <c r="AJ145" s="1">
        <f t="shared" si="16"/>
        <v>3</v>
      </c>
      <c r="AK145" s="1">
        <f t="shared" si="17"/>
        <v>4</v>
      </c>
      <c r="AL145" s="1">
        <f t="shared" si="18"/>
        <v>3</v>
      </c>
      <c r="AM145" s="1">
        <f t="shared" si="19"/>
        <v>2.25</v>
      </c>
      <c r="AN145" s="1">
        <f t="shared" si="20"/>
        <v>1.5</v>
      </c>
      <c r="AO145" s="1">
        <f t="shared" si="21"/>
        <v>3</v>
      </c>
      <c r="AP145" s="1" t="str">
        <f t="shared" si="22"/>
        <v/>
      </c>
      <c r="AQ145" s="1" t="str">
        <f t="shared" si="23"/>
        <v/>
      </c>
      <c r="AR145" s="1" t="str">
        <f t="shared" si="24"/>
        <v/>
      </c>
      <c r="AS145" s="1" t="str">
        <f t="shared" si="25"/>
        <v/>
      </c>
      <c r="AT145" s="1" t="str">
        <f t="shared" si="26"/>
        <v/>
      </c>
      <c r="AU145" s="1" t="str">
        <f t="shared" si="27"/>
        <v/>
      </c>
      <c r="AV145" s="1" t="str">
        <f t="shared" si="28"/>
        <v/>
      </c>
      <c r="AW145" s="1" t="str">
        <f t="shared" si="29"/>
        <v/>
      </c>
      <c r="AX145" s="25" t="str">
        <f t="shared" si="30"/>
        <v/>
      </c>
    </row>
    <row r="146" spans="1:50" ht="14.5" thickBot="1" x14ac:dyDescent="0.35">
      <c r="A146" s="5" t="s">
        <v>5</v>
      </c>
      <c r="B146" s="5" t="s">
        <v>81</v>
      </c>
      <c r="D146" s="41">
        <v>1999</v>
      </c>
      <c r="E146" s="41" t="s">
        <v>97</v>
      </c>
      <c r="F146" s="41" t="s">
        <v>98</v>
      </c>
      <c r="G146" s="41" t="s">
        <v>95</v>
      </c>
      <c r="H146" s="41" t="s">
        <v>68</v>
      </c>
      <c r="U146" s="1">
        <v>1</v>
      </c>
      <c r="V146" s="1">
        <v>1</v>
      </c>
      <c r="W146" s="1">
        <v>1</v>
      </c>
      <c r="X146" s="1">
        <v>1</v>
      </c>
      <c r="Y146" s="1">
        <v>2</v>
      </c>
      <c r="AD146" s="24" t="str">
        <f t="shared" si="10"/>
        <v/>
      </c>
      <c r="AE146" s="1" t="str">
        <f t="shared" si="11"/>
        <v/>
      </c>
      <c r="AF146" s="1" t="str">
        <f t="shared" si="12"/>
        <v/>
      </c>
      <c r="AG146" s="1" t="str">
        <f t="shared" si="13"/>
        <v/>
      </c>
      <c r="AH146" s="1" t="str">
        <f t="shared" si="14"/>
        <v/>
      </c>
      <c r="AI146" s="1" t="str">
        <f t="shared" si="15"/>
        <v/>
      </c>
      <c r="AJ146" s="1" t="str">
        <f t="shared" si="16"/>
        <v/>
      </c>
      <c r="AK146" s="1" t="str">
        <f t="shared" si="17"/>
        <v/>
      </c>
      <c r="AL146" s="1" t="str">
        <f t="shared" si="18"/>
        <v/>
      </c>
      <c r="AM146" s="1" t="str">
        <f t="shared" si="19"/>
        <v/>
      </c>
      <c r="AN146" s="1" t="str">
        <f t="shared" si="20"/>
        <v/>
      </c>
      <c r="AO146" s="1" t="str">
        <f t="shared" si="21"/>
        <v/>
      </c>
      <c r="AP146" s="1">
        <f t="shared" si="22"/>
        <v>2.5</v>
      </c>
      <c r="AQ146" s="1">
        <f t="shared" si="23"/>
        <v>2.5</v>
      </c>
      <c r="AR146" s="1">
        <f t="shared" si="24"/>
        <v>0.3125</v>
      </c>
      <c r="AS146" s="1">
        <f t="shared" si="25"/>
        <v>0.3125</v>
      </c>
      <c r="AT146" s="1">
        <f t="shared" si="26"/>
        <v>2.5</v>
      </c>
      <c r="AU146" s="1" t="str">
        <f t="shared" si="27"/>
        <v/>
      </c>
      <c r="AV146" s="1" t="str">
        <f t="shared" si="28"/>
        <v/>
      </c>
      <c r="AW146" s="1" t="str">
        <f t="shared" si="29"/>
        <v/>
      </c>
      <c r="AX146" s="25" t="str">
        <f t="shared" si="30"/>
        <v/>
      </c>
    </row>
    <row r="147" spans="1:50" ht="14.5" thickBot="1" x14ac:dyDescent="0.35">
      <c r="A147" s="5" t="s">
        <v>5</v>
      </c>
      <c r="B147" s="5" t="s">
        <v>82</v>
      </c>
      <c r="D147" s="41">
        <v>1999</v>
      </c>
      <c r="E147" s="41" t="s">
        <v>97</v>
      </c>
      <c r="F147" s="41" t="s">
        <v>98</v>
      </c>
      <c r="G147" s="41" t="s">
        <v>95</v>
      </c>
      <c r="H147" s="41" t="s">
        <v>5</v>
      </c>
      <c r="Z147" s="1">
        <v>4</v>
      </c>
      <c r="AA147" s="1">
        <v>4</v>
      </c>
      <c r="AB147" s="1">
        <v>2</v>
      </c>
      <c r="AC147" s="1">
        <v>3</v>
      </c>
      <c r="AD147" s="24" t="str">
        <f t="shared" si="10"/>
        <v/>
      </c>
      <c r="AE147" s="1" t="str">
        <f t="shared" si="11"/>
        <v/>
      </c>
      <c r="AF147" s="1" t="str">
        <f t="shared" si="12"/>
        <v/>
      </c>
      <c r="AG147" s="1" t="str">
        <f t="shared" si="13"/>
        <v/>
      </c>
      <c r="AH147" s="1" t="str">
        <f t="shared" si="14"/>
        <v/>
      </c>
      <c r="AI147" s="1" t="str">
        <f t="shared" si="15"/>
        <v/>
      </c>
      <c r="AJ147" s="1" t="str">
        <f t="shared" si="16"/>
        <v/>
      </c>
      <c r="AK147" s="1" t="str">
        <f t="shared" si="17"/>
        <v/>
      </c>
      <c r="AL147" s="1" t="str">
        <f t="shared" si="18"/>
        <v/>
      </c>
      <c r="AM147" s="1" t="str">
        <f t="shared" si="19"/>
        <v/>
      </c>
      <c r="AN147" s="1" t="str">
        <f t="shared" si="20"/>
        <v/>
      </c>
      <c r="AO147" s="1" t="str">
        <f t="shared" si="21"/>
        <v/>
      </c>
      <c r="AP147" s="1" t="str">
        <f t="shared" si="22"/>
        <v/>
      </c>
      <c r="AQ147" s="1" t="str">
        <f t="shared" si="23"/>
        <v/>
      </c>
      <c r="AR147" s="1" t="str">
        <f t="shared" si="24"/>
        <v/>
      </c>
      <c r="AS147" s="1" t="str">
        <f t="shared" si="25"/>
        <v/>
      </c>
      <c r="AT147" s="1" t="str">
        <f t="shared" si="26"/>
        <v/>
      </c>
      <c r="AU147" s="1">
        <f t="shared" si="27"/>
        <v>1.25</v>
      </c>
      <c r="AV147" s="1">
        <f t="shared" si="28"/>
        <v>1.25</v>
      </c>
      <c r="AW147" s="1">
        <f t="shared" si="29"/>
        <v>1.25</v>
      </c>
      <c r="AX147" s="25">
        <f t="shared" si="30"/>
        <v>1.875</v>
      </c>
    </row>
    <row r="148" spans="1:50" ht="14.5" thickBot="1" x14ac:dyDescent="0.35">
      <c r="D148" s="37">
        <v>1999</v>
      </c>
      <c r="E148" s="37" t="s">
        <v>99</v>
      </c>
      <c r="F148" s="37" t="s">
        <v>94</v>
      </c>
      <c r="G148" s="37" t="s">
        <v>95</v>
      </c>
      <c r="H148" s="37" t="s">
        <v>2</v>
      </c>
      <c r="I148" s="1">
        <v>4</v>
      </c>
      <c r="J148" s="1">
        <v>2</v>
      </c>
      <c r="K148" s="1">
        <v>1</v>
      </c>
      <c r="L148" s="1">
        <v>3</v>
      </c>
      <c r="M148" s="1">
        <v>1</v>
      </c>
      <c r="N148" s="1">
        <v>2</v>
      </c>
      <c r="AD148" s="24">
        <f t="shared" si="9"/>
        <v>10</v>
      </c>
      <c r="AE148" s="1">
        <f t="shared" si="9"/>
        <v>5</v>
      </c>
      <c r="AF148" s="1">
        <f t="shared" si="9"/>
        <v>2.5</v>
      </c>
      <c r="AG148" s="1">
        <f t="shared" si="9"/>
        <v>1.875</v>
      </c>
      <c r="AH148" s="1">
        <f t="shared" si="9"/>
        <v>0.625</v>
      </c>
      <c r="AI148" s="1">
        <f t="shared" si="9"/>
        <v>5</v>
      </c>
      <c r="AJ148" s="1" t="str">
        <f t="shared" si="9"/>
        <v/>
      </c>
      <c r="AK148" s="1" t="str">
        <f t="shared" si="9"/>
        <v/>
      </c>
      <c r="AL148" s="1" t="str">
        <f t="shared" si="9"/>
        <v/>
      </c>
      <c r="AM148" s="1" t="str">
        <f t="shared" si="9"/>
        <v/>
      </c>
      <c r="AN148" s="1" t="str">
        <f t="shared" si="9"/>
        <v/>
      </c>
      <c r="AO148" s="1" t="str">
        <f t="shared" si="9"/>
        <v/>
      </c>
      <c r="AP148" s="1" t="str">
        <f t="shared" si="9"/>
        <v/>
      </c>
      <c r="AQ148" s="1" t="str">
        <f t="shared" si="9"/>
        <v/>
      </c>
      <c r="AR148" s="1" t="str">
        <f t="shared" si="9"/>
        <v/>
      </c>
      <c r="AS148" s="1" t="str">
        <f t="shared" si="9"/>
        <v/>
      </c>
      <c r="AT148" s="1" t="str">
        <f t="shared" ref="AT148:AX175" si="31">IF(Y148="-","",IF(Y148/4*AT$126=0, "",Y148/4*AT$126))</f>
        <v/>
      </c>
      <c r="AU148" s="1" t="str">
        <f t="shared" si="31"/>
        <v/>
      </c>
      <c r="AV148" s="1" t="str">
        <f t="shared" si="31"/>
        <v/>
      </c>
      <c r="AW148" s="1" t="str">
        <f t="shared" si="31"/>
        <v/>
      </c>
      <c r="AX148" s="25" t="str">
        <f t="shared" si="31"/>
        <v/>
      </c>
    </row>
    <row r="149" spans="1:50" ht="14.5" thickBot="1" x14ac:dyDescent="0.35">
      <c r="D149" s="37">
        <v>1999</v>
      </c>
      <c r="E149" s="37" t="s">
        <v>99</v>
      </c>
      <c r="F149" s="37" t="s">
        <v>94</v>
      </c>
      <c r="G149" s="37" t="s">
        <v>95</v>
      </c>
      <c r="H149" s="37" t="s">
        <v>3</v>
      </c>
      <c r="I149" s="24"/>
      <c r="O149" s="1">
        <v>4</v>
      </c>
      <c r="P149" s="1">
        <v>4</v>
      </c>
      <c r="Q149" s="1">
        <v>4</v>
      </c>
      <c r="R149" s="1">
        <v>2</v>
      </c>
      <c r="S149" s="1">
        <v>3</v>
      </c>
      <c r="T149" s="1">
        <v>4</v>
      </c>
      <c r="AC149" s="25"/>
      <c r="AD149" s="24" t="str">
        <f t="shared" si="9"/>
        <v/>
      </c>
      <c r="AE149" s="1" t="str">
        <f t="shared" si="9"/>
        <v/>
      </c>
      <c r="AF149" s="1" t="str">
        <f t="shared" si="9"/>
        <v/>
      </c>
      <c r="AG149" s="1" t="str">
        <f t="shared" si="9"/>
        <v/>
      </c>
      <c r="AH149" s="1" t="str">
        <f t="shared" si="9"/>
        <v/>
      </c>
      <c r="AI149" s="1" t="str">
        <f t="shared" si="9"/>
        <v/>
      </c>
      <c r="AJ149" s="1">
        <f t="shared" si="9"/>
        <v>4</v>
      </c>
      <c r="AK149" s="1">
        <f t="shared" si="9"/>
        <v>4</v>
      </c>
      <c r="AL149" s="1">
        <f t="shared" si="9"/>
        <v>3</v>
      </c>
      <c r="AM149" s="1">
        <f t="shared" si="9"/>
        <v>1.5</v>
      </c>
      <c r="AN149" s="1">
        <f t="shared" si="9"/>
        <v>2.25</v>
      </c>
      <c r="AO149" s="1">
        <f t="shared" si="9"/>
        <v>3</v>
      </c>
      <c r="AP149" s="1" t="str">
        <f t="shared" si="9"/>
        <v/>
      </c>
      <c r="AQ149" s="1" t="str">
        <f t="shared" si="9"/>
        <v/>
      </c>
      <c r="AR149" s="1" t="str">
        <f t="shared" si="9"/>
        <v/>
      </c>
      <c r="AS149" s="1" t="str">
        <f t="shared" si="9"/>
        <v/>
      </c>
      <c r="AT149" s="1" t="str">
        <f t="shared" si="31"/>
        <v/>
      </c>
      <c r="AU149" s="1" t="str">
        <f t="shared" si="31"/>
        <v/>
      </c>
      <c r="AV149" s="1" t="str">
        <f t="shared" si="31"/>
        <v/>
      </c>
      <c r="AW149" s="1" t="str">
        <f t="shared" si="31"/>
        <v/>
      </c>
      <c r="AX149" s="25" t="str">
        <f t="shared" si="31"/>
        <v/>
      </c>
    </row>
    <row r="150" spans="1:50" ht="14.5" thickBot="1" x14ac:dyDescent="0.35">
      <c r="D150" s="37">
        <v>1999</v>
      </c>
      <c r="E150" s="37" t="s">
        <v>99</v>
      </c>
      <c r="F150" s="37" t="s">
        <v>94</v>
      </c>
      <c r="G150" s="37" t="s">
        <v>95</v>
      </c>
      <c r="H150" s="37" t="s">
        <v>68</v>
      </c>
      <c r="I150" s="24"/>
      <c r="U150" s="1">
        <v>2</v>
      </c>
      <c r="V150" s="1">
        <v>3</v>
      </c>
      <c r="W150" s="1">
        <v>1</v>
      </c>
      <c r="X150" s="1">
        <v>3</v>
      </c>
      <c r="Y150" s="1">
        <v>4</v>
      </c>
      <c r="AC150" s="25"/>
      <c r="AD150" s="24" t="str">
        <f t="shared" si="9"/>
        <v/>
      </c>
      <c r="AE150" s="1" t="str">
        <f t="shared" si="9"/>
        <v/>
      </c>
      <c r="AF150" s="1" t="str">
        <f t="shared" si="9"/>
        <v/>
      </c>
      <c r="AG150" s="1" t="str">
        <f t="shared" si="9"/>
        <v/>
      </c>
      <c r="AH150" s="1" t="str">
        <f t="shared" si="9"/>
        <v/>
      </c>
      <c r="AI150" s="1" t="str">
        <f t="shared" si="9"/>
        <v/>
      </c>
      <c r="AJ150" s="1" t="str">
        <f t="shared" si="9"/>
        <v/>
      </c>
      <c r="AK150" s="1" t="str">
        <f t="shared" si="9"/>
        <v/>
      </c>
      <c r="AL150" s="1" t="str">
        <f t="shared" si="9"/>
        <v/>
      </c>
      <c r="AM150" s="1" t="str">
        <f t="shared" si="9"/>
        <v/>
      </c>
      <c r="AN150" s="1" t="str">
        <f t="shared" si="9"/>
        <v/>
      </c>
      <c r="AO150" s="1" t="str">
        <f t="shared" si="9"/>
        <v/>
      </c>
      <c r="AP150" s="1">
        <f t="shared" si="9"/>
        <v>5</v>
      </c>
      <c r="AQ150" s="1">
        <f t="shared" si="9"/>
        <v>7.5</v>
      </c>
      <c r="AR150" s="1">
        <f t="shared" si="9"/>
        <v>0.3125</v>
      </c>
      <c r="AS150" s="1">
        <f t="shared" si="9"/>
        <v>0.9375</v>
      </c>
      <c r="AT150" s="1">
        <f t="shared" si="31"/>
        <v>5</v>
      </c>
      <c r="AU150" s="1" t="str">
        <f t="shared" si="31"/>
        <v/>
      </c>
      <c r="AV150" s="1" t="str">
        <f t="shared" si="31"/>
        <v/>
      </c>
      <c r="AW150" s="1" t="str">
        <f t="shared" si="31"/>
        <v/>
      </c>
      <c r="AX150" s="25" t="str">
        <f t="shared" si="31"/>
        <v/>
      </c>
    </row>
    <row r="151" spans="1:50" ht="14.5" thickBot="1" x14ac:dyDescent="0.35">
      <c r="D151" s="37">
        <v>1999</v>
      </c>
      <c r="E151" s="37" t="s">
        <v>99</v>
      </c>
      <c r="F151" s="37" t="s">
        <v>94</v>
      </c>
      <c r="G151" s="37" t="s">
        <v>95</v>
      </c>
      <c r="H151" s="37" t="s">
        <v>5</v>
      </c>
      <c r="I151" s="24"/>
      <c r="Z151" s="1">
        <v>4</v>
      </c>
      <c r="AA151" s="1">
        <v>4</v>
      </c>
      <c r="AB151" s="1">
        <v>3</v>
      </c>
      <c r="AC151" s="25">
        <v>2</v>
      </c>
      <c r="AD151" s="24" t="str">
        <f t="shared" si="9"/>
        <v/>
      </c>
      <c r="AE151" s="1" t="str">
        <f t="shared" si="9"/>
        <v/>
      </c>
      <c r="AF151" s="1" t="str">
        <f t="shared" si="9"/>
        <v/>
      </c>
      <c r="AG151" s="1" t="str">
        <f t="shared" si="9"/>
        <v/>
      </c>
      <c r="AH151" s="1" t="str">
        <f t="shared" si="9"/>
        <v/>
      </c>
      <c r="AI151" s="1" t="str">
        <f t="shared" si="9"/>
        <v/>
      </c>
      <c r="AJ151" s="1" t="str">
        <f t="shared" si="9"/>
        <v/>
      </c>
      <c r="AK151" s="1" t="str">
        <f t="shared" si="9"/>
        <v/>
      </c>
      <c r="AL151" s="1" t="str">
        <f t="shared" si="9"/>
        <v/>
      </c>
      <c r="AM151" s="1" t="str">
        <f t="shared" si="9"/>
        <v/>
      </c>
      <c r="AN151" s="1" t="str">
        <f t="shared" si="9"/>
        <v/>
      </c>
      <c r="AO151" s="1" t="str">
        <f t="shared" si="9"/>
        <v/>
      </c>
      <c r="AP151" s="1" t="str">
        <f t="shared" si="9"/>
        <v/>
      </c>
      <c r="AQ151" s="1" t="str">
        <f t="shared" si="9"/>
        <v/>
      </c>
      <c r="AR151" s="1" t="str">
        <f t="shared" si="9"/>
        <v/>
      </c>
      <c r="AS151" s="1" t="str">
        <f t="shared" si="9"/>
        <v/>
      </c>
      <c r="AT151" s="1" t="str">
        <f t="shared" si="31"/>
        <v/>
      </c>
      <c r="AU151" s="1">
        <f t="shared" si="31"/>
        <v>1.25</v>
      </c>
      <c r="AV151" s="1">
        <f t="shared" si="31"/>
        <v>1.25</v>
      </c>
      <c r="AW151" s="1">
        <f t="shared" si="31"/>
        <v>1.875</v>
      </c>
      <c r="AX151" s="25">
        <f t="shared" si="31"/>
        <v>1.25</v>
      </c>
    </row>
    <row r="152" spans="1:50" ht="14.5" thickBot="1" x14ac:dyDescent="0.35">
      <c r="D152" s="41">
        <v>1999</v>
      </c>
      <c r="E152" s="41" t="s">
        <v>100</v>
      </c>
      <c r="F152" s="41" t="s">
        <v>94</v>
      </c>
      <c r="G152" s="41" t="s">
        <v>95</v>
      </c>
      <c r="H152" s="41" t="s">
        <v>2</v>
      </c>
      <c r="I152" s="24">
        <v>4</v>
      </c>
      <c r="J152" s="1">
        <v>3</v>
      </c>
      <c r="K152" s="1">
        <v>2</v>
      </c>
      <c r="L152" s="1">
        <v>4</v>
      </c>
      <c r="M152" s="1">
        <v>2</v>
      </c>
      <c r="N152" s="1">
        <v>4</v>
      </c>
      <c r="AC152" s="25"/>
      <c r="AD152" s="24">
        <f t="shared" si="9"/>
        <v>10</v>
      </c>
      <c r="AE152" s="1">
        <f t="shared" si="9"/>
        <v>7.5</v>
      </c>
      <c r="AF152" s="1">
        <f t="shared" si="9"/>
        <v>5</v>
      </c>
      <c r="AG152" s="1">
        <f t="shared" si="9"/>
        <v>2.5</v>
      </c>
      <c r="AH152" s="1">
        <f t="shared" si="9"/>
        <v>1.25</v>
      </c>
      <c r="AI152" s="1">
        <f t="shared" si="9"/>
        <v>10</v>
      </c>
      <c r="AJ152" s="1" t="str">
        <f t="shared" si="9"/>
        <v/>
      </c>
      <c r="AK152" s="1" t="str">
        <f t="shared" si="9"/>
        <v/>
      </c>
      <c r="AL152" s="1" t="str">
        <f t="shared" si="9"/>
        <v/>
      </c>
      <c r="AM152" s="1" t="str">
        <f t="shared" si="9"/>
        <v/>
      </c>
      <c r="AN152" s="1" t="str">
        <f t="shared" si="9"/>
        <v/>
      </c>
      <c r="AO152" s="1" t="str">
        <f t="shared" si="9"/>
        <v/>
      </c>
      <c r="AP152" s="1" t="str">
        <f t="shared" si="9"/>
        <v/>
      </c>
      <c r="AQ152" s="1" t="str">
        <f t="shared" si="9"/>
        <v/>
      </c>
      <c r="AR152" s="1" t="str">
        <f t="shared" si="9"/>
        <v/>
      </c>
      <c r="AS152" s="1" t="str">
        <f t="shared" si="9"/>
        <v/>
      </c>
      <c r="AT152" s="1" t="str">
        <f t="shared" si="31"/>
        <v/>
      </c>
      <c r="AU152" s="1" t="str">
        <f t="shared" si="31"/>
        <v/>
      </c>
      <c r="AV152" s="1" t="str">
        <f t="shared" si="31"/>
        <v/>
      </c>
      <c r="AW152" s="1" t="str">
        <f t="shared" si="31"/>
        <v/>
      </c>
      <c r="AX152" s="25" t="str">
        <f t="shared" si="31"/>
        <v/>
      </c>
    </row>
    <row r="153" spans="1:50" ht="14.5" thickBot="1" x14ac:dyDescent="0.35">
      <c r="D153" s="41">
        <v>1999</v>
      </c>
      <c r="E153" s="41" t="s">
        <v>100</v>
      </c>
      <c r="F153" s="41" t="s">
        <v>94</v>
      </c>
      <c r="G153" s="41" t="s">
        <v>95</v>
      </c>
      <c r="H153" s="41" t="s">
        <v>3</v>
      </c>
      <c r="I153" s="24"/>
      <c r="O153" s="1">
        <v>1</v>
      </c>
      <c r="P153" s="1">
        <v>2</v>
      </c>
      <c r="Q153" s="1">
        <v>3</v>
      </c>
      <c r="R153" s="1">
        <v>3</v>
      </c>
      <c r="S153" s="1">
        <v>4</v>
      </c>
      <c r="T153" s="1">
        <v>4</v>
      </c>
      <c r="AC153" s="25"/>
      <c r="AD153" s="24" t="str">
        <f t="shared" si="9"/>
        <v/>
      </c>
      <c r="AE153" s="1" t="str">
        <f t="shared" si="9"/>
        <v/>
      </c>
      <c r="AF153" s="1" t="str">
        <f t="shared" si="9"/>
        <v/>
      </c>
      <c r="AG153" s="1" t="str">
        <f t="shared" si="9"/>
        <v/>
      </c>
      <c r="AH153" s="1" t="str">
        <f t="shared" si="9"/>
        <v/>
      </c>
      <c r="AI153" s="1" t="str">
        <f t="shared" si="9"/>
        <v/>
      </c>
      <c r="AJ153" s="1">
        <f t="shared" si="9"/>
        <v>1</v>
      </c>
      <c r="AK153" s="1">
        <f t="shared" si="9"/>
        <v>2</v>
      </c>
      <c r="AL153" s="1">
        <f t="shared" si="9"/>
        <v>2.25</v>
      </c>
      <c r="AM153" s="1">
        <f t="shared" si="9"/>
        <v>2.25</v>
      </c>
      <c r="AN153" s="1">
        <f t="shared" si="9"/>
        <v>3</v>
      </c>
      <c r="AO153" s="1">
        <f t="shared" si="9"/>
        <v>3</v>
      </c>
      <c r="AP153" s="1" t="str">
        <f t="shared" si="9"/>
        <v/>
      </c>
      <c r="AQ153" s="1" t="str">
        <f t="shared" si="9"/>
        <v/>
      </c>
      <c r="AR153" s="1" t="str">
        <f t="shared" si="9"/>
        <v/>
      </c>
      <c r="AS153" s="1" t="str">
        <f t="shared" si="9"/>
        <v/>
      </c>
      <c r="AT153" s="1" t="str">
        <f t="shared" si="31"/>
        <v/>
      </c>
      <c r="AU153" s="1" t="str">
        <f t="shared" si="31"/>
        <v/>
      </c>
      <c r="AV153" s="1" t="str">
        <f t="shared" si="31"/>
        <v/>
      </c>
      <c r="AW153" s="1" t="str">
        <f t="shared" si="31"/>
        <v/>
      </c>
      <c r="AX153" s="25" t="str">
        <f t="shared" si="31"/>
        <v/>
      </c>
    </row>
    <row r="154" spans="1:50" ht="14.5" thickBot="1" x14ac:dyDescent="0.35">
      <c r="A154" s="29" t="s">
        <v>101</v>
      </c>
      <c r="D154" s="41">
        <v>1999</v>
      </c>
      <c r="E154" s="41" t="s">
        <v>100</v>
      </c>
      <c r="F154" s="41" t="s">
        <v>94</v>
      </c>
      <c r="G154" s="41" t="s">
        <v>95</v>
      </c>
      <c r="H154" s="41" t="s">
        <v>68</v>
      </c>
      <c r="I154" s="24"/>
      <c r="U154" s="1">
        <v>4</v>
      </c>
      <c r="V154" s="1">
        <v>1</v>
      </c>
      <c r="W154" s="1">
        <v>3</v>
      </c>
      <c r="X154" s="1">
        <v>3</v>
      </c>
      <c r="Y154" s="1">
        <v>3</v>
      </c>
      <c r="AC154" s="25"/>
      <c r="AD154" s="24" t="str">
        <f t="shared" si="9"/>
        <v/>
      </c>
      <c r="AE154" s="1" t="str">
        <f t="shared" si="9"/>
        <v/>
      </c>
      <c r="AF154" s="1" t="str">
        <f t="shared" si="9"/>
        <v/>
      </c>
      <c r="AG154" s="1" t="str">
        <f t="shared" si="9"/>
        <v/>
      </c>
      <c r="AH154" s="1" t="str">
        <f t="shared" si="9"/>
        <v/>
      </c>
      <c r="AI154" s="1" t="str">
        <f t="shared" si="9"/>
        <v/>
      </c>
      <c r="AJ154" s="1" t="str">
        <f t="shared" si="9"/>
        <v/>
      </c>
      <c r="AK154" s="1" t="str">
        <f t="shared" si="9"/>
        <v/>
      </c>
      <c r="AL154" s="1" t="str">
        <f t="shared" si="9"/>
        <v/>
      </c>
      <c r="AM154" s="1" t="str">
        <f t="shared" si="9"/>
        <v/>
      </c>
      <c r="AN154" s="1" t="str">
        <f t="shared" si="9"/>
        <v/>
      </c>
      <c r="AO154" s="1" t="str">
        <f t="shared" si="9"/>
        <v/>
      </c>
      <c r="AP154" s="1">
        <f t="shared" si="9"/>
        <v>10</v>
      </c>
      <c r="AQ154" s="1">
        <f t="shared" si="9"/>
        <v>2.5</v>
      </c>
      <c r="AR154" s="1">
        <f t="shared" si="9"/>
        <v>0.9375</v>
      </c>
      <c r="AS154" s="1">
        <f t="shared" si="9"/>
        <v>0.9375</v>
      </c>
      <c r="AT154" s="1">
        <f t="shared" si="31"/>
        <v>3.75</v>
      </c>
      <c r="AU154" s="1" t="str">
        <f t="shared" si="31"/>
        <v/>
      </c>
      <c r="AV154" s="1" t="str">
        <f t="shared" si="31"/>
        <v/>
      </c>
      <c r="AW154" s="1" t="str">
        <f t="shared" si="31"/>
        <v/>
      </c>
      <c r="AX154" s="25" t="str">
        <f t="shared" si="31"/>
        <v/>
      </c>
    </row>
    <row r="155" spans="1:50" ht="14.5" thickBot="1" x14ac:dyDescent="0.35">
      <c r="A155" s="42" t="s">
        <v>102</v>
      </c>
      <c r="D155" s="41">
        <v>1999</v>
      </c>
      <c r="E155" s="41" t="s">
        <v>100</v>
      </c>
      <c r="F155" s="41" t="s">
        <v>94</v>
      </c>
      <c r="G155" s="41" t="s">
        <v>95</v>
      </c>
      <c r="H155" s="41" t="s">
        <v>5</v>
      </c>
      <c r="I155" s="26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>
        <v>1</v>
      </c>
      <c r="AA155" s="28">
        <v>2</v>
      </c>
      <c r="AB155" s="28">
        <v>3</v>
      </c>
      <c r="AC155" s="27">
        <v>4</v>
      </c>
      <c r="AD155" s="26" t="str">
        <f t="shared" si="9"/>
        <v/>
      </c>
      <c r="AE155" s="28" t="str">
        <f t="shared" si="9"/>
        <v/>
      </c>
      <c r="AF155" s="28" t="str">
        <f t="shared" si="9"/>
        <v/>
      </c>
      <c r="AG155" s="28" t="str">
        <f t="shared" si="9"/>
        <v/>
      </c>
      <c r="AH155" s="28" t="str">
        <f t="shared" si="9"/>
        <v/>
      </c>
      <c r="AI155" s="28" t="str">
        <f t="shared" si="9"/>
        <v/>
      </c>
      <c r="AJ155" s="28" t="str">
        <f t="shared" si="9"/>
        <v/>
      </c>
      <c r="AK155" s="28" t="str">
        <f t="shared" si="9"/>
        <v/>
      </c>
      <c r="AL155" s="28" t="str">
        <f t="shared" si="9"/>
        <v/>
      </c>
      <c r="AM155" s="28" t="str">
        <f t="shared" si="9"/>
        <v/>
      </c>
      <c r="AN155" s="28" t="str">
        <f t="shared" si="9"/>
        <v/>
      </c>
      <c r="AO155" s="28" t="str">
        <f t="shared" si="9"/>
        <v/>
      </c>
      <c r="AP155" s="28" t="str">
        <f t="shared" si="9"/>
        <v/>
      </c>
      <c r="AQ155" s="28" t="str">
        <f t="shared" si="9"/>
        <v/>
      </c>
      <c r="AR155" s="28" t="str">
        <f t="shared" si="9"/>
        <v/>
      </c>
      <c r="AS155" s="28" t="str">
        <f t="shared" si="9"/>
        <v/>
      </c>
      <c r="AT155" s="28" t="str">
        <f t="shared" si="31"/>
        <v/>
      </c>
      <c r="AU155" s="28">
        <f t="shared" si="31"/>
        <v>0.3125</v>
      </c>
      <c r="AV155" s="28">
        <f t="shared" si="31"/>
        <v>0.625</v>
      </c>
      <c r="AW155" s="28">
        <f t="shared" si="31"/>
        <v>1.875</v>
      </c>
      <c r="AX155" s="27">
        <f t="shared" si="31"/>
        <v>2.5</v>
      </c>
    </row>
    <row r="156" spans="1:50" ht="14.5" thickBot="1" x14ac:dyDescent="0.35">
      <c r="D156" s="43">
        <v>1999</v>
      </c>
      <c r="E156" s="43" t="s">
        <v>93</v>
      </c>
      <c r="F156" s="43" t="s">
        <v>103</v>
      </c>
      <c r="G156" s="43" t="s">
        <v>104</v>
      </c>
      <c r="H156" s="43" t="s">
        <v>2</v>
      </c>
      <c r="I156" s="20">
        <v>2</v>
      </c>
      <c r="J156" s="22">
        <v>3</v>
      </c>
      <c r="K156" s="22">
        <v>3</v>
      </c>
      <c r="L156" s="22">
        <v>1</v>
      </c>
      <c r="M156" s="22">
        <v>1</v>
      </c>
      <c r="N156" s="22">
        <v>3</v>
      </c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1"/>
      <c r="AD156" s="22">
        <f>IF(I156="-","",IF(I156/4*AD$126=0, "",I156/4*AD$126))</f>
        <v>5</v>
      </c>
      <c r="AE156" s="22">
        <f t="shared" ref="AE156:AS172" si="32">IF(J156="-","",IF(J156/4*AE$126=0, "",J156/4*AE$126))</f>
        <v>7.5</v>
      </c>
      <c r="AF156" s="22">
        <f t="shared" si="32"/>
        <v>7.5</v>
      </c>
      <c r="AG156" s="22">
        <f t="shared" si="32"/>
        <v>0.625</v>
      </c>
      <c r="AH156" s="22">
        <f t="shared" si="32"/>
        <v>0.625</v>
      </c>
      <c r="AI156" s="22">
        <f t="shared" si="32"/>
        <v>7.5</v>
      </c>
      <c r="AJ156" s="22" t="str">
        <f t="shared" si="32"/>
        <v/>
      </c>
      <c r="AK156" s="22" t="str">
        <f t="shared" si="32"/>
        <v/>
      </c>
      <c r="AL156" s="22" t="str">
        <f t="shared" si="32"/>
        <v/>
      </c>
      <c r="AM156" s="22" t="str">
        <f t="shared" si="32"/>
        <v/>
      </c>
      <c r="AN156" s="22" t="str">
        <f t="shared" si="32"/>
        <v/>
      </c>
      <c r="AO156" s="22" t="str">
        <f t="shared" si="32"/>
        <v/>
      </c>
      <c r="AP156" s="22" t="str">
        <f t="shared" si="32"/>
        <v/>
      </c>
      <c r="AQ156" s="22" t="str">
        <f t="shared" si="32"/>
        <v/>
      </c>
      <c r="AR156" s="22" t="str">
        <f t="shared" si="32"/>
        <v/>
      </c>
      <c r="AS156" s="22" t="str">
        <f t="shared" si="32"/>
        <v/>
      </c>
      <c r="AT156" s="22" t="str">
        <f t="shared" si="31"/>
        <v/>
      </c>
      <c r="AU156" s="22" t="str">
        <f t="shared" si="31"/>
        <v/>
      </c>
      <c r="AV156" s="22" t="str">
        <f t="shared" si="31"/>
        <v/>
      </c>
      <c r="AW156" s="22" t="str">
        <f t="shared" si="31"/>
        <v/>
      </c>
      <c r="AX156" s="21" t="str">
        <f t="shared" si="31"/>
        <v/>
      </c>
    </row>
    <row r="157" spans="1:50" ht="14.5" thickBot="1" x14ac:dyDescent="0.35">
      <c r="D157" s="43">
        <v>1999</v>
      </c>
      <c r="E157" s="43" t="s">
        <v>93</v>
      </c>
      <c r="F157" s="43" t="s">
        <v>103</v>
      </c>
      <c r="G157" s="43" t="s">
        <v>104</v>
      </c>
      <c r="H157" s="43" t="s">
        <v>3</v>
      </c>
      <c r="I157" s="24"/>
      <c r="O157" s="1">
        <v>2</v>
      </c>
      <c r="P157" s="1">
        <v>1</v>
      </c>
      <c r="Q157" s="1">
        <v>1</v>
      </c>
      <c r="R157" s="1">
        <v>2</v>
      </c>
      <c r="S157" s="1">
        <v>4</v>
      </c>
      <c r="T157" s="1">
        <v>4</v>
      </c>
      <c r="AC157" s="25"/>
      <c r="AD157" s="1" t="str">
        <f t="shared" ref="AD157:AD159" si="33">IF(I157="-","",IF(I157/4*AD$126=0, "",I157/4*AD$126))</f>
        <v/>
      </c>
      <c r="AE157" s="1" t="str">
        <f t="shared" si="32"/>
        <v/>
      </c>
      <c r="AF157" s="1" t="str">
        <f t="shared" si="32"/>
        <v/>
      </c>
      <c r="AG157" s="1" t="str">
        <f t="shared" si="32"/>
        <v/>
      </c>
      <c r="AH157" s="1" t="str">
        <f t="shared" si="32"/>
        <v/>
      </c>
      <c r="AI157" s="1" t="str">
        <f t="shared" si="32"/>
        <v/>
      </c>
      <c r="AJ157" s="1">
        <f t="shared" si="32"/>
        <v>2</v>
      </c>
      <c r="AK157" s="1">
        <f t="shared" si="32"/>
        <v>1</v>
      </c>
      <c r="AL157" s="1">
        <f t="shared" si="32"/>
        <v>0.75</v>
      </c>
      <c r="AM157" s="1">
        <f t="shared" si="32"/>
        <v>1.5</v>
      </c>
      <c r="AN157" s="1">
        <f t="shared" si="32"/>
        <v>3</v>
      </c>
      <c r="AO157" s="1">
        <f t="shared" si="32"/>
        <v>3</v>
      </c>
      <c r="AP157" s="1" t="str">
        <f t="shared" si="32"/>
        <v/>
      </c>
      <c r="AQ157" s="1" t="str">
        <f t="shared" si="32"/>
        <v/>
      </c>
      <c r="AR157" s="1" t="str">
        <f t="shared" si="32"/>
        <v/>
      </c>
      <c r="AS157" s="1" t="str">
        <f t="shared" si="32"/>
        <v/>
      </c>
      <c r="AT157" s="1" t="str">
        <f t="shared" si="31"/>
        <v/>
      </c>
      <c r="AU157" s="1" t="str">
        <f t="shared" si="31"/>
        <v/>
      </c>
      <c r="AV157" s="1" t="str">
        <f t="shared" si="31"/>
        <v/>
      </c>
      <c r="AW157" s="1" t="str">
        <f t="shared" si="31"/>
        <v/>
      </c>
      <c r="AX157" s="25" t="str">
        <f t="shared" si="31"/>
        <v/>
      </c>
    </row>
    <row r="158" spans="1:50" ht="14.5" thickBot="1" x14ac:dyDescent="0.35">
      <c r="D158" s="43">
        <v>1999</v>
      </c>
      <c r="E158" s="43" t="s">
        <v>93</v>
      </c>
      <c r="F158" s="43" t="s">
        <v>103</v>
      </c>
      <c r="G158" s="43" t="s">
        <v>104</v>
      </c>
      <c r="H158" s="43" t="s">
        <v>68</v>
      </c>
      <c r="I158" s="24"/>
      <c r="U158" s="1">
        <v>4</v>
      </c>
      <c r="V158" s="1">
        <v>2</v>
      </c>
      <c r="W158" s="1">
        <v>4</v>
      </c>
      <c r="X158" s="1">
        <v>3</v>
      </c>
      <c r="Y158" s="1">
        <v>3</v>
      </c>
      <c r="AC158" s="25"/>
      <c r="AD158" s="1" t="str">
        <f t="shared" si="33"/>
        <v/>
      </c>
      <c r="AE158" s="1" t="str">
        <f t="shared" si="32"/>
        <v/>
      </c>
      <c r="AF158" s="1" t="str">
        <f t="shared" si="32"/>
        <v/>
      </c>
      <c r="AG158" s="1" t="str">
        <f t="shared" si="32"/>
        <v/>
      </c>
      <c r="AH158" s="1" t="str">
        <f t="shared" si="32"/>
        <v/>
      </c>
      <c r="AI158" s="1" t="str">
        <f t="shared" si="32"/>
        <v/>
      </c>
      <c r="AJ158" s="1" t="str">
        <f t="shared" si="32"/>
        <v/>
      </c>
      <c r="AK158" s="1" t="str">
        <f t="shared" si="32"/>
        <v/>
      </c>
      <c r="AL158" s="1" t="str">
        <f t="shared" si="32"/>
        <v/>
      </c>
      <c r="AM158" s="1" t="str">
        <f t="shared" si="32"/>
        <v/>
      </c>
      <c r="AN158" s="1" t="str">
        <f t="shared" si="32"/>
        <v/>
      </c>
      <c r="AO158" s="1" t="str">
        <f t="shared" si="32"/>
        <v/>
      </c>
      <c r="AP158" s="1">
        <f t="shared" si="32"/>
        <v>10</v>
      </c>
      <c r="AQ158" s="1">
        <f t="shared" si="32"/>
        <v>5</v>
      </c>
      <c r="AR158" s="1">
        <f t="shared" si="32"/>
        <v>1.25</v>
      </c>
      <c r="AS158" s="1">
        <f t="shared" si="32"/>
        <v>0.9375</v>
      </c>
      <c r="AT158" s="1">
        <f t="shared" si="31"/>
        <v>3.75</v>
      </c>
      <c r="AU158" s="1" t="str">
        <f t="shared" si="31"/>
        <v/>
      </c>
      <c r="AV158" s="1" t="str">
        <f t="shared" si="31"/>
        <v/>
      </c>
      <c r="AW158" s="1" t="str">
        <f t="shared" si="31"/>
        <v/>
      </c>
      <c r="AX158" s="25" t="str">
        <f t="shared" si="31"/>
        <v/>
      </c>
    </row>
    <row r="159" spans="1:50" ht="14.5" thickBot="1" x14ac:dyDescent="0.35">
      <c r="D159" s="43">
        <v>1999</v>
      </c>
      <c r="E159" s="43" t="s">
        <v>93</v>
      </c>
      <c r="F159" s="43" t="s">
        <v>103</v>
      </c>
      <c r="G159" s="43" t="s">
        <v>104</v>
      </c>
      <c r="H159" s="43" t="s">
        <v>5</v>
      </c>
      <c r="I159" s="24"/>
      <c r="Z159" s="1">
        <v>2</v>
      </c>
      <c r="AA159" s="1">
        <v>2</v>
      </c>
      <c r="AB159" s="1">
        <v>2</v>
      </c>
      <c r="AC159" s="25">
        <v>2</v>
      </c>
      <c r="AD159" s="1" t="str">
        <f t="shared" si="33"/>
        <v/>
      </c>
      <c r="AE159" s="1" t="str">
        <f t="shared" si="32"/>
        <v/>
      </c>
      <c r="AF159" s="1" t="str">
        <f t="shared" si="32"/>
        <v/>
      </c>
      <c r="AG159" s="1" t="str">
        <f t="shared" si="32"/>
        <v/>
      </c>
      <c r="AH159" s="1" t="str">
        <f t="shared" si="32"/>
        <v/>
      </c>
      <c r="AI159" s="1" t="str">
        <f t="shared" si="32"/>
        <v/>
      </c>
      <c r="AJ159" s="1" t="str">
        <f t="shared" si="32"/>
        <v/>
      </c>
      <c r="AK159" s="1" t="str">
        <f t="shared" si="32"/>
        <v/>
      </c>
      <c r="AL159" s="1" t="str">
        <f t="shared" si="32"/>
        <v/>
      </c>
      <c r="AM159" s="1" t="str">
        <f t="shared" si="32"/>
        <v/>
      </c>
      <c r="AN159" s="1" t="str">
        <f t="shared" si="32"/>
        <v/>
      </c>
      <c r="AO159" s="1" t="str">
        <f t="shared" si="32"/>
        <v/>
      </c>
      <c r="AP159" s="1" t="str">
        <f t="shared" si="32"/>
        <v/>
      </c>
      <c r="AQ159" s="1" t="str">
        <f t="shared" si="32"/>
        <v/>
      </c>
      <c r="AR159" s="1" t="str">
        <f t="shared" si="32"/>
        <v/>
      </c>
      <c r="AS159" s="1" t="str">
        <f t="shared" si="32"/>
        <v/>
      </c>
      <c r="AT159" s="1" t="str">
        <f t="shared" si="31"/>
        <v/>
      </c>
      <c r="AU159" s="1">
        <f t="shared" si="31"/>
        <v>0.625</v>
      </c>
      <c r="AV159" s="1">
        <f t="shared" si="31"/>
        <v>0.625</v>
      </c>
      <c r="AW159" s="1">
        <f t="shared" si="31"/>
        <v>1.25</v>
      </c>
      <c r="AX159" s="25">
        <f t="shared" si="31"/>
        <v>1.25</v>
      </c>
    </row>
    <row r="160" spans="1:50" ht="14.5" thickBot="1" x14ac:dyDescent="0.35">
      <c r="D160" s="44">
        <v>1999</v>
      </c>
      <c r="E160" s="44" t="s">
        <v>96</v>
      </c>
      <c r="F160" s="44" t="s">
        <v>103</v>
      </c>
      <c r="G160" s="44" t="s">
        <v>104</v>
      </c>
      <c r="H160" s="44" t="s">
        <v>2</v>
      </c>
      <c r="I160" s="24">
        <v>1</v>
      </c>
      <c r="J160" s="1">
        <v>4</v>
      </c>
      <c r="K160" s="1">
        <v>3</v>
      </c>
      <c r="L160" s="1">
        <v>2</v>
      </c>
      <c r="M160" s="1">
        <v>2</v>
      </c>
      <c r="N160" s="1">
        <v>2</v>
      </c>
      <c r="AC160" s="25"/>
      <c r="AD160" s="1">
        <f>IF(I160="-","",IF(I160/4*AD$126=0, "",I160/4*AD$126))</f>
        <v>2.5</v>
      </c>
      <c r="AE160" s="1">
        <f t="shared" si="32"/>
        <v>10</v>
      </c>
      <c r="AF160" s="1">
        <f t="shared" si="32"/>
        <v>7.5</v>
      </c>
      <c r="AG160" s="1">
        <f t="shared" si="32"/>
        <v>1.25</v>
      </c>
      <c r="AH160" s="1">
        <f t="shared" si="32"/>
        <v>1.25</v>
      </c>
      <c r="AI160" s="1">
        <f t="shared" si="32"/>
        <v>5</v>
      </c>
      <c r="AJ160" s="1" t="str">
        <f t="shared" si="32"/>
        <v/>
      </c>
      <c r="AK160" s="1" t="str">
        <f t="shared" si="32"/>
        <v/>
      </c>
      <c r="AL160" s="1" t="str">
        <f t="shared" si="32"/>
        <v/>
      </c>
      <c r="AM160" s="1" t="str">
        <f t="shared" si="32"/>
        <v/>
      </c>
      <c r="AN160" s="1" t="str">
        <f t="shared" si="32"/>
        <v/>
      </c>
      <c r="AO160" s="1" t="str">
        <f t="shared" si="32"/>
        <v/>
      </c>
      <c r="AP160" s="1" t="str">
        <f t="shared" si="32"/>
        <v/>
      </c>
      <c r="AQ160" s="1" t="str">
        <f t="shared" si="32"/>
        <v/>
      </c>
      <c r="AR160" s="1" t="str">
        <f t="shared" si="32"/>
        <v/>
      </c>
      <c r="AS160" s="1" t="str">
        <f t="shared" si="32"/>
        <v/>
      </c>
      <c r="AT160" s="1" t="str">
        <f t="shared" si="31"/>
        <v/>
      </c>
      <c r="AU160" s="1" t="str">
        <f t="shared" si="31"/>
        <v/>
      </c>
      <c r="AV160" s="1" t="str">
        <f t="shared" si="31"/>
        <v/>
      </c>
      <c r="AW160" s="1" t="str">
        <f t="shared" si="31"/>
        <v/>
      </c>
      <c r="AX160" s="25" t="str">
        <f t="shared" si="31"/>
        <v/>
      </c>
    </row>
    <row r="161" spans="4:50" ht="14.5" thickBot="1" x14ac:dyDescent="0.35">
      <c r="D161" s="44">
        <v>1999</v>
      </c>
      <c r="E161" s="44" t="s">
        <v>96</v>
      </c>
      <c r="F161" s="44" t="s">
        <v>103</v>
      </c>
      <c r="G161" s="44" t="s">
        <v>104</v>
      </c>
      <c r="H161" s="44" t="s">
        <v>3</v>
      </c>
      <c r="I161" s="24"/>
      <c r="O161" s="1">
        <v>2</v>
      </c>
      <c r="P161" s="1">
        <v>1</v>
      </c>
      <c r="Q161" s="1">
        <v>3</v>
      </c>
      <c r="R161" s="1">
        <v>4</v>
      </c>
      <c r="S161" s="1">
        <v>2</v>
      </c>
      <c r="T161" s="1">
        <v>3</v>
      </c>
      <c r="AC161" s="25"/>
      <c r="AD161" s="1" t="str">
        <f t="shared" ref="AD161:AD163" si="34">IF(I161="-","",IF(I161/4*AD$126=0, "",I161/4*AD$126))</f>
        <v/>
      </c>
      <c r="AE161" s="1" t="str">
        <f t="shared" si="32"/>
        <v/>
      </c>
      <c r="AF161" s="1" t="str">
        <f t="shared" si="32"/>
        <v/>
      </c>
      <c r="AG161" s="1" t="str">
        <f t="shared" si="32"/>
        <v/>
      </c>
      <c r="AH161" s="1" t="str">
        <f t="shared" si="32"/>
        <v/>
      </c>
      <c r="AI161" s="1" t="str">
        <f t="shared" si="32"/>
        <v/>
      </c>
      <c r="AJ161" s="1">
        <f t="shared" si="32"/>
        <v>2</v>
      </c>
      <c r="AK161" s="1">
        <f t="shared" si="32"/>
        <v>1</v>
      </c>
      <c r="AL161" s="1">
        <f t="shared" si="32"/>
        <v>2.25</v>
      </c>
      <c r="AM161" s="1">
        <f t="shared" si="32"/>
        <v>3</v>
      </c>
      <c r="AN161" s="1">
        <f t="shared" si="32"/>
        <v>1.5</v>
      </c>
      <c r="AO161" s="1">
        <f t="shared" si="32"/>
        <v>2.25</v>
      </c>
      <c r="AP161" s="1" t="str">
        <f t="shared" si="32"/>
        <v/>
      </c>
      <c r="AQ161" s="1" t="str">
        <f t="shared" si="32"/>
        <v/>
      </c>
      <c r="AR161" s="1" t="str">
        <f t="shared" si="32"/>
        <v/>
      </c>
      <c r="AS161" s="1" t="str">
        <f t="shared" si="32"/>
        <v/>
      </c>
      <c r="AT161" s="1" t="str">
        <f t="shared" si="31"/>
        <v/>
      </c>
      <c r="AU161" s="1" t="str">
        <f t="shared" si="31"/>
        <v/>
      </c>
      <c r="AV161" s="1" t="str">
        <f t="shared" si="31"/>
        <v/>
      </c>
      <c r="AW161" s="1" t="str">
        <f t="shared" si="31"/>
        <v/>
      </c>
      <c r="AX161" s="25" t="str">
        <f t="shared" si="31"/>
        <v/>
      </c>
    </row>
    <row r="162" spans="4:50" ht="14.5" thickBot="1" x14ac:dyDescent="0.35">
      <c r="D162" s="44">
        <v>1999</v>
      </c>
      <c r="E162" s="44" t="s">
        <v>96</v>
      </c>
      <c r="F162" s="44" t="s">
        <v>103</v>
      </c>
      <c r="G162" s="44" t="s">
        <v>104</v>
      </c>
      <c r="H162" s="44" t="s">
        <v>68</v>
      </c>
      <c r="I162" s="24"/>
      <c r="U162" s="1">
        <v>1</v>
      </c>
      <c r="V162" s="1">
        <v>4</v>
      </c>
      <c r="W162" s="1">
        <v>1</v>
      </c>
      <c r="X162" s="1">
        <v>1</v>
      </c>
      <c r="Y162" s="1">
        <v>3</v>
      </c>
      <c r="AC162" s="25"/>
      <c r="AD162" s="1" t="str">
        <f t="shared" si="34"/>
        <v/>
      </c>
      <c r="AE162" s="1" t="str">
        <f t="shared" si="32"/>
        <v/>
      </c>
      <c r="AF162" s="1" t="str">
        <f t="shared" si="32"/>
        <v/>
      </c>
      <c r="AG162" s="1" t="str">
        <f t="shared" si="32"/>
        <v/>
      </c>
      <c r="AH162" s="1" t="str">
        <f t="shared" si="32"/>
        <v/>
      </c>
      <c r="AI162" s="1" t="str">
        <f t="shared" si="32"/>
        <v/>
      </c>
      <c r="AJ162" s="1" t="str">
        <f t="shared" si="32"/>
        <v/>
      </c>
      <c r="AK162" s="1" t="str">
        <f t="shared" si="32"/>
        <v/>
      </c>
      <c r="AL162" s="1" t="str">
        <f t="shared" si="32"/>
        <v/>
      </c>
      <c r="AM162" s="1" t="str">
        <f t="shared" si="32"/>
        <v/>
      </c>
      <c r="AN162" s="1" t="str">
        <f t="shared" si="32"/>
        <v/>
      </c>
      <c r="AO162" s="1" t="str">
        <f t="shared" si="32"/>
        <v/>
      </c>
      <c r="AP162" s="1">
        <f t="shared" si="32"/>
        <v>2.5</v>
      </c>
      <c r="AQ162" s="1">
        <f t="shared" si="32"/>
        <v>10</v>
      </c>
      <c r="AR162" s="1">
        <f t="shared" si="32"/>
        <v>0.3125</v>
      </c>
      <c r="AS162" s="1">
        <f t="shared" si="32"/>
        <v>0.3125</v>
      </c>
      <c r="AT162" s="1">
        <f t="shared" si="31"/>
        <v>3.75</v>
      </c>
      <c r="AU162" s="1" t="str">
        <f t="shared" si="31"/>
        <v/>
      </c>
      <c r="AV162" s="1" t="str">
        <f t="shared" si="31"/>
        <v/>
      </c>
      <c r="AW162" s="1" t="str">
        <f t="shared" si="31"/>
        <v/>
      </c>
      <c r="AX162" s="25" t="str">
        <f t="shared" si="31"/>
        <v/>
      </c>
    </row>
    <row r="163" spans="4:50" ht="14.5" thickBot="1" x14ac:dyDescent="0.35">
      <c r="D163" s="44">
        <v>1999</v>
      </c>
      <c r="E163" s="44" t="s">
        <v>96</v>
      </c>
      <c r="F163" s="44" t="s">
        <v>103</v>
      </c>
      <c r="G163" s="44" t="s">
        <v>104</v>
      </c>
      <c r="H163" s="44" t="s">
        <v>5</v>
      </c>
      <c r="I163" s="26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>
        <v>3</v>
      </c>
      <c r="AA163" s="28">
        <v>4</v>
      </c>
      <c r="AB163" s="28">
        <v>2</v>
      </c>
      <c r="AC163" s="27">
        <v>2</v>
      </c>
      <c r="AD163" s="28" t="str">
        <f t="shared" si="34"/>
        <v/>
      </c>
      <c r="AE163" s="28" t="str">
        <f t="shared" si="32"/>
        <v/>
      </c>
      <c r="AF163" s="28" t="str">
        <f t="shared" si="32"/>
        <v/>
      </c>
      <c r="AG163" s="28" t="str">
        <f t="shared" si="32"/>
        <v/>
      </c>
      <c r="AH163" s="28" t="str">
        <f t="shared" si="32"/>
        <v/>
      </c>
      <c r="AI163" s="28" t="str">
        <f t="shared" si="32"/>
        <v/>
      </c>
      <c r="AJ163" s="28" t="str">
        <f t="shared" si="32"/>
        <v/>
      </c>
      <c r="AK163" s="28" t="str">
        <f t="shared" si="32"/>
        <v/>
      </c>
      <c r="AL163" s="28" t="str">
        <f t="shared" si="32"/>
        <v/>
      </c>
      <c r="AM163" s="28" t="str">
        <f t="shared" si="32"/>
        <v/>
      </c>
      <c r="AN163" s="28" t="str">
        <f t="shared" si="32"/>
        <v/>
      </c>
      <c r="AO163" s="28" t="str">
        <f t="shared" si="32"/>
        <v/>
      </c>
      <c r="AP163" s="28" t="str">
        <f t="shared" si="32"/>
        <v/>
      </c>
      <c r="AQ163" s="28" t="str">
        <f t="shared" si="32"/>
        <v/>
      </c>
      <c r="AR163" s="28" t="str">
        <f t="shared" si="32"/>
        <v/>
      </c>
      <c r="AS163" s="28" t="str">
        <f t="shared" si="32"/>
        <v/>
      </c>
      <c r="AT163" s="28" t="str">
        <f t="shared" si="31"/>
        <v/>
      </c>
      <c r="AU163" s="28">
        <f t="shared" si="31"/>
        <v>0.9375</v>
      </c>
      <c r="AV163" s="28">
        <f t="shared" si="31"/>
        <v>1.25</v>
      </c>
      <c r="AW163" s="28">
        <f t="shared" si="31"/>
        <v>1.25</v>
      </c>
      <c r="AX163" s="27">
        <f t="shared" si="31"/>
        <v>1.25</v>
      </c>
    </row>
    <row r="164" spans="4:50" ht="14.5" thickBot="1" x14ac:dyDescent="0.35">
      <c r="D164" s="45">
        <v>1999</v>
      </c>
      <c r="E164" s="45" t="s">
        <v>93</v>
      </c>
      <c r="F164" s="45" t="s">
        <v>105</v>
      </c>
      <c r="G164" s="45" t="s">
        <v>106</v>
      </c>
      <c r="H164" s="45" t="s">
        <v>2</v>
      </c>
      <c r="I164" s="20">
        <v>1</v>
      </c>
      <c r="J164" s="22">
        <v>1</v>
      </c>
      <c r="K164" s="22">
        <v>4</v>
      </c>
      <c r="L164" s="22">
        <v>2</v>
      </c>
      <c r="M164" s="22">
        <v>3</v>
      </c>
      <c r="N164" s="22">
        <v>4</v>
      </c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1"/>
      <c r="AD164" s="20">
        <f>IF(I164="-","",IF(I164/4*AD$126=0, "",I164/4*AD$126))</f>
        <v>2.5</v>
      </c>
      <c r="AE164" s="22">
        <f t="shared" si="32"/>
        <v>2.5</v>
      </c>
      <c r="AF164" s="22">
        <f t="shared" si="32"/>
        <v>10</v>
      </c>
      <c r="AG164" s="22">
        <f t="shared" si="32"/>
        <v>1.25</v>
      </c>
      <c r="AH164" s="22">
        <f t="shared" si="32"/>
        <v>1.875</v>
      </c>
      <c r="AI164" s="22">
        <f t="shared" si="32"/>
        <v>10</v>
      </c>
      <c r="AJ164" s="22" t="str">
        <f t="shared" si="32"/>
        <v/>
      </c>
      <c r="AK164" s="22" t="str">
        <f t="shared" si="32"/>
        <v/>
      </c>
      <c r="AL164" s="22" t="str">
        <f t="shared" si="32"/>
        <v/>
      </c>
      <c r="AM164" s="22" t="str">
        <f t="shared" si="32"/>
        <v/>
      </c>
      <c r="AN164" s="22" t="str">
        <f t="shared" si="32"/>
        <v/>
      </c>
      <c r="AO164" s="22" t="str">
        <f t="shared" si="32"/>
        <v/>
      </c>
      <c r="AP164" s="22" t="str">
        <f t="shared" si="32"/>
        <v/>
      </c>
      <c r="AQ164" s="22" t="str">
        <f t="shared" si="32"/>
        <v/>
      </c>
      <c r="AR164" s="22" t="str">
        <f t="shared" si="32"/>
        <v/>
      </c>
      <c r="AS164" s="22" t="str">
        <f t="shared" si="32"/>
        <v/>
      </c>
      <c r="AT164" s="22" t="str">
        <f t="shared" si="31"/>
        <v/>
      </c>
      <c r="AU164" s="22" t="str">
        <f t="shared" si="31"/>
        <v/>
      </c>
      <c r="AV164" s="22" t="str">
        <f t="shared" si="31"/>
        <v/>
      </c>
      <c r="AW164" s="22" t="str">
        <f t="shared" si="31"/>
        <v/>
      </c>
      <c r="AX164" s="21" t="str">
        <f t="shared" si="31"/>
        <v/>
      </c>
    </row>
    <row r="165" spans="4:50" ht="14.5" thickBot="1" x14ac:dyDescent="0.35">
      <c r="D165" s="45">
        <v>1999</v>
      </c>
      <c r="E165" s="45" t="s">
        <v>93</v>
      </c>
      <c r="F165" s="45" t="s">
        <v>105</v>
      </c>
      <c r="G165" s="45" t="s">
        <v>106</v>
      </c>
      <c r="H165" s="45" t="s">
        <v>3</v>
      </c>
      <c r="I165" s="24"/>
      <c r="O165" s="1">
        <v>3</v>
      </c>
      <c r="P165" s="1">
        <v>4</v>
      </c>
      <c r="Q165" s="1">
        <v>4</v>
      </c>
      <c r="R165" s="1">
        <v>2</v>
      </c>
      <c r="S165" s="1">
        <v>3</v>
      </c>
      <c r="T165" s="1">
        <v>3</v>
      </c>
      <c r="AC165" s="25"/>
      <c r="AD165" s="24" t="str">
        <f t="shared" ref="AD165:AS187" si="35">IF(I165="-","",IF(I165/4*AD$126=0, "",I165/4*AD$126))</f>
        <v/>
      </c>
      <c r="AE165" s="1" t="str">
        <f t="shared" si="32"/>
        <v/>
      </c>
      <c r="AF165" s="1" t="str">
        <f t="shared" si="32"/>
        <v/>
      </c>
      <c r="AG165" s="1" t="str">
        <f t="shared" si="32"/>
        <v/>
      </c>
      <c r="AH165" s="1" t="str">
        <f t="shared" si="32"/>
        <v/>
      </c>
      <c r="AI165" s="1" t="str">
        <f t="shared" si="32"/>
        <v/>
      </c>
      <c r="AJ165" s="1">
        <f t="shared" si="32"/>
        <v>3</v>
      </c>
      <c r="AK165" s="1">
        <f t="shared" si="32"/>
        <v>4</v>
      </c>
      <c r="AL165" s="1">
        <f t="shared" si="32"/>
        <v>3</v>
      </c>
      <c r="AM165" s="1">
        <f t="shared" si="32"/>
        <v>1.5</v>
      </c>
      <c r="AN165" s="1">
        <f t="shared" si="32"/>
        <v>2.25</v>
      </c>
      <c r="AO165" s="1">
        <f t="shared" si="32"/>
        <v>2.25</v>
      </c>
      <c r="AP165" s="1" t="str">
        <f t="shared" si="32"/>
        <v/>
      </c>
      <c r="AQ165" s="1" t="str">
        <f t="shared" si="32"/>
        <v/>
      </c>
      <c r="AR165" s="1" t="str">
        <f t="shared" si="32"/>
        <v/>
      </c>
      <c r="AS165" s="1" t="str">
        <f t="shared" si="32"/>
        <v/>
      </c>
      <c r="AT165" s="1" t="str">
        <f t="shared" si="31"/>
        <v/>
      </c>
      <c r="AU165" s="1" t="str">
        <f t="shared" si="31"/>
        <v/>
      </c>
      <c r="AV165" s="1" t="str">
        <f t="shared" si="31"/>
        <v/>
      </c>
      <c r="AW165" s="1" t="str">
        <f t="shared" si="31"/>
        <v/>
      </c>
      <c r="AX165" s="25" t="str">
        <f t="shared" si="31"/>
        <v/>
      </c>
    </row>
    <row r="166" spans="4:50" ht="14.5" thickBot="1" x14ac:dyDescent="0.35">
      <c r="D166" s="45">
        <v>1999</v>
      </c>
      <c r="E166" s="45" t="s">
        <v>93</v>
      </c>
      <c r="F166" s="45" t="s">
        <v>105</v>
      </c>
      <c r="G166" s="45" t="s">
        <v>106</v>
      </c>
      <c r="H166" s="45" t="s">
        <v>68</v>
      </c>
      <c r="I166" s="24"/>
      <c r="U166" s="1">
        <v>1</v>
      </c>
      <c r="V166" s="1">
        <v>3</v>
      </c>
      <c r="W166" s="1">
        <v>3</v>
      </c>
      <c r="X166" s="1">
        <v>2</v>
      </c>
      <c r="Y166" s="1">
        <v>2</v>
      </c>
      <c r="AC166" s="25"/>
      <c r="AD166" s="24" t="str">
        <f t="shared" si="35"/>
        <v/>
      </c>
      <c r="AE166" s="1" t="str">
        <f t="shared" si="32"/>
        <v/>
      </c>
      <c r="AF166" s="1" t="str">
        <f t="shared" si="32"/>
        <v/>
      </c>
      <c r="AG166" s="1" t="str">
        <f t="shared" si="32"/>
        <v/>
      </c>
      <c r="AH166" s="1" t="str">
        <f t="shared" si="32"/>
        <v/>
      </c>
      <c r="AI166" s="1" t="str">
        <f t="shared" si="32"/>
        <v/>
      </c>
      <c r="AJ166" s="1" t="str">
        <f t="shared" si="32"/>
        <v/>
      </c>
      <c r="AK166" s="1" t="str">
        <f t="shared" si="32"/>
        <v/>
      </c>
      <c r="AL166" s="1" t="str">
        <f t="shared" si="32"/>
        <v/>
      </c>
      <c r="AM166" s="1" t="str">
        <f t="shared" si="32"/>
        <v/>
      </c>
      <c r="AN166" s="1" t="str">
        <f t="shared" si="32"/>
        <v/>
      </c>
      <c r="AO166" s="1" t="str">
        <f t="shared" si="32"/>
        <v/>
      </c>
      <c r="AP166" s="1">
        <f t="shared" si="32"/>
        <v>2.5</v>
      </c>
      <c r="AQ166" s="1">
        <f t="shared" si="32"/>
        <v>7.5</v>
      </c>
      <c r="AR166" s="1">
        <f t="shared" si="32"/>
        <v>0.9375</v>
      </c>
      <c r="AS166" s="1">
        <f t="shared" si="32"/>
        <v>0.625</v>
      </c>
      <c r="AT166" s="1">
        <f t="shared" si="31"/>
        <v>2.5</v>
      </c>
      <c r="AU166" s="1" t="str">
        <f t="shared" si="31"/>
        <v/>
      </c>
      <c r="AV166" s="1" t="str">
        <f t="shared" si="31"/>
        <v/>
      </c>
      <c r="AW166" s="1" t="str">
        <f t="shared" si="31"/>
        <v/>
      </c>
      <c r="AX166" s="25" t="str">
        <f t="shared" si="31"/>
        <v/>
      </c>
    </row>
    <row r="167" spans="4:50" ht="14.5" thickBot="1" x14ac:dyDescent="0.35">
      <c r="D167" s="45">
        <v>1999</v>
      </c>
      <c r="E167" s="45" t="s">
        <v>93</v>
      </c>
      <c r="F167" s="45" t="s">
        <v>105</v>
      </c>
      <c r="G167" s="45" t="s">
        <v>106</v>
      </c>
      <c r="H167" s="45" t="s">
        <v>5</v>
      </c>
      <c r="I167" s="24"/>
      <c r="Z167" s="1" t="s">
        <v>59</v>
      </c>
      <c r="AA167" s="1" t="s">
        <v>59</v>
      </c>
      <c r="AB167" s="1" t="s">
        <v>59</v>
      </c>
      <c r="AC167" s="25" t="s">
        <v>59</v>
      </c>
      <c r="AD167" s="24" t="str">
        <f t="shared" si="35"/>
        <v/>
      </c>
      <c r="AE167" s="1" t="str">
        <f t="shared" si="32"/>
        <v/>
      </c>
      <c r="AF167" s="1" t="str">
        <f t="shared" si="32"/>
        <v/>
      </c>
      <c r="AG167" s="1" t="str">
        <f t="shared" si="32"/>
        <v/>
      </c>
      <c r="AH167" s="1" t="str">
        <f t="shared" si="32"/>
        <v/>
      </c>
      <c r="AI167" s="1" t="str">
        <f t="shared" si="32"/>
        <v/>
      </c>
      <c r="AJ167" s="1" t="str">
        <f t="shared" si="32"/>
        <v/>
      </c>
      <c r="AK167" s="1" t="str">
        <f t="shared" si="32"/>
        <v/>
      </c>
      <c r="AL167" s="1" t="str">
        <f t="shared" si="32"/>
        <v/>
      </c>
      <c r="AM167" s="1" t="str">
        <f t="shared" si="32"/>
        <v/>
      </c>
      <c r="AN167" s="1" t="str">
        <f t="shared" si="32"/>
        <v/>
      </c>
      <c r="AO167" s="1" t="str">
        <f t="shared" si="32"/>
        <v/>
      </c>
      <c r="AP167" s="1" t="str">
        <f t="shared" si="32"/>
        <v/>
      </c>
      <c r="AQ167" s="1" t="str">
        <f t="shared" si="32"/>
        <v/>
      </c>
      <c r="AR167" s="1" t="str">
        <f t="shared" si="32"/>
        <v/>
      </c>
      <c r="AS167" s="1" t="str">
        <f t="shared" si="32"/>
        <v/>
      </c>
      <c r="AT167" s="1" t="str">
        <f t="shared" si="31"/>
        <v/>
      </c>
      <c r="AU167" s="1" t="str">
        <f t="shared" si="31"/>
        <v/>
      </c>
      <c r="AV167" s="1" t="str">
        <f t="shared" si="31"/>
        <v/>
      </c>
      <c r="AW167" s="1" t="str">
        <f t="shared" si="31"/>
        <v/>
      </c>
      <c r="AX167" s="25" t="str">
        <f t="shared" si="31"/>
        <v/>
      </c>
    </row>
    <row r="168" spans="4:50" ht="14.5" thickBot="1" x14ac:dyDescent="0.35">
      <c r="D168" s="45">
        <v>1999</v>
      </c>
      <c r="E168" s="45" t="s">
        <v>93</v>
      </c>
      <c r="F168" s="45" t="s">
        <v>103</v>
      </c>
      <c r="G168" s="45" t="s">
        <v>106</v>
      </c>
      <c r="H168" s="45" t="s">
        <v>2</v>
      </c>
      <c r="I168" s="24">
        <v>3</v>
      </c>
      <c r="J168" s="1">
        <v>1</v>
      </c>
      <c r="K168" s="1">
        <v>3</v>
      </c>
      <c r="L168" s="1">
        <v>2</v>
      </c>
      <c r="M168" s="1">
        <v>4</v>
      </c>
      <c r="N168" s="1">
        <v>1</v>
      </c>
      <c r="AC168" s="25"/>
      <c r="AD168" s="24">
        <f t="shared" si="35"/>
        <v>7.5</v>
      </c>
      <c r="AE168" s="1">
        <f t="shared" si="32"/>
        <v>2.5</v>
      </c>
      <c r="AF168" s="1">
        <f t="shared" si="32"/>
        <v>7.5</v>
      </c>
      <c r="AG168" s="1">
        <f t="shared" si="32"/>
        <v>1.25</v>
      </c>
      <c r="AH168" s="1">
        <f t="shared" si="32"/>
        <v>2.5</v>
      </c>
      <c r="AI168" s="1">
        <f t="shared" si="32"/>
        <v>2.5</v>
      </c>
      <c r="AJ168" s="1" t="str">
        <f t="shared" si="32"/>
        <v/>
      </c>
      <c r="AK168" s="1" t="str">
        <f t="shared" si="32"/>
        <v/>
      </c>
      <c r="AL168" s="1" t="str">
        <f t="shared" si="32"/>
        <v/>
      </c>
      <c r="AM168" s="1" t="str">
        <f t="shared" si="32"/>
        <v/>
      </c>
      <c r="AN168" s="1" t="str">
        <f t="shared" si="32"/>
        <v/>
      </c>
      <c r="AO168" s="1" t="str">
        <f t="shared" si="32"/>
        <v/>
      </c>
      <c r="AP168" s="1" t="str">
        <f t="shared" si="32"/>
        <v/>
      </c>
      <c r="AQ168" s="1" t="str">
        <f t="shared" si="32"/>
        <v/>
      </c>
      <c r="AR168" s="1" t="str">
        <f t="shared" si="32"/>
        <v/>
      </c>
      <c r="AS168" s="1" t="str">
        <f t="shared" si="32"/>
        <v/>
      </c>
      <c r="AT168" s="1" t="str">
        <f t="shared" si="31"/>
        <v/>
      </c>
      <c r="AU168" s="1" t="str">
        <f t="shared" si="31"/>
        <v/>
      </c>
      <c r="AV168" s="1" t="str">
        <f t="shared" si="31"/>
        <v/>
      </c>
      <c r="AW168" s="1" t="str">
        <f t="shared" si="31"/>
        <v/>
      </c>
      <c r="AX168" s="25" t="str">
        <f t="shared" si="31"/>
        <v/>
      </c>
    </row>
    <row r="169" spans="4:50" ht="14.5" thickBot="1" x14ac:dyDescent="0.35">
      <c r="D169" s="45">
        <v>1999</v>
      </c>
      <c r="E169" s="45" t="s">
        <v>93</v>
      </c>
      <c r="F169" s="45" t="s">
        <v>103</v>
      </c>
      <c r="G169" s="45" t="s">
        <v>106</v>
      </c>
      <c r="H169" s="45" t="s">
        <v>3</v>
      </c>
      <c r="I169" s="24"/>
      <c r="O169" s="1">
        <v>4</v>
      </c>
      <c r="P169" s="1">
        <v>2</v>
      </c>
      <c r="Q169" s="1">
        <v>3</v>
      </c>
      <c r="R169" s="1">
        <v>1</v>
      </c>
      <c r="S169" s="1">
        <v>1</v>
      </c>
      <c r="T169" s="1">
        <v>2</v>
      </c>
      <c r="AC169" s="25"/>
      <c r="AD169" s="24" t="str">
        <f t="shared" si="35"/>
        <v/>
      </c>
      <c r="AE169" s="1" t="str">
        <f t="shared" si="32"/>
        <v/>
      </c>
      <c r="AF169" s="1" t="str">
        <f t="shared" si="32"/>
        <v/>
      </c>
      <c r="AG169" s="1" t="str">
        <f t="shared" si="32"/>
        <v/>
      </c>
      <c r="AH169" s="1" t="str">
        <f t="shared" si="32"/>
        <v/>
      </c>
      <c r="AI169" s="1" t="str">
        <f t="shared" si="32"/>
        <v/>
      </c>
      <c r="AJ169" s="1">
        <f t="shared" si="32"/>
        <v>4</v>
      </c>
      <c r="AK169" s="1">
        <f t="shared" si="32"/>
        <v>2</v>
      </c>
      <c r="AL169" s="1">
        <f t="shared" si="32"/>
        <v>2.25</v>
      </c>
      <c r="AM169" s="1">
        <f t="shared" si="32"/>
        <v>0.75</v>
      </c>
      <c r="AN169" s="1">
        <f t="shared" si="32"/>
        <v>0.75</v>
      </c>
      <c r="AO169" s="1">
        <f t="shared" si="32"/>
        <v>1.5</v>
      </c>
      <c r="AP169" s="1" t="str">
        <f t="shared" si="32"/>
        <v/>
      </c>
      <c r="AQ169" s="1" t="str">
        <f t="shared" si="32"/>
        <v/>
      </c>
      <c r="AR169" s="1" t="str">
        <f t="shared" si="32"/>
        <v/>
      </c>
      <c r="AS169" s="1" t="str">
        <f t="shared" si="32"/>
        <v/>
      </c>
      <c r="AT169" s="1" t="str">
        <f t="shared" si="31"/>
        <v/>
      </c>
      <c r="AU169" s="1" t="str">
        <f t="shared" si="31"/>
        <v/>
      </c>
      <c r="AV169" s="1" t="str">
        <f t="shared" si="31"/>
        <v/>
      </c>
      <c r="AW169" s="1" t="str">
        <f t="shared" si="31"/>
        <v/>
      </c>
      <c r="AX169" s="25" t="str">
        <f t="shared" si="31"/>
        <v/>
      </c>
    </row>
    <row r="170" spans="4:50" ht="14.5" thickBot="1" x14ac:dyDescent="0.35">
      <c r="D170" s="45">
        <v>1999</v>
      </c>
      <c r="E170" s="45" t="s">
        <v>93</v>
      </c>
      <c r="F170" s="45" t="s">
        <v>103</v>
      </c>
      <c r="G170" s="45" t="s">
        <v>106</v>
      </c>
      <c r="H170" s="45" t="s">
        <v>68</v>
      </c>
      <c r="I170" s="24"/>
      <c r="U170" s="1">
        <v>3</v>
      </c>
      <c r="V170" s="1">
        <v>4</v>
      </c>
      <c r="W170" s="1">
        <v>2</v>
      </c>
      <c r="X170" s="1">
        <v>2</v>
      </c>
      <c r="Y170" s="1">
        <v>2</v>
      </c>
      <c r="AC170" s="25"/>
      <c r="AD170" s="24" t="str">
        <f t="shared" si="35"/>
        <v/>
      </c>
      <c r="AE170" s="1" t="str">
        <f t="shared" si="32"/>
        <v/>
      </c>
      <c r="AF170" s="1" t="str">
        <f t="shared" si="32"/>
        <v/>
      </c>
      <c r="AG170" s="1" t="str">
        <f t="shared" si="32"/>
        <v/>
      </c>
      <c r="AH170" s="1" t="str">
        <f t="shared" si="32"/>
        <v/>
      </c>
      <c r="AI170" s="1" t="str">
        <f t="shared" si="32"/>
        <v/>
      </c>
      <c r="AJ170" s="1" t="str">
        <f t="shared" si="32"/>
        <v/>
      </c>
      <c r="AK170" s="1" t="str">
        <f t="shared" si="32"/>
        <v/>
      </c>
      <c r="AL170" s="1" t="str">
        <f t="shared" si="32"/>
        <v/>
      </c>
      <c r="AM170" s="1" t="str">
        <f t="shared" si="32"/>
        <v/>
      </c>
      <c r="AN170" s="1" t="str">
        <f t="shared" si="32"/>
        <v/>
      </c>
      <c r="AO170" s="1" t="str">
        <f t="shared" si="32"/>
        <v/>
      </c>
      <c r="AP170" s="1">
        <f t="shared" si="32"/>
        <v>7.5</v>
      </c>
      <c r="AQ170" s="1">
        <f t="shared" si="32"/>
        <v>10</v>
      </c>
      <c r="AR170" s="1">
        <f t="shared" si="32"/>
        <v>0.625</v>
      </c>
      <c r="AS170" s="1">
        <f t="shared" si="32"/>
        <v>0.625</v>
      </c>
      <c r="AT170" s="1">
        <f t="shared" si="31"/>
        <v>2.5</v>
      </c>
      <c r="AU170" s="1" t="str">
        <f t="shared" si="31"/>
        <v/>
      </c>
      <c r="AV170" s="1" t="str">
        <f t="shared" si="31"/>
        <v/>
      </c>
      <c r="AW170" s="1" t="str">
        <f t="shared" si="31"/>
        <v/>
      </c>
      <c r="AX170" s="25" t="str">
        <f t="shared" si="31"/>
        <v/>
      </c>
    </row>
    <row r="171" spans="4:50" ht="14.5" thickBot="1" x14ac:dyDescent="0.35">
      <c r="D171" s="45">
        <v>1999</v>
      </c>
      <c r="E171" s="45" t="s">
        <v>93</v>
      </c>
      <c r="F171" s="45" t="s">
        <v>103</v>
      </c>
      <c r="G171" s="45" t="s">
        <v>106</v>
      </c>
      <c r="H171" s="45" t="s">
        <v>5</v>
      </c>
      <c r="I171" s="24"/>
      <c r="Z171" s="1" t="s">
        <v>59</v>
      </c>
      <c r="AA171" s="1" t="s">
        <v>59</v>
      </c>
      <c r="AB171" s="1" t="s">
        <v>59</v>
      </c>
      <c r="AC171" s="25" t="s">
        <v>59</v>
      </c>
      <c r="AD171" s="24" t="str">
        <f t="shared" si="35"/>
        <v/>
      </c>
      <c r="AE171" s="1" t="str">
        <f t="shared" si="32"/>
        <v/>
      </c>
      <c r="AF171" s="1" t="str">
        <f t="shared" si="32"/>
        <v/>
      </c>
      <c r="AG171" s="1" t="str">
        <f t="shared" si="32"/>
        <v/>
      </c>
      <c r="AH171" s="1" t="str">
        <f t="shared" si="32"/>
        <v/>
      </c>
      <c r="AI171" s="1" t="str">
        <f t="shared" si="32"/>
        <v/>
      </c>
      <c r="AJ171" s="1" t="str">
        <f t="shared" si="32"/>
        <v/>
      </c>
      <c r="AK171" s="1" t="str">
        <f t="shared" si="32"/>
        <v/>
      </c>
      <c r="AL171" s="1" t="str">
        <f t="shared" si="32"/>
        <v/>
      </c>
      <c r="AM171" s="1" t="str">
        <f t="shared" si="32"/>
        <v/>
      </c>
      <c r="AN171" s="1" t="str">
        <f t="shared" si="32"/>
        <v/>
      </c>
      <c r="AO171" s="1" t="str">
        <f t="shared" si="32"/>
        <v/>
      </c>
      <c r="AP171" s="1" t="str">
        <f t="shared" si="32"/>
        <v/>
      </c>
      <c r="AQ171" s="1" t="str">
        <f t="shared" si="32"/>
        <v/>
      </c>
      <c r="AR171" s="1" t="str">
        <f t="shared" si="32"/>
        <v/>
      </c>
      <c r="AS171" s="1" t="str">
        <f t="shared" si="32"/>
        <v/>
      </c>
      <c r="AT171" s="1" t="str">
        <f t="shared" si="31"/>
        <v/>
      </c>
      <c r="AU171" s="1" t="str">
        <f t="shared" si="31"/>
        <v/>
      </c>
      <c r="AV171" s="1" t="str">
        <f t="shared" si="31"/>
        <v/>
      </c>
      <c r="AW171" s="1" t="str">
        <f t="shared" si="31"/>
        <v/>
      </c>
      <c r="AX171" s="25" t="str">
        <f t="shared" si="31"/>
        <v/>
      </c>
    </row>
    <row r="172" spans="4:50" ht="14.5" thickBot="1" x14ac:dyDescent="0.35">
      <c r="D172" s="37">
        <v>1999</v>
      </c>
      <c r="E172" s="37" t="s">
        <v>96</v>
      </c>
      <c r="F172" s="37" t="s">
        <v>103</v>
      </c>
      <c r="G172" s="37" t="s">
        <v>106</v>
      </c>
      <c r="H172" s="37" t="s">
        <v>2</v>
      </c>
      <c r="I172" s="24">
        <v>2</v>
      </c>
      <c r="J172" s="1">
        <v>3</v>
      </c>
      <c r="K172" s="1">
        <v>4</v>
      </c>
      <c r="L172" s="1">
        <v>2</v>
      </c>
      <c r="M172" s="1">
        <v>3</v>
      </c>
      <c r="N172" s="1">
        <v>3</v>
      </c>
      <c r="AC172" s="25"/>
      <c r="AD172" s="24">
        <f t="shared" si="35"/>
        <v>5</v>
      </c>
      <c r="AE172" s="1">
        <f t="shared" si="32"/>
        <v>7.5</v>
      </c>
      <c r="AF172" s="1">
        <f t="shared" si="32"/>
        <v>10</v>
      </c>
      <c r="AG172" s="1">
        <f t="shared" si="32"/>
        <v>1.25</v>
      </c>
      <c r="AH172" s="1">
        <f t="shared" si="32"/>
        <v>1.875</v>
      </c>
      <c r="AI172" s="1">
        <f t="shared" si="32"/>
        <v>7.5</v>
      </c>
      <c r="AJ172" s="1" t="str">
        <f t="shared" si="32"/>
        <v/>
      </c>
      <c r="AK172" s="1" t="str">
        <f t="shared" si="32"/>
        <v/>
      </c>
      <c r="AL172" s="1" t="str">
        <f t="shared" si="32"/>
        <v/>
      </c>
      <c r="AM172" s="1" t="str">
        <f t="shared" si="32"/>
        <v/>
      </c>
      <c r="AN172" s="1" t="str">
        <f t="shared" si="32"/>
        <v/>
      </c>
      <c r="AO172" s="1" t="str">
        <f t="shared" si="32"/>
        <v/>
      </c>
      <c r="AP172" s="1" t="str">
        <f t="shared" si="32"/>
        <v/>
      </c>
      <c r="AQ172" s="1" t="str">
        <f t="shared" si="32"/>
        <v/>
      </c>
      <c r="AR172" s="1" t="str">
        <f t="shared" si="32"/>
        <v/>
      </c>
      <c r="AS172" s="1" t="str">
        <f t="shared" si="32"/>
        <v/>
      </c>
      <c r="AT172" s="1" t="str">
        <f t="shared" si="31"/>
        <v/>
      </c>
      <c r="AU172" s="1" t="str">
        <f t="shared" si="31"/>
        <v/>
      </c>
      <c r="AV172" s="1" t="str">
        <f t="shared" si="31"/>
        <v/>
      </c>
      <c r="AW172" s="1" t="str">
        <f t="shared" si="31"/>
        <v/>
      </c>
      <c r="AX172" s="25" t="str">
        <f t="shared" si="31"/>
        <v/>
      </c>
    </row>
    <row r="173" spans="4:50" ht="14.5" thickBot="1" x14ac:dyDescent="0.35">
      <c r="D173" s="37">
        <v>1999</v>
      </c>
      <c r="E173" s="37" t="s">
        <v>96</v>
      </c>
      <c r="F173" s="37" t="s">
        <v>103</v>
      </c>
      <c r="G173" s="37" t="s">
        <v>106</v>
      </c>
      <c r="H173" s="37" t="s">
        <v>3</v>
      </c>
      <c r="I173" s="24"/>
      <c r="O173" s="1">
        <v>2</v>
      </c>
      <c r="P173" s="1">
        <v>2</v>
      </c>
      <c r="Q173" s="1">
        <v>2</v>
      </c>
      <c r="R173" s="1">
        <v>2</v>
      </c>
      <c r="S173" s="1">
        <v>1</v>
      </c>
      <c r="T173" s="1">
        <v>1</v>
      </c>
      <c r="AC173" s="25"/>
      <c r="AD173" s="24" t="str">
        <f t="shared" si="35"/>
        <v/>
      </c>
      <c r="AE173" s="1" t="str">
        <f t="shared" si="35"/>
        <v/>
      </c>
      <c r="AF173" s="1" t="str">
        <f t="shared" si="35"/>
        <v/>
      </c>
      <c r="AG173" s="1" t="str">
        <f t="shared" si="35"/>
        <v/>
      </c>
      <c r="AH173" s="1" t="str">
        <f t="shared" si="35"/>
        <v/>
      </c>
      <c r="AI173" s="1" t="str">
        <f t="shared" si="35"/>
        <v/>
      </c>
      <c r="AJ173" s="1">
        <f t="shared" si="35"/>
        <v>2</v>
      </c>
      <c r="AK173" s="1">
        <f t="shared" si="35"/>
        <v>2</v>
      </c>
      <c r="AL173" s="1">
        <f t="shared" si="35"/>
        <v>1.5</v>
      </c>
      <c r="AM173" s="1">
        <f t="shared" si="35"/>
        <v>1.5</v>
      </c>
      <c r="AN173" s="1">
        <f t="shared" si="35"/>
        <v>0.75</v>
      </c>
      <c r="AO173" s="1">
        <f t="shared" si="35"/>
        <v>0.75</v>
      </c>
      <c r="AP173" s="1" t="str">
        <f t="shared" si="35"/>
        <v/>
      </c>
      <c r="AQ173" s="1" t="str">
        <f t="shared" si="35"/>
        <v/>
      </c>
      <c r="AR173" s="1" t="str">
        <f t="shared" si="35"/>
        <v/>
      </c>
      <c r="AS173" s="1" t="str">
        <f t="shared" si="35"/>
        <v/>
      </c>
      <c r="AT173" s="1" t="str">
        <f t="shared" si="31"/>
        <v/>
      </c>
      <c r="AU173" s="1" t="str">
        <f t="shared" si="31"/>
        <v/>
      </c>
      <c r="AV173" s="1" t="str">
        <f t="shared" si="31"/>
        <v/>
      </c>
      <c r="AW173" s="1" t="str">
        <f t="shared" si="31"/>
        <v/>
      </c>
      <c r="AX173" s="25" t="str">
        <f t="shared" si="31"/>
        <v/>
      </c>
    </row>
    <row r="174" spans="4:50" ht="14.5" thickBot="1" x14ac:dyDescent="0.35">
      <c r="D174" s="37">
        <v>1999</v>
      </c>
      <c r="E174" s="37" t="s">
        <v>96</v>
      </c>
      <c r="F174" s="37" t="s">
        <v>103</v>
      </c>
      <c r="G174" s="37" t="s">
        <v>106</v>
      </c>
      <c r="H174" s="37" t="s">
        <v>68</v>
      </c>
      <c r="I174" s="24"/>
      <c r="U174" s="1">
        <v>2</v>
      </c>
      <c r="V174" s="1">
        <v>3</v>
      </c>
      <c r="W174" s="1">
        <v>2</v>
      </c>
      <c r="X174" s="1">
        <v>1</v>
      </c>
      <c r="Y174" s="1">
        <v>2</v>
      </c>
      <c r="AC174" s="25"/>
      <c r="AD174" s="24" t="str">
        <f t="shared" si="35"/>
        <v/>
      </c>
      <c r="AE174" s="1" t="str">
        <f t="shared" si="35"/>
        <v/>
      </c>
      <c r="AF174" s="1" t="str">
        <f t="shared" si="35"/>
        <v/>
      </c>
      <c r="AG174" s="1" t="str">
        <f t="shared" si="35"/>
        <v/>
      </c>
      <c r="AH174" s="1" t="str">
        <f t="shared" si="35"/>
        <v/>
      </c>
      <c r="AI174" s="1" t="str">
        <f t="shared" si="35"/>
        <v/>
      </c>
      <c r="AJ174" s="1" t="str">
        <f t="shared" si="35"/>
        <v/>
      </c>
      <c r="AK174" s="1" t="str">
        <f t="shared" si="35"/>
        <v/>
      </c>
      <c r="AL174" s="1" t="str">
        <f t="shared" si="35"/>
        <v/>
      </c>
      <c r="AM174" s="1" t="str">
        <f t="shared" si="35"/>
        <v/>
      </c>
      <c r="AN174" s="1" t="str">
        <f t="shared" si="35"/>
        <v/>
      </c>
      <c r="AO174" s="1" t="str">
        <f t="shared" si="35"/>
        <v/>
      </c>
      <c r="AP174" s="1">
        <f t="shared" si="35"/>
        <v>5</v>
      </c>
      <c r="AQ174" s="1">
        <f t="shared" si="35"/>
        <v>7.5</v>
      </c>
      <c r="AR174" s="1">
        <f t="shared" si="35"/>
        <v>0.625</v>
      </c>
      <c r="AS174" s="1">
        <f t="shared" si="35"/>
        <v>0.3125</v>
      </c>
      <c r="AT174" s="1">
        <f t="shared" si="31"/>
        <v>2.5</v>
      </c>
      <c r="AU174" s="1" t="str">
        <f t="shared" si="31"/>
        <v/>
      </c>
      <c r="AV174" s="1" t="str">
        <f t="shared" si="31"/>
        <v/>
      </c>
      <c r="AW174" s="1" t="str">
        <f t="shared" si="31"/>
        <v/>
      </c>
      <c r="AX174" s="25" t="str">
        <f t="shared" si="31"/>
        <v/>
      </c>
    </row>
    <row r="175" spans="4:50" ht="14.5" thickBot="1" x14ac:dyDescent="0.35">
      <c r="D175" s="37">
        <v>1999</v>
      </c>
      <c r="E175" s="37" t="s">
        <v>96</v>
      </c>
      <c r="F175" s="37" t="s">
        <v>103</v>
      </c>
      <c r="G175" s="37" t="s">
        <v>106</v>
      </c>
      <c r="H175" s="37" t="s">
        <v>5</v>
      </c>
      <c r="I175" s="24"/>
      <c r="Z175" s="1" t="s">
        <v>59</v>
      </c>
      <c r="AA175" s="1" t="s">
        <v>59</v>
      </c>
      <c r="AB175" s="1" t="s">
        <v>59</v>
      </c>
      <c r="AC175" s="25" t="s">
        <v>59</v>
      </c>
      <c r="AD175" s="24" t="str">
        <f t="shared" si="35"/>
        <v/>
      </c>
      <c r="AE175" s="1" t="str">
        <f t="shared" si="35"/>
        <v/>
      </c>
      <c r="AF175" s="1" t="str">
        <f t="shared" si="35"/>
        <v/>
      </c>
      <c r="AG175" s="1" t="str">
        <f t="shared" si="35"/>
        <v/>
      </c>
      <c r="AH175" s="1" t="str">
        <f t="shared" si="35"/>
        <v/>
      </c>
      <c r="AI175" s="1" t="str">
        <f t="shared" si="35"/>
        <v/>
      </c>
      <c r="AJ175" s="1" t="str">
        <f t="shared" si="35"/>
        <v/>
      </c>
      <c r="AK175" s="1" t="str">
        <f t="shared" si="35"/>
        <v/>
      </c>
      <c r="AL175" s="1" t="str">
        <f t="shared" si="35"/>
        <v/>
      </c>
      <c r="AM175" s="1" t="str">
        <f t="shared" si="35"/>
        <v/>
      </c>
      <c r="AN175" s="1" t="str">
        <f t="shared" si="35"/>
        <v/>
      </c>
      <c r="AO175" s="1" t="str">
        <f t="shared" si="35"/>
        <v/>
      </c>
      <c r="AP175" s="1" t="str">
        <f t="shared" si="35"/>
        <v/>
      </c>
      <c r="AQ175" s="1" t="str">
        <f t="shared" si="35"/>
        <v/>
      </c>
      <c r="AR175" s="1" t="str">
        <f t="shared" si="35"/>
        <v/>
      </c>
      <c r="AS175" s="1" t="str">
        <f t="shared" si="35"/>
        <v/>
      </c>
      <c r="AT175" s="1" t="str">
        <f t="shared" si="31"/>
        <v/>
      </c>
      <c r="AU175" s="1" t="str">
        <f t="shared" si="31"/>
        <v/>
      </c>
      <c r="AV175" s="1" t="str">
        <f t="shared" si="31"/>
        <v/>
      </c>
      <c r="AW175" s="1" t="str">
        <f t="shared" si="31"/>
        <v/>
      </c>
      <c r="AX175" s="25" t="str">
        <f t="shared" si="31"/>
        <v/>
      </c>
    </row>
    <row r="176" spans="4:50" ht="14.5" thickBot="1" x14ac:dyDescent="0.35">
      <c r="D176" s="45">
        <v>1999</v>
      </c>
      <c r="E176" s="45" t="s">
        <v>97</v>
      </c>
      <c r="F176" s="45" t="s">
        <v>105</v>
      </c>
      <c r="G176" s="45" t="s">
        <v>106</v>
      </c>
      <c r="H176" s="45" t="s">
        <v>2</v>
      </c>
      <c r="I176" s="24">
        <v>4</v>
      </c>
      <c r="J176" s="1">
        <v>2</v>
      </c>
      <c r="K176" s="1">
        <v>4</v>
      </c>
      <c r="L176" s="1">
        <v>2</v>
      </c>
      <c r="M176" s="1">
        <v>2</v>
      </c>
      <c r="N176" s="1">
        <v>4</v>
      </c>
      <c r="AC176" s="25"/>
      <c r="AD176" s="24">
        <f t="shared" si="35"/>
        <v>10</v>
      </c>
      <c r="AE176" s="1">
        <f t="shared" si="35"/>
        <v>5</v>
      </c>
      <c r="AF176" s="1">
        <f t="shared" si="35"/>
        <v>10</v>
      </c>
      <c r="AG176" s="1">
        <f t="shared" si="35"/>
        <v>1.25</v>
      </c>
      <c r="AH176" s="1">
        <f t="shared" si="35"/>
        <v>1.25</v>
      </c>
      <c r="AI176" s="1">
        <f t="shared" si="35"/>
        <v>10</v>
      </c>
      <c r="AJ176" s="1" t="str">
        <f t="shared" si="35"/>
        <v/>
      </c>
      <c r="AK176" s="1" t="str">
        <f t="shared" si="35"/>
        <v/>
      </c>
      <c r="AL176" s="1" t="str">
        <f t="shared" si="35"/>
        <v/>
      </c>
      <c r="AM176" s="1" t="str">
        <f t="shared" si="35"/>
        <v/>
      </c>
      <c r="AN176" s="1" t="str">
        <f t="shared" si="35"/>
        <v/>
      </c>
      <c r="AO176" s="1" t="str">
        <f t="shared" si="35"/>
        <v/>
      </c>
      <c r="AP176" s="1" t="str">
        <f t="shared" si="35"/>
        <v/>
      </c>
      <c r="AQ176" s="1" t="str">
        <f t="shared" si="35"/>
        <v/>
      </c>
      <c r="AR176" s="1" t="str">
        <f t="shared" si="35"/>
        <v/>
      </c>
      <c r="AS176" s="1" t="str">
        <f t="shared" si="35"/>
        <v/>
      </c>
      <c r="AT176" s="1" t="str">
        <f t="shared" ref="AT176:AX187" si="36">IF(Y176="-","",IF(Y176/4*AT$126=0, "",Y176/4*AT$126))</f>
        <v/>
      </c>
      <c r="AU176" s="1" t="str">
        <f t="shared" si="36"/>
        <v/>
      </c>
      <c r="AV176" s="1" t="str">
        <f t="shared" si="36"/>
        <v/>
      </c>
      <c r="AW176" s="1" t="str">
        <f t="shared" si="36"/>
        <v/>
      </c>
      <c r="AX176" s="25" t="str">
        <f t="shared" si="36"/>
        <v/>
      </c>
    </row>
    <row r="177" spans="4:50" ht="14.5" thickBot="1" x14ac:dyDescent="0.35">
      <c r="D177" s="45">
        <v>1999</v>
      </c>
      <c r="E177" s="45" t="s">
        <v>97</v>
      </c>
      <c r="F177" s="45" t="s">
        <v>105</v>
      </c>
      <c r="G177" s="45" t="s">
        <v>106</v>
      </c>
      <c r="H177" s="45" t="s">
        <v>3</v>
      </c>
      <c r="I177" s="24"/>
      <c r="O177" s="1">
        <v>4</v>
      </c>
      <c r="P177" s="1">
        <v>2</v>
      </c>
      <c r="Q177" s="1">
        <v>2</v>
      </c>
      <c r="R177" s="1">
        <v>1</v>
      </c>
      <c r="S177" s="1">
        <v>2</v>
      </c>
      <c r="T177" s="1">
        <v>1</v>
      </c>
      <c r="AC177" s="25"/>
      <c r="AD177" s="24" t="str">
        <f t="shared" si="35"/>
        <v/>
      </c>
      <c r="AE177" s="1" t="str">
        <f t="shared" si="35"/>
        <v/>
      </c>
      <c r="AF177" s="1" t="str">
        <f t="shared" si="35"/>
        <v/>
      </c>
      <c r="AG177" s="1" t="str">
        <f t="shared" si="35"/>
        <v/>
      </c>
      <c r="AH177" s="1" t="str">
        <f t="shared" si="35"/>
        <v/>
      </c>
      <c r="AI177" s="1" t="str">
        <f t="shared" si="35"/>
        <v/>
      </c>
      <c r="AJ177" s="1">
        <f t="shared" si="35"/>
        <v>4</v>
      </c>
      <c r="AK177" s="1">
        <f t="shared" si="35"/>
        <v>2</v>
      </c>
      <c r="AL177" s="1">
        <f t="shared" si="35"/>
        <v>1.5</v>
      </c>
      <c r="AM177" s="1">
        <f t="shared" si="35"/>
        <v>0.75</v>
      </c>
      <c r="AN177" s="1">
        <f t="shared" si="35"/>
        <v>1.5</v>
      </c>
      <c r="AO177" s="1">
        <f t="shared" si="35"/>
        <v>0.75</v>
      </c>
      <c r="AP177" s="1" t="str">
        <f t="shared" si="35"/>
        <v/>
      </c>
      <c r="AQ177" s="1" t="str">
        <f t="shared" si="35"/>
        <v/>
      </c>
      <c r="AR177" s="1" t="str">
        <f t="shared" si="35"/>
        <v/>
      </c>
      <c r="AS177" s="1" t="str">
        <f t="shared" si="35"/>
        <v/>
      </c>
      <c r="AT177" s="1" t="str">
        <f t="shared" si="36"/>
        <v/>
      </c>
      <c r="AU177" s="1" t="str">
        <f t="shared" si="36"/>
        <v/>
      </c>
      <c r="AV177" s="1" t="str">
        <f t="shared" si="36"/>
        <v/>
      </c>
      <c r="AW177" s="1" t="str">
        <f t="shared" si="36"/>
        <v/>
      </c>
      <c r="AX177" s="25" t="str">
        <f t="shared" si="36"/>
        <v/>
      </c>
    </row>
    <row r="178" spans="4:50" ht="14.5" thickBot="1" x14ac:dyDescent="0.35">
      <c r="D178" s="45">
        <v>1999</v>
      </c>
      <c r="E178" s="45" t="s">
        <v>97</v>
      </c>
      <c r="F178" s="45" t="s">
        <v>105</v>
      </c>
      <c r="G178" s="45" t="s">
        <v>106</v>
      </c>
      <c r="H178" s="45" t="s">
        <v>68</v>
      </c>
      <c r="I178" s="24"/>
      <c r="U178" s="1">
        <v>1</v>
      </c>
      <c r="V178" s="1">
        <v>4</v>
      </c>
      <c r="W178" s="1">
        <v>4</v>
      </c>
      <c r="X178" s="1">
        <v>2</v>
      </c>
      <c r="Y178" s="1">
        <v>1</v>
      </c>
      <c r="AC178" s="25"/>
      <c r="AD178" s="24" t="str">
        <f t="shared" si="35"/>
        <v/>
      </c>
      <c r="AE178" s="1" t="str">
        <f t="shared" si="35"/>
        <v/>
      </c>
      <c r="AF178" s="1" t="str">
        <f t="shared" si="35"/>
        <v/>
      </c>
      <c r="AG178" s="1" t="str">
        <f t="shared" si="35"/>
        <v/>
      </c>
      <c r="AH178" s="1" t="str">
        <f t="shared" si="35"/>
        <v/>
      </c>
      <c r="AI178" s="1" t="str">
        <f t="shared" si="35"/>
        <v/>
      </c>
      <c r="AJ178" s="1" t="str">
        <f t="shared" si="35"/>
        <v/>
      </c>
      <c r="AK178" s="1" t="str">
        <f t="shared" si="35"/>
        <v/>
      </c>
      <c r="AL178" s="1" t="str">
        <f t="shared" si="35"/>
        <v/>
      </c>
      <c r="AM178" s="1" t="str">
        <f t="shared" si="35"/>
        <v/>
      </c>
      <c r="AN178" s="1" t="str">
        <f t="shared" si="35"/>
        <v/>
      </c>
      <c r="AO178" s="1" t="str">
        <f t="shared" si="35"/>
        <v/>
      </c>
      <c r="AP178" s="1">
        <f t="shared" si="35"/>
        <v>2.5</v>
      </c>
      <c r="AQ178" s="1">
        <f t="shared" si="35"/>
        <v>10</v>
      </c>
      <c r="AR178" s="1">
        <f t="shared" si="35"/>
        <v>1.25</v>
      </c>
      <c r="AS178" s="1">
        <f t="shared" si="35"/>
        <v>0.625</v>
      </c>
      <c r="AT178" s="1">
        <f t="shared" si="36"/>
        <v>1.25</v>
      </c>
      <c r="AU178" s="1" t="str">
        <f t="shared" si="36"/>
        <v/>
      </c>
      <c r="AV178" s="1" t="str">
        <f t="shared" si="36"/>
        <v/>
      </c>
      <c r="AW178" s="1" t="str">
        <f t="shared" si="36"/>
        <v/>
      </c>
      <c r="AX178" s="25" t="str">
        <f t="shared" si="36"/>
        <v/>
      </c>
    </row>
    <row r="179" spans="4:50" ht="14.5" thickBot="1" x14ac:dyDescent="0.35">
      <c r="D179" s="45">
        <v>1999</v>
      </c>
      <c r="E179" s="45" t="s">
        <v>97</v>
      </c>
      <c r="F179" s="45" t="s">
        <v>105</v>
      </c>
      <c r="G179" s="45" t="s">
        <v>106</v>
      </c>
      <c r="H179" s="45" t="s">
        <v>5</v>
      </c>
      <c r="I179" s="24"/>
      <c r="Z179" s="1" t="s">
        <v>59</v>
      </c>
      <c r="AA179" s="1" t="s">
        <v>59</v>
      </c>
      <c r="AB179" s="1" t="s">
        <v>59</v>
      </c>
      <c r="AC179" s="25" t="s">
        <v>59</v>
      </c>
      <c r="AD179" s="24" t="str">
        <f t="shared" si="35"/>
        <v/>
      </c>
      <c r="AE179" s="1" t="str">
        <f t="shared" si="35"/>
        <v/>
      </c>
      <c r="AF179" s="1" t="str">
        <f t="shared" si="35"/>
        <v/>
      </c>
      <c r="AG179" s="1" t="str">
        <f t="shared" si="35"/>
        <v/>
      </c>
      <c r="AH179" s="1" t="str">
        <f t="shared" si="35"/>
        <v/>
      </c>
      <c r="AI179" s="1" t="str">
        <f t="shared" si="35"/>
        <v/>
      </c>
      <c r="AJ179" s="1" t="str">
        <f t="shared" si="35"/>
        <v/>
      </c>
      <c r="AK179" s="1" t="str">
        <f t="shared" si="35"/>
        <v/>
      </c>
      <c r="AL179" s="1" t="str">
        <f t="shared" si="35"/>
        <v/>
      </c>
      <c r="AM179" s="1" t="str">
        <f t="shared" si="35"/>
        <v/>
      </c>
      <c r="AN179" s="1" t="str">
        <f t="shared" si="35"/>
        <v/>
      </c>
      <c r="AO179" s="1" t="str">
        <f t="shared" si="35"/>
        <v/>
      </c>
      <c r="AP179" s="1" t="str">
        <f t="shared" si="35"/>
        <v/>
      </c>
      <c r="AQ179" s="1" t="str">
        <f t="shared" si="35"/>
        <v/>
      </c>
      <c r="AR179" s="1" t="str">
        <f t="shared" si="35"/>
        <v/>
      </c>
      <c r="AS179" s="1" t="str">
        <f t="shared" si="35"/>
        <v/>
      </c>
      <c r="AT179" s="1" t="str">
        <f t="shared" si="36"/>
        <v/>
      </c>
      <c r="AU179" s="1" t="str">
        <f t="shared" si="36"/>
        <v/>
      </c>
      <c r="AV179" s="1" t="str">
        <f t="shared" si="36"/>
        <v/>
      </c>
      <c r="AW179" s="1" t="str">
        <f t="shared" si="36"/>
        <v/>
      </c>
      <c r="AX179" s="25" t="str">
        <f t="shared" si="36"/>
        <v/>
      </c>
    </row>
    <row r="180" spans="4:50" ht="14.5" thickBot="1" x14ac:dyDescent="0.35">
      <c r="D180" s="45">
        <v>1999</v>
      </c>
      <c r="E180" s="45" t="s">
        <v>97</v>
      </c>
      <c r="F180" s="45" t="s">
        <v>103</v>
      </c>
      <c r="G180" s="45" t="s">
        <v>106</v>
      </c>
      <c r="H180" s="45" t="s">
        <v>2</v>
      </c>
      <c r="I180" s="24">
        <v>1</v>
      </c>
      <c r="J180" s="1">
        <v>2</v>
      </c>
      <c r="K180" s="1">
        <v>2</v>
      </c>
      <c r="L180" s="1">
        <v>1</v>
      </c>
      <c r="M180" s="1">
        <v>3</v>
      </c>
      <c r="N180" s="1">
        <v>4</v>
      </c>
      <c r="AC180" s="25"/>
      <c r="AD180" s="24">
        <f t="shared" si="35"/>
        <v>2.5</v>
      </c>
      <c r="AE180" s="1">
        <f t="shared" si="35"/>
        <v>5</v>
      </c>
      <c r="AF180" s="1">
        <f t="shared" si="35"/>
        <v>5</v>
      </c>
      <c r="AG180" s="1">
        <f t="shared" si="35"/>
        <v>0.625</v>
      </c>
      <c r="AH180" s="1">
        <f t="shared" si="35"/>
        <v>1.875</v>
      </c>
      <c r="AI180" s="1">
        <f t="shared" si="35"/>
        <v>10</v>
      </c>
      <c r="AJ180" s="1" t="str">
        <f t="shared" si="35"/>
        <v/>
      </c>
      <c r="AK180" s="1" t="str">
        <f t="shared" si="35"/>
        <v/>
      </c>
      <c r="AL180" s="1" t="str">
        <f t="shared" si="35"/>
        <v/>
      </c>
      <c r="AM180" s="1" t="str">
        <f t="shared" si="35"/>
        <v/>
      </c>
      <c r="AN180" s="1" t="str">
        <f t="shared" si="35"/>
        <v/>
      </c>
      <c r="AO180" s="1" t="str">
        <f t="shared" si="35"/>
        <v/>
      </c>
      <c r="AP180" s="1" t="str">
        <f t="shared" si="35"/>
        <v/>
      </c>
      <c r="AQ180" s="1" t="str">
        <f t="shared" si="35"/>
        <v/>
      </c>
      <c r="AR180" s="1" t="str">
        <f t="shared" si="35"/>
        <v/>
      </c>
      <c r="AS180" s="1" t="str">
        <f t="shared" si="35"/>
        <v/>
      </c>
      <c r="AT180" s="1" t="str">
        <f t="shared" si="36"/>
        <v/>
      </c>
      <c r="AU180" s="1" t="str">
        <f t="shared" si="36"/>
        <v/>
      </c>
      <c r="AV180" s="1" t="str">
        <f t="shared" si="36"/>
        <v/>
      </c>
      <c r="AW180" s="1" t="str">
        <f t="shared" si="36"/>
        <v/>
      </c>
      <c r="AX180" s="25" t="str">
        <f t="shared" si="36"/>
        <v/>
      </c>
    </row>
    <row r="181" spans="4:50" ht="14.5" thickBot="1" x14ac:dyDescent="0.35">
      <c r="D181" s="45">
        <v>1999</v>
      </c>
      <c r="E181" s="45" t="s">
        <v>97</v>
      </c>
      <c r="F181" s="45" t="s">
        <v>103</v>
      </c>
      <c r="G181" s="45" t="s">
        <v>106</v>
      </c>
      <c r="H181" s="45" t="s">
        <v>3</v>
      </c>
      <c r="I181" s="24"/>
      <c r="O181" s="1">
        <v>4</v>
      </c>
      <c r="P181" s="1">
        <v>1</v>
      </c>
      <c r="Q181" s="1">
        <v>2</v>
      </c>
      <c r="R181" s="1">
        <v>3</v>
      </c>
      <c r="S181" s="1">
        <v>1</v>
      </c>
      <c r="T181" s="1">
        <v>3</v>
      </c>
      <c r="AC181" s="25"/>
      <c r="AD181" s="24" t="str">
        <f t="shared" si="35"/>
        <v/>
      </c>
      <c r="AE181" s="1" t="str">
        <f t="shared" si="35"/>
        <v/>
      </c>
      <c r="AF181" s="1" t="str">
        <f t="shared" si="35"/>
        <v/>
      </c>
      <c r="AG181" s="1" t="str">
        <f t="shared" si="35"/>
        <v/>
      </c>
      <c r="AH181" s="1" t="str">
        <f t="shared" si="35"/>
        <v/>
      </c>
      <c r="AI181" s="1" t="str">
        <f t="shared" si="35"/>
        <v/>
      </c>
      <c r="AJ181" s="1">
        <f t="shared" si="35"/>
        <v>4</v>
      </c>
      <c r="AK181" s="1">
        <f t="shared" si="35"/>
        <v>1</v>
      </c>
      <c r="AL181" s="1">
        <f t="shared" si="35"/>
        <v>1.5</v>
      </c>
      <c r="AM181" s="1">
        <f t="shared" si="35"/>
        <v>2.25</v>
      </c>
      <c r="AN181" s="1">
        <f t="shared" si="35"/>
        <v>0.75</v>
      </c>
      <c r="AO181" s="1">
        <f t="shared" si="35"/>
        <v>2.25</v>
      </c>
      <c r="AP181" s="1" t="str">
        <f t="shared" si="35"/>
        <v/>
      </c>
      <c r="AQ181" s="1" t="str">
        <f t="shared" si="35"/>
        <v/>
      </c>
      <c r="AR181" s="1" t="str">
        <f t="shared" si="35"/>
        <v/>
      </c>
      <c r="AS181" s="1" t="str">
        <f t="shared" si="35"/>
        <v/>
      </c>
      <c r="AT181" s="1" t="str">
        <f t="shared" si="36"/>
        <v/>
      </c>
      <c r="AU181" s="1" t="str">
        <f t="shared" si="36"/>
        <v/>
      </c>
      <c r="AV181" s="1" t="str">
        <f t="shared" si="36"/>
        <v/>
      </c>
      <c r="AW181" s="1" t="str">
        <f t="shared" si="36"/>
        <v/>
      </c>
      <c r="AX181" s="25" t="str">
        <f t="shared" si="36"/>
        <v/>
      </c>
    </row>
    <row r="182" spans="4:50" ht="14.5" thickBot="1" x14ac:dyDescent="0.35">
      <c r="D182" s="45">
        <v>1999</v>
      </c>
      <c r="E182" s="45" t="s">
        <v>97</v>
      </c>
      <c r="F182" s="45" t="s">
        <v>103</v>
      </c>
      <c r="G182" s="45" t="s">
        <v>106</v>
      </c>
      <c r="H182" s="45" t="s">
        <v>68</v>
      </c>
      <c r="I182" s="24"/>
      <c r="U182" s="1">
        <v>2</v>
      </c>
      <c r="V182" s="1">
        <v>1</v>
      </c>
      <c r="W182" s="1">
        <v>2</v>
      </c>
      <c r="X182" s="1">
        <v>2</v>
      </c>
      <c r="Y182" s="1">
        <v>1</v>
      </c>
      <c r="AC182" s="25"/>
      <c r="AD182" s="24" t="str">
        <f t="shared" si="35"/>
        <v/>
      </c>
      <c r="AE182" s="1" t="str">
        <f t="shared" si="35"/>
        <v/>
      </c>
      <c r="AF182" s="1" t="str">
        <f t="shared" si="35"/>
        <v/>
      </c>
      <c r="AG182" s="1" t="str">
        <f t="shared" si="35"/>
        <v/>
      </c>
      <c r="AH182" s="1" t="str">
        <f t="shared" si="35"/>
        <v/>
      </c>
      <c r="AI182" s="1" t="str">
        <f t="shared" si="35"/>
        <v/>
      </c>
      <c r="AJ182" s="1" t="str">
        <f t="shared" si="35"/>
        <v/>
      </c>
      <c r="AK182" s="1" t="str">
        <f t="shared" si="35"/>
        <v/>
      </c>
      <c r="AL182" s="1" t="str">
        <f t="shared" si="35"/>
        <v/>
      </c>
      <c r="AM182" s="1" t="str">
        <f t="shared" si="35"/>
        <v/>
      </c>
      <c r="AN182" s="1" t="str">
        <f t="shared" si="35"/>
        <v/>
      </c>
      <c r="AO182" s="1" t="str">
        <f t="shared" si="35"/>
        <v/>
      </c>
      <c r="AP182" s="1">
        <f t="shared" si="35"/>
        <v>5</v>
      </c>
      <c r="AQ182" s="1">
        <f t="shared" si="35"/>
        <v>2.5</v>
      </c>
      <c r="AR182" s="1">
        <f t="shared" si="35"/>
        <v>0.625</v>
      </c>
      <c r="AS182" s="1">
        <f t="shared" si="35"/>
        <v>0.625</v>
      </c>
      <c r="AT182" s="1">
        <f t="shared" si="36"/>
        <v>1.25</v>
      </c>
      <c r="AU182" s="1" t="str">
        <f t="shared" si="36"/>
        <v/>
      </c>
      <c r="AV182" s="1" t="str">
        <f t="shared" si="36"/>
        <v/>
      </c>
      <c r="AW182" s="1" t="str">
        <f t="shared" si="36"/>
        <v/>
      </c>
      <c r="AX182" s="25" t="str">
        <f t="shared" si="36"/>
        <v/>
      </c>
    </row>
    <row r="183" spans="4:50" ht="14.5" thickBot="1" x14ac:dyDescent="0.35">
      <c r="D183" s="45">
        <v>1999</v>
      </c>
      <c r="E183" s="45" t="s">
        <v>97</v>
      </c>
      <c r="F183" s="45" t="s">
        <v>103</v>
      </c>
      <c r="G183" s="45" t="s">
        <v>106</v>
      </c>
      <c r="H183" s="45" t="s">
        <v>5</v>
      </c>
      <c r="I183" s="24"/>
      <c r="Z183" s="1" t="s">
        <v>59</v>
      </c>
      <c r="AA183" s="1" t="s">
        <v>59</v>
      </c>
      <c r="AB183" s="1" t="s">
        <v>59</v>
      </c>
      <c r="AC183" s="25" t="s">
        <v>59</v>
      </c>
      <c r="AD183" s="24" t="str">
        <f t="shared" si="35"/>
        <v/>
      </c>
      <c r="AE183" s="1" t="str">
        <f t="shared" si="35"/>
        <v/>
      </c>
      <c r="AF183" s="1" t="str">
        <f t="shared" si="35"/>
        <v/>
      </c>
      <c r="AG183" s="1" t="str">
        <f t="shared" si="35"/>
        <v/>
      </c>
      <c r="AH183" s="1" t="str">
        <f t="shared" si="35"/>
        <v/>
      </c>
      <c r="AI183" s="1" t="str">
        <f t="shared" si="35"/>
        <v/>
      </c>
      <c r="AJ183" s="1" t="str">
        <f t="shared" si="35"/>
        <v/>
      </c>
      <c r="AK183" s="1" t="str">
        <f t="shared" si="35"/>
        <v/>
      </c>
      <c r="AL183" s="1" t="str">
        <f t="shared" si="35"/>
        <v/>
      </c>
      <c r="AM183" s="1" t="str">
        <f t="shared" si="35"/>
        <v/>
      </c>
      <c r="AN183" s="1" t="str">
        <f t="shared" si="35"/>
        <v/>
      </c>
      <c r="AO183" s="1" t="str">
        <f t="shared" si="35"/>
        <v/>
      </c>
      <c r="AP183" s="1" t="str">
        <f t="shared" si="35"/>
        <v/>
      </c>
      <c r="AQ183" s="1" t="str">
        <f t="shared" si="35"/>
        <v/>
      </c>
      <c r="AR183" s="1" t="str">
        <f t="shared" si="35"/>
        <v/>
      </c>
      <c r="AS183" s="1" t="str">
        <f t="shared" si="35"/>
        <v/>
      </c>
      <c r="AT183" s="1" t="str">
        <f t="shared" si="36"/>
        <v/>
      </c>
      <c r="AU183" s="1" t="str">
        <f t="shared" si="36"/>
        <v/>
      </c>
      <c r="AV183" s="1" t="str">
        <f t="shared" si="36"/>
        <v/>
      </c>
      <c r="AW183" s="1" t="str">
        <f t="shared" si="36"/>
        <v/>
      </c>
      <c r="AX183" s="25" t="str">
        <f t="shared" si="36"/>
        <v/>
      </c>
    </row>
    <row r="184" spans="4:50" ht="14.5" thickBot="1" x14ac:dyDescent="0.35">
      <c r="D184" s="37">
        <v>1999</v>
      </c>
      <c r="E184" s="37" t="s">
        <v>99</v>
      </c>
      <c r="F184" s="37" t="s">
        <v>105</v>
      </c>
      <c r="G184" s="37" t="s">
        <v>106</v>
      </c>
      <c r="H184" s="37" t="s">
        <v>2</v>
      </c>
      <c r="I184" s="24">
        <v>3</v>
      </c>
      <c r="J184" s="1">
        <v>2</v>
      </c>
      <c r="K184" s="1">
        <v>4</v>
      </c>
      <c r="L184" s="1">
        <v>2</v>
      </c>
      <c r="M184" s="1">
        <v>2</v>
      </c>
      <c r="N184" s="1">
        <v>4</v>
      </c>
      <c r="AC184" s="25"/>
      <c r="AD184" s="24">
        <f t="shared" si="35"/>
        <v>7.5</v>
      </c>
      <c r="AE184" s="1">
        <f t="shared" si="35"/>
        <v>5</v>
      </c>
      <c r="AF184" s="1">
        <f t="shared" si="35"/>
        <v>10</v>
      </c>
      <c r="AG184" s="1">
        <f t="shared" si="35"/>
        <v>1.25</v>
      </c>
      <c r="AH184" s="1">
        <f t="shared" si="35"/>
        <v>1.25</v>
      </c>
      <c r="AI184" s="1">
        <f t="shared" si="35"/>
        <v>10</v>
      </c>
      <c r="AJ184" s="1" t="str">
        <f t="shared" si="35"/>
        <v/>
      </c>
      <c r="AK184" s="1" t="str">
        <f t="shared" si="35"/>
        <v/>
      </c>
      <c r="AL184" s="1" t="str">
        <f t="shared" si="35"/>
        <v/>
      </c>
      <c r="AM184" s="1" t="str">
        <f t="shared" si="35"/>
        <v/>
      </c>
      <c r="AN184" s="1" t="str">
        <f t="shared" si="35"/>
        <v/>
      </c>
      <c r="AO184" s="1" t="str">
        <f t="shared" si="35"/>
        <v/>
      </c>
      <c r="AP184" s="1" t="str">
        <f t="shared" si="35"/>
        <v/>
      </c>
      <c r="AQ184" s="1" t="str">
        <f t="shared" si="35"/>
        <v/>
      </c>
      <c r="AR184" s="1" t="str">
        <f t="shared" si="35"/>
        <v/>
      </c>
      <c r="AS184" s="1" t="str">
        <f t="shared" si="35"/>
        <v/>
      </c>
      <c r="AT184" s="1" t="str">
        <f t="shared" si="36"/>
        <v/>
      </c>
      <c r="AU184" s="1" t="str">
        <f t="shared" si="36"/>
        <v/>
      </c>
      <c r="AV184" s="1" t="str">
        <f t="shared" si="36"/>
        <v/>
      </c>
      <c r="AW184" s="1" t="str">
        <f t="shared" si="36"/>
        <v/>
      </c>
      <c r="AX184" s="25" t="str">
        <f t="shared" si="36"/>
        <v/>
      </c>
    </row>
    <row r="185" spans="4:50" ht="14.5" thickBot="1" x14ac:dyDescent="0.35">
      <c r="D185" s="37">
        <v>1999</v>
      </c>
      <c r="E185" s="37" t="s">
        <v>99</v>
      </c>
      <c r="F185" s="37" t="s">
        <v>105</v>
      </c>
      <c r="G185" s="37" t="s">
        <v>106</v>
      </c>
      <c r="H185" s="37" t="s">
        <v>3</v>
      </c>
      <c r="I185" s="24"/>
      <c r="O185" s="1">
        <v>4</v>
      </c>
      <c r="P185" s="1">
        <v>1</v>
      </c>
      <c r="Q185" s="1">
        <v>2</v>
      </c>
      <c r="R185" s="1">
        <v>4</v>
      </c>
      <c r="S185" s="1">
        <v>2</v>
      </c>
      <c r="T185" s="1">
        <v>3</v>
      </c>
      <c r="AC185" s="25"/>
      <c r="AD185" s="24" t="str">
        <f t="shared" si="35"/>
        <v/>
      </c>
      <c r="AE185" s="1" t="str">
        <f t="shared" si="35"/>
        <v/>
      </c>
      <c r="AF185" s="1" t="str">
        <f t="shared" si="35"/>
        <v/>
      </c>
      <c r="AG185" s="1" t="str">
        <f t="shared" si="35"/>
        <v/>
      </c>
      <c r="AH185" s="1" t="str">
        <f t="shared" si="35"/>
        <v/>
      </c>
      <c r="AI185" s="1" t="str">
        <f t="shared" si="35"/>
        <v/>
      </c>
      <c r="AJ185" s="1">
        <f t="shared" si="35"/>
        <v>4</v>
      </c>
      <c r="AK185" s="1">
        <f t="shared" si="35"/>
        <v>1</v>
      </c>
      <c r="AL185" s="1">
        <f t="shared" si="35"/>
        <v>1.5</v>
      </c>
      <c r="AM185" s="1">
        <f t="shared" si="35"/>
        <v>3</v>
      </c>
      <c r="AN185" s="1">
        <f t="shared" si="35"/>
        <v>1.5</v>
      </c>
      <c r="AO185" s="1">
        <f t="shared" si="35"/>
        <v>2.25</v>
      </c>
      <c r="AP185" s="1" t="str">
        <f t="shared" si="35"/>
        <v/>
      </c>
      <c r="AQ185" s="1" t="str">
        <f t="shared" si="35"/>
        <v/>
      </c>
      <c r="AR185" s="1" t="str">
        <f t="shared" si="35"/>
        <v/>
      </c>
      <c r="AS185" s="1" t="str">
        <f t="shared" si="35"/>
        <v/>
      </c>
      <c r="AT185" s="1" t="str">
        <f t="shared" si="36"/>
        <v/>
      </c>
      <c r="AU185" s="1" t="str">
        <f t="shared" si="36"/>
        <v/>
      </c>
      <c r="AV185" s="1" t="str">
        <f t="shared" si="36"/>
        <v/>
      </c>
      <c r="AW185" s="1" t="str">
        <f t="shared" si="36"/>
        <v/>
      </c>
      <c r="AX185" s="25" t="str">
        <f t="shared" si="36"/>
        <v/>
      </c>
    </row>
    <row r="186" spans="4:50" ht="14.5" thickBot="1" x14ac:dyDescent="0.35">
      <c r="D186" s="37">
        <v>1999</v>
      </c>
      <c r="E186" s="37" t="s">
        <v>99</v>
      </c>
      <c r="F186" s="37" t="s">
        <v>105</v>
      </c>
      <c r="G186" s="37" t="s">
        <v>106</v>
      </c>
      <c r="H186" s="37" t="s">
        <v>68</v>
      </c>
      <c r="I186" s="24"/>
      <c r="U186" s="1">
        <v>3</v>
      </c>
      <c r="V186" s="1">
        <v>2</v>
      </c>
      <c r="W186" s="1">
        <v>3</v>
      </c>
      <c r="X186" s="1">
        <v>3</v>
      </c>
      <c r="Y186" s="1">
        <v>1</v>
      </c>
      <c r="AC186" s="25"/>
      <c r="AD186" s="24" t="str">
        <f t="shared" si="35"/>
        <v/>
      </c>
      <c r="AE186" s="1" t="str">
        <f t="shared" si="35"/>
        <v/>
      </c>
      <c r="AF186" s="1" t="str">
        <f t="shared" si="35"/>
        <v/>
      </c>
      <c r="AG186" s="1" t="str">
        <f t="shared" si="35"/>
        <v/>
      </c>
      <c r="AH186" s="1" t="str">
        <f t="shared" si="35"/>
        <v/>
      </c>
      <c r="AI186" s="1" t="str">
        <f t="shared" si="35"/>
        <v/>
      </c>
      <c r="AJ186" s="1" t="str">
        <f t="shared" si="35"/>
        <v/>
      </c>
      <c r="AK186" s="1" t="str">
        <f t="shared" si="35"/>
        <v/>
      </c>
      <c r="AL186" s="1" t="str">
        <f t="shared" si="35"/>
        <v/>
      </c>
      <c r="AM186" s="1" t="str">
        <f t="shared" si="35"/>
        <v/>
      </c>
      <c r="AN186" s="1" t="str">
        <f t="shared" si="35"/>
        <v/>
      </c>
      <c r="AO186" s="1" t="str">
        <f t="shared" si="35"/>
        <v/>
      </c>
      <c r="AP186" s="1">
        <f t="shared" si="35"/>
        <v>7.5</v>
      </c>
      <c r="AQ186" s="1">
        <f t="shared" si="35"/>
        <v>5</v>
      </c>
      <c r="AR186" s="1">
        <f t="shared" si="35"/>
        <v>0.9375</v>
      </c>
      <c r="AS186" s="1">
        <f t="shared" si="35"/>
        <v>0.9375</v>
      </c>
      <c r="AT186" s="1">
        <f t="shared" si="36"/>
        <v>1.25</v>
      </c>
      <c r="AU186" s="1" t="str">
        <f t="shared" si="36"/>
        <v/>
      </c>
      <c r="AV186" s="1" t="str">
        <f t="shared" si="36"/>
        <v/>
      </c>
      <c r="AW186" s="1" t="str">
        <f t="shared" si="36"/>
        <v/>
      </c>
      <c r="AX186" s="25" t="str">
        <f t="shared" si="36"/>
        <v/>
      </c>
    </row>
    <row r="187" spans="4:50" ht="14.5" thickBot="1" x14ac:dyDescent="0.35">
      <c r="D187" s="37">
        <v>1999</v>
      </c>
      <c r="E187" s="37" t="s">
        <v>99</v>
      </c>
      <c r="F187" s="37" t="s">
        <v>105</v>
      </c>
      <c r="G187" s="37" t="s">
        <v>106</v>
      </c>
      <c r="H187" s="37" t="s">
        <v>5</v>
      </c>
      <c r="I187" s="26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 t="s">
        <v>59</v>
      </c>
      <c r="AA187" s="28" t="s">
        <v>59</v>
      </c>
      <c r="AB187" s="28" t="s">
        <v>59</v>
      </c>
      <c r="AC187" s="27" t="s">
        <v>59</v>
      </c>
      <c r="AD187" s="26" t="str">
        <f t="shared" si="35"/>
        <v/>
      </c>
      <c r="AE187" s="28" t="str">
        <f t="shared" si="35"/>
        <v/>
      </c>
      <c r="AF187" s="28" t="str">
        <f t="shared" si="35"/>
        <v/>
      </c>
      <c r="AG187" s="28" t="str">
        <f t="shared" si="35"/>
        <v/>
      </c>
      <c r="AH187" s="28" t="str">
        <f t="shared" si="35"/>
        <v/>
      </c>
      <c r="AI187" s="28" t="str">
        <f t="shared" si="35"/>
        <v/>
      </c>
      <c r="AJ187" s="28" t="str">
        <f t="shared" si="35"/>
        <v/>
      </c>
      <c r="AK187" s="28" t="str">
        <f t="shared" si="35"/>
        <v/>
      </c>
      <c r="AL187" s="28" t="str">
        <f t="shared" si="35"/>
        <v/>
      </c>
      <c r="AM187" s="28" t="str">
        <f t="shared" si="35"/>
        <v/>
      </c>
      <c r="AN187" s="28" t="str">
        <f t="shared" si="35"/>
        <v/>
      </c>
      <c r="AO187" s="28" t="str">
        <f t="shared" si="35"/>
        <v/>
      </c>
      <c r="AP187" s="28" t="str">
        <f t="shared" si="35"/>
        <v/>
      </c>
      <c r="AQ187" s="28" t="str">
        <f t="shared" si="35"/>
        <v/>
      </c>
      <c r="AR187" s="28" t="str">
        <f t="shared" si="35"/>
        <v/>
      </c>
      <c r="AS187" s="28" t="str">
        <f t="shared" si="35"/>
        <v/>
      </c>
      <c r="AT187" s="28" t="str">
        <f t="shared" si="36"/>
        <v/>
      </c>
      <c r="AU187" s="28" t="str">
        <f t="shared" si="36"/>
        <v/>
      </c>
      <c r="AV187" s="28" t="str">
        <f t="shared" si="36"/>
        <v/>
      </c>
      <c r="AW187" s="28" t="str">
        <f t="shared" si="36"/>
        <v/>
      </c>
      <c r="AX187" s="27" t="str">
        <f t="shared" si="36"/>
        <v/>
      </c>
    </row>
  </sheetData>
  <hyperlinks>
    <hyperlink ref="A155" location="Link_ที่มีปัญหา_1" display="Link" xr:uid="{DA7B7EF4-C7E3-48EC-8F38-4217EEEEB7C7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B2D5-CB66-42C9-BDE2-9D202F8B7B57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F. Concept Agreement_Tester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</dc:creator>
  <cp:lastModifiedBy>Sutripat</cp:lastModifiedBy>
  <dcterms:created xsi:type="dcterms:W3CDTF">2025-06-02T06:43:46Z</dcterms:created>
  <dcterms:modified xsi:type="dcterms:W3CDTF">2025-06-02T06:45:21Z</dcterms:modified>
</cp:coreProperties>
</file>